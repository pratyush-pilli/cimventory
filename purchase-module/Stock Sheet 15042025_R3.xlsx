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Cimcon Digital\Mahendra Khuteja - Inward Outward Bank\"/>
    </mc:Choice>
  </mc:AlternateContent>
  <xr:revisionPtr revIDLastSave="294" documentId="8_{E2AD42EC-FCE4-4114-8828-2A9FDDB268A1}" xr6:coauthVersionLast="36" xr6:coauthVersionMax="47" xr10:uidLastSave="{C76AA0EE-2422-4AD8-9CFD-48BDA7440EB5}"/>
  <bookViews>
    <workbookView xWindow="-120" yWindow="-120" windowWidth="20730" windowHeight="11160" firstSheet="1" activeTab="2" xr2:uid="{B0E29B13-8228-410C-A2B4-8B1C69F0572E}"/>
  </bookViews>
  <sheets>
    <sheet name="14425" sheetId="2" r:id="rId1"/>
    <sheet name="14425 (2)" sheetId="3" r:id="rId2"/>
    <sheet name="Sheet1" sheetId="4" r:id="rId3"/>
  </sheets>
  <definedNames>
    <definedName name="_xlnm._FilterDatabase" localSheetId="0" hidden="1">'14425'!$A$2:$I$146</definedName>
    <definedName name="_xlnm._FilterDatabase" localSheetId="1" hidden="1">'14425 (2)'!$A$1:$Z$146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6" i="4" l="1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J146" i="4"/>
  <c r="H146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3" i="4"/>
  <c r="L63" i="3" l="1"/>
  <c r="J63" i="3"/>
  <c r="L53" i="3"/>
  <c r="J53" i="3"/>
  <c r="J66" i="3"/>
  <c r="M66" i="3"/>
  <c r="J120" i="3"/>
  <c r="K108" i="3"/>
  <c r="J108" i="3"/>
  <c r="K107" i="3"/>
  <c r="N103" i="3"/>
  <c r="U100" i="3"/>
  <c r="J85" i="3"/>
  <c r="M84" i="3"/>
  <c r="J84" i="3"/>
  <c r="J71" i="3"/>
  <c r="J64" i="3"/>
  <c r="L57" i="3"/>
  <c r="O53" i="3"/>
  <c r="O52" i="3"/>
  <c r="N42" i="3"/>
  <c r="M42" i="3"/>
  <c r="O42" i="3"/>
  <c r="O39" i="3"/>
  <c r="L37" i="3"/>
  <c r="J30" i="3"/>
  <c r="J27" i="3"/>
  <c r="J21" i="3"/>
  <c r="K13" i="3"/>
  <c r="N13" i="3"/>
  <c r="J13" i="3"/>
  <c r="J12" i="3"/>
  <c r="N12" i="3"/>
  <c r="J11" i="3"/>
  <c r="L10" i="3"/>
  <c r="N10" i="3"/>
  <c r="J8" i="3"/>
  <c r="R4" i="3"/>
  <c r="S4" i="3"/>
  <c r="T4" i="3"/>
  <c r="U4" i="3"/>
  <c r="V4" i="3"/>
  <c r="W4" i="3"/>
  <c r="X4" i="3"/>
  <c r="Y4" i="3"/>
  <c r="R5" i="3"/>
  <c r="S5" i="3"/>
  <c r="T5" i="3"/>
  <c r="U5" i="3"/>
  <c r="V5" i="3"/>
  <c r="W5" i="3"/>
  <c r="X5" i="3"/>
  <c r="Y5" i="3"/>
  <c r="R6" i="3"/>
  <c r="S6" i="3"/>
  <c r="T6" i="3"/>
  <c r="U6" i="3"/>
  <c r="V6" i="3"/>
  <c r="W6" i="3"/>
  <c r="X6" i="3"/>
  <c r="Y6" i="3"/>
  <c r="R7" i="3"/>
  <c r="S7" i="3"/>
  <c r="T7" i="3"/>
  <c r="U7" i="3"/>
  <c r="V7" i="3"/>
  <c r="W7" i="3"/>
  <c r="X7" i="3"/>
  <c r="Y7" i="3"/>
  <c r="R8" i="3"/>
  <c r="S8" i="3"/>
  <c r="T8" i="3"/>
  <c r="U8" i="3"/>
  <c r="V8" i="3"/>
  <c r="W8" i="3"/>
  <c r="X8" i="3"/>
  <c r="Y8" i="3"/>
  <c r="R9" i="3"/>
  <c r="S9" i="3"/>
  <c r="T9" i="3"/>
  <c r="U9" i="3"/>
  <c r="V9" i="3"/>
  <c r="W9" i="3"/>
  <c r="X9" i="3"/>
  <c r="Y9" i="3"/>
  <c r="R10" i="3"/>
  <c r="S10" i="3"/>
  <c r="T10" i="3"/>
  <c r="U10" i="3"/>
  <c r="V10" i="3"/>
  <c r="W10" i="3"/>
  <c r="X10" i="3"/>
  <c r="Y10" i="3"/>
  <c r="R11" i="3"/>
  <c r="S11" i="3"/>
  <c r="T11" i="3"/>
  <c r="U11" i="3"/>
  <c r="V11" i="3"/>
  <c r="W11" i="3"/>
  <c r="X11" i="3"/>
  <c r="Y11" i="3"/>
  <c r="R12" i="3"/>
  <c r="S12" i="3"/>
  <c r="T12" i="3"/>
  <c r="U12" i="3"/>
  <c r="V12" i="3"/>
  <c r="W12" i="3"/>
  <c r="X12" i="3"/>
  <c r="Y12" i="3"/>
  <c r="R13" i="3"/>
  <c r="S13" i="3"/>
  <c r="T13" i="3"/>
  <c r="U13" i="3"/>
  <c r="V13" i="3"/>
  <c r="W13" i="3"/>
  <c r="X13" i="3"/>
  <c r="Y13" i="3"/>
  <c r="R14" i="3"/>
  <c r="S14" i="3"/>
  <c r="T14" i="3"/>
  <c r="U14" i="3"/>
  <c r="V14" i="3"/>
  <c r="W14" i="3"/>
  <c r="X14" i="3"/>
  <c r="Y14" i="3"/>
  <c r="R15" i="3"/>
  <c r="S15" i="3"/>
  <c r="T15" i="3"/>
  <c r="U15" i="3"/>
  <c r="V15" i="3"/>
  <c r="W15" i="3"/>
  <c r="X15" i="3"/>
  <c r="Y15" i="3"/>
  <c r="R16" i="3"/>
  <c r="S16" i="3"/>
  <c r="T16" i="3"/>
  <c r="U16" i="3"/>
  <c r="V16" i="3"/>
  <c r="W16" i="3"/>
  <c r="X16" i="3"/>
  <c r="Y16" i="3"/>
  <c r="R17" i="3"/>
  <c r="S17" i="3"/>
  <c r="T17" i="3"/>
  <c r="U17" i="3"/>
  <c r="V17" i="3"/>
  <c r="W17" i="3"/>
  <c r="X17" i="3"/>
  <c r="Y17" i="3"/>
  <c r="R18" i="3"/>
  <c r="S18" i="3"/>
  <c r="T18" i="3"/>
  <c r="U18" i="3"/>
  <c r="V18" i="3"/>
  <c r="W18" i="3"/>
  <c r="X18" i="3"/>
  <c r="Y18" i="3"/>
  <c r="R19" i="3"/>
  <c r="S19" i="3"/>
  <c r="T19" i="3"/>
  <c r="U19" i="3"/>
  <c r="V19" i="3"/>
  <c r="W19" i="3"/>
  <c r="X19" i="3"/>
  <c r="Y19" i="3"/>
  <c r="R20" i="3"/>
  <c r="S20" i="3"/>
  <c r="T20" i="3"/>
  <c r="U20" i="3"/>
  <c r="V20" i="3"/>
  <c r="W20" i="3"/>
  <c r="X20" i="3"/>
  <c r="Y20" i="3"/>
  <c r="R21" i="3"/>
  <c r="S21" i="3"/>
  <c r="T21" i="3"/>
  <c r="U21" i="3"/>
  <c r="V21" i="3"/>
  <c r="W21" i="3"/>
  <c r="X21" i="3"/>
  <c r="Y21" i="3"/>
  <c r="R22" i="3"/>
  <c r="S22" i="3"/>
  <c r="T22" i="3"/>
  <c r="U22" i="3"/>
  <c r="V22" i="3"/>
  <c r="W22" i="3"/>
  <c r="X22" i="3"/>
  <c r="Y22" i="3"/>
  <c r="R23" i="3"/>
  <c r="S23" i="3"/>
  <c r="T23" i="3"/>
  <c r="U23" i="3"/>
  <c r="V23" i="3"/>
  <c r="W23" i="3"/>
  <c r="X23" i="3"/>
  <c r="Y23" i="3"/>
  <c r="R24" i="3"/>
  <c r="S24" i="3"/>
  <c r="T24" i="3"/>
  <c r="U24" i="3"/>
  <c r="V24" i="3"/>
  <c r="W24" i="3"/>
  <c r="X24" i="3"/>
  <c r="Y24" i="3"/>
  <c r="R25" i="3"/>
  <c r="S25" i="3"/>
  <c r="T25" i="3"/>
  <c r="U25" i="3"/>
  <c r="V25" i="3"/>
  <c r="W25" i="3"/>
  <c r="X25" i="3"/>
  <c r="Y25" i="3"/>
  <c r="R26" i="3"/>
  <c r="S26" i="3"/>
  <c r="T26" i="3"/>
  <c r="U26" i="3"/>
  <c r="V26" i="3"/>
  <c r="W26" i="3"/>
  <c r="X26" i="3"/>
  <c r="Y26" i="3"/>
  <c r="R27" i="3"/>
  <c r="S27" i="3"/>
  <c r="T27" i="3"/>
  <c r="U27" i="3"/>
  <c r="V27" i="3"/>
  <c r="W27" i="3"/>
  <c r="X27" i="3"/>
  <c r="Y27" i="3"/>
  <c r="R28" i="3"/>
  <c r="S28" i="3"/>
  <c r="T28" i="3"/>
  <c r="U28" i="3"/>
  <c r="V28" i="3"/>
  <c r="W28" i="3"/>
  <c r="X28" i="3"/>
  <c r="Y28" i="3"/>
  <c r="R29" i="3"/>
  <c r="S29" i="3"/>
  <c r="T29" i="3"/>
  <c r="U29" i="3"/>
  <c r="V29" i="3"/>
  <c r="W29" i="3"/>
  <c r="X29" i="3"/>
  <c r="Y29" i="3"/>
  <c r="R30" i="3"/>
  <c r="S30" i="3"/>
  <c r="T30" i="3"/>
  <c r="U30" i="3"/>
  <c r="V30" i="3"/>
  <c r="W30" i="3"/>
  <c r="X30" i="3"/>
  <c r="Y30" i="3"/>
  <c r="R31" i="3"/>
  <c r="S31" i="3"/>
  <c r="T31" i="3"/>
  <c r="U31" i="3"/>
  <c r="V31" i="3"/>
  <c r="W31" i="3"/>
  <c r="X31" i="3"/>
  <c r="Y31" i="3"/>
  <c r="R32" i="3"/>
  <c r="S32" i="3"/>
  <c r="T32" i="3"/>
  <c r="U32" i="3"/>
  <c r="V32" i="3"/>
  <c r="W32" i="3"/>
  <c r="X32" i="3"/>
  <c r="Y32" i="3"/>
  <c r="R33" i="3"/>
  <c r="S33" i="3"/>
  <c r="T33" i="3"/>
  <c r="U33" i="3"/>
  <c r="V33" i="3"/>
  <c r="W33" i="3"/>
  <c r="X33" i="3"/>
  <c r="Y33" i="3"/>
  <c r="R34" i="3"/>
  <c r="S34" i="3"/>
  <c r="T34" i="3"/>
  <c r="U34" i="3"/>
  <c r="V34" i="3"/>
  <c r="W34" i="3"/>
  <c r="X34" i="3"/>
  <c r="Y34" i="3"/>
  <c r="R35" i="3"/>
  <c r="S35" i="3"/>
  <c r="T35" i="3"/>
  <c r="U35" i="3"/>
  <c r="V35" i="3"/>
  <c r="W35" i="3"/>
  <c r="X35" i="3"/>
  <c r="Y35" i="3"/>
  <c r="R36" i="3"/>
  <c r="S36" i="3"/>
  <c r="T36" i="3"/>
  <c r="U36" i="3"/>
  <c r="V36" i="3"/>
  <c r="W36" i="3"/>
  <c r="X36" i="3"/>
  <c r="Y36" i="3"/>
  <c r="R37" i="3"/>
  <c r="S37" i="3"/>
  <c r="T37" i="3"/>
  <c r="U37" i="3"/>
  <c r="V37" i="3"/>
  <c r="W37" i="3"/>
  <c r="X37" i="3"/>
  <c r="Y37" i="3"/>
  <c r="R38" i="3"/>
  <c r="S38" i="3"/>
  <c r="T38" i="3"/>
  <c r="U38" i="3"/>
  <c r="V38" i="3"/>
  <c r="W38" i="3"/>
  <c r="X38" i="3"/>
  <c r="Y38" i="3"/>
  <c r="R39" i="3"/>
  <c r="S39" i="3"/>
  <c r="T39" i="3"/>
  <c r="U39" i="3"/>
  <c r="V39" i="3"/>
  <c r="W39" i="3"/>
  <c r="X39" i="3"/>
  <c r="Y39" i="3"/>
  <c r="R40" i="3"/>
  <c r="S40" i="3"/>
  <c r="T40" i="3"/>
  <c r="U40" i="3"/>
  <c r="V40" i="3"/>
  <c r="W40" i="3"/>
  <c r="X40" i="3"/>
  <c r="Y40" i="3"/>
  <c r="R41" i="3"/>
  <c r="S41" i="3"/>
  <c r="T41" i="3"/>
  <c r="U41" i="3"/>
  <c r="V41" i="3"/>
  <c r="W41" i="3"/>
  <c r="X41" i="3"/>
  <c r="Y41" i="3"/>
  <c r="R42" i="3"/>
  <c r="S42" i="3"/>
  <c r="T42" i="3"/>
  <c r="U42" i="3"/>
  <c r="V42" i="3"/>
  <c r="W42" i="3"/>
  <c r="X42" i="3"/>
  <c r="Y42" i="3"/>
  <c r="R43" i="3"/>
  <c r="S43" i="3"/>
  <c r="T43" i="3"/>
  <c r="U43" i="3"/>
  <c r="V43" i="3"/>
  <c r="W43" i="3"/>
  <c r="X43" i="3"/>
  <c r="Y43" i="3"/>
  <c r="R44" i="3"/>
  <c r="S44" i="3"/>
  <c r="T44" i="3"/>
  <c r="U44" i="3"/>
  <c r="V44" i="3"/>
  <c r="W44" i="3"/>
  <c r="X44" i="3"/>
  <c r="Y44" i="3"/>
  <c r="R45" i="3"/>
  <c r="S45" i="3"/>
  <c r="T45" i="3"/>
  <c r="U45" i="3"/>
  <c r="V45" i="3"/>
  <c r="W45" i="3"/>
  <c r="X45" i="3"/>
  <c r="Y45" i="3"/>
  <c r="R46" i="3"/>
  <c r="S46" i="3"/>
  <c r="T46" i="3"/>
  <c r="U46" i="3"/>
  <c r="V46" i="3"/>
  <c r="W46" i="3"/>
  <c r="X46" i="3"/>
  <c r="Y46" i="3"/>
  <c r="R47" i="3"/>
  <c r="S47" i="3"/>
  <c r="T47" i="3"/>
  <c r="U47" i="3"/>
  <c r="V47" i="3"/>
  <c r="W47" i="3"/>
  <c r="X47" i="3"/>
  <c r="Y47" i="3"/>
  <c r="R48" i="3"/>
  <c r="S48" i="3"/>
  <c r="T48" i="3"/>
  <c r="U48" i="3"/>
  <c r="V48" i="3"/>
  <c r="W48" i="3"/>
  <c r="X48" i="3"/>
  <c r="Y48" i="3"/>
  <c r="R49" i="3"/>
  <c r="S49" i="3"/>
  <c r="T49" i="3"/>
  <c r="U49" i="3"/>
  <c r="V49" i="3"/>
  <c r="W49" i="3"/>
  <c r="X49" i="3"/>
  <c r="Y49" i="3"/>
  <c r="R50" i="3"/>
  <c r="S50" i="3"/>
  <c r="T50" i="3"/>
  <c r="U50" i="3"/>
  <c r="V50" i="3"/>
  <c r="W50" i="3"/>
  <c r="X50" i="3"/>
  <c r="Y50" i="3"/>
  <c r="R51" i="3"/>
  <c r="S51" i="3"/>
  <c r="T51" i="3"/>
  <c r="U51" i="3"/>
  <c r="V51" i="3"/>
  <c r="W51" i="3"/>
  <c r="X51" i="3"/>
  <c r="Y51" i="3"/>
  <c r="R52" i="3"/>
  <c r="S52" i="3"/>
  <c r="T52" i="3"/>
  <c r="U52" i="3"/>
  <c r="V52" i="3"/>
  <c r="W52" i="3"/>
  <c r="X52" i="3"/>
  <c r="Y52" i="3"/>
  <c r="R53" i="3"/>
  <c r="S53" i="3"/>
  <c r="T53" i="3"/>
  <c r="U53" i="3"/>
  <c r="V53" i="3"/>
  <c r="W53" i="3"/>
  <c r="X53" i="3"/>
  <c r="Y53" i="3"/>
  <c r="R54" i="3"/>
  <c r="S54" i="3"/>
  <c r="T54" i="3"/>
  <c r="U54" i="3"/>
  <c r="V54" i="3"/>
  <c r="W54" i="3"/>
  <c r="X54" i="3"/>
  <c r="Y54" i="3"/>
  <c r="R55" i="3"/>
  <c r="S55" i="3"/>
  <c r="T55" i="3"/>
  <c r="U55" i="3"/>
  <c r="V55" i="3"/>
  <c r="W55" i="3"/>
  <c r="X55" i="3"/>
  <c r="Y55" i="3"/>
  <c r="R56" i="3"/>
  <c r="S56" i="3"/>
  <c r="T56" i="3"/>
  <c r="U56" i="3"/>
  <c r="V56" i="3"/>
  <c r="W56" i="3"/>
  <c r="X56" i="3"/>
  <c r="Y56" i="3"/>
  <c r="R57" i="3"/>
  <c r="S57" i="3"/>
  <c r="T57" i="3"/>
  <c r="U57" i="3"/>
  <c r="V57" i="3"/>
  <c r="W57" i="3"/>
  <c r="X57" i="3"/>
  <c r="Y57" i="3"/>
  <c r="R58" i="3"/>
  <c r="S58" i="3"/>
  <c r="T58" i="3"/>
  <c r="U58" i="3"/>
  <c r="V58" i="3"/>
  <c r="W58" i="3"/>
  <c r="X58" i="3"/>
  <c r="Y58" i="3"/>
  <c r="R59" i="3"/>
  <c r="S59" i="3"/>
  <c r="T59" i="3"/>
  <c r="U59" i="3"/>
  <c r="V59" i="3"/>
  <c r="W59" i="3"/>
  <c r="X59" i="3"/>
  <c r="Y59" i="3"/>
  <c r="R60" i="3"/>
  <c r="S60" i="3"/>
  <c r="T60" i="3"/>
  <c r="U60" i="3"/>
  <c r="V60" i="3"/>
  <c r="W60" i="3"/>
  <c r="X60" i="3"/>
  <c r="Y60" i="3"/>
  <c r="R61" i="3"/>
  <c r="S61" i="3"/>
  <c r="T61" i="3"/>
  <c r="U61" i="3"/>
  <c r="V61" i="3"/>
  <c r="W61" i="3"/>
  <c r="X61" i="3"/>
  <c r="Y61" i="3"/>
  <c r="R62" i="3"/>
  <c r="S62" i="3"/>
  <c r="T62" i="3"/>
  <c r="U62" i="3"/>
  <c r="V62" i="3"/>
  <c r="W62" i="3"/>
  <c r="X62" i="3"/>
  <c r="Y62" i="3"/>
  <c r="R63" i="3"/>
  <c r="S63" i="3"/>
  <c r="T63" i="3"/>
  <c r="U63" i="3"/>
  <c r="V63" i="3"/>
  <c r="W63" i="3"/>
  <c r="X63" i="3"/>
  <c r="Y63" i="3"/>
  <c r="R64" i="3"/>
  <c r="S64" i="3"/>
  <c r="T64" i="3"/>
  <c r="U64" i="3"/>
  <c r="V64" i="3"/>
  <c r="W64" i="3"/>
  <c r="X64" i="3"/>
  <c r="Y64" i="3"/>
  <c r="R65" i="3"/>
  <c r="S65" i="3"/>
  <c r="T65" i="3"/>
  <c r="U65" i="3"/>
  <c r="V65" i="3"/>
  <c r="W65" i="3"/>
  <c r="X65" i="3"/>
  <c r="Y65" i="3"/>
  <c r="R66" i="3"/>
  <c r="S66" i="3"/>
  <c r="T66" i="3"/>
  <c r="U66" i="3"/>
  <c r="V66" i="3"/>
  <c r="W66" i="3"/>
  <c r="X66" i="3"/>
  <c r="Y66" i="3"/>
  <c r="R67" i="3"/>
  <c r="S67" i="3"/>
  <c r="T67" i="3"/>
  <c r="U67" i="3"/>
  <c r="V67" i="3"/>
  <c r="W67" i="3"/>
  <c r="X67" i="3"/>
  <c r="Y67" i="3"/>
  <c r="R68" i="3"/>
  <c r="S68" i="3"/>
  <c r="T68" i="3"/>
  <c r="U68" i="3"/>
  <c r="V68" i="3"/>
  <c r="W68" i="3"/>
  <c r="X68" i="3"/>
  <c r="Y68" i="3"/>
  <c r="R69" i="3"/>
  <c r="S69" i="3"/>
  <c r="T69" i="3"/>
  <c r="U69" i="3"/>
  <c r="V69" i="3"/>
  <c r="W69" i="3"/>
  <c r="X69" i="3"/>
  <c r="Y69" i="3"/>
  <c r="R70" i="3"/>
  <c r="S70" i="3"/>
  <c r="T70" i="3"/>
  <c r="U70" i="3"/>
  <c r="V70" i="3"/>
  <c r="W70" i="3"/>
  <c r="X70" i="3"/>
  <c r="Y70" i="3"/>
  <c r="R71" i="3"/>
  <c r="S71" i="3"/>
  <c r="T71" i="3"/>
  <c r="U71" i="3"/>
  <c r="V71" i="3"/>
  <c r="W71" i="3"/>
  <c r="X71" i="3"/>
  <c r="Y71" i="3"/>
  <c r="R72" i="3"/>
  <c r="S72" i="3"/>
  <c r="T72" i="3"/>
  <c r="U72" i="3"/>
  <c r="V72" i="3"/>
  <c r="W72" i="3"/>
  <c r="X72" i="3"/>
  <c r="Y72" i="3"/>
  <c r="R73" i="3"/>
  <c r="S73" i="3"/>
  <c r="T73" i="3"/>
  <c r="U73" i="3"/>
  <c r="V73" i="3"/>
  <c r="W73" i="3"/>
  <c r="X73" i="3"/>
  <c r="Y73" i="3"/>
  <c r="R74" i="3"/>
  <c r="S74" i="3"/>
  <c r="T74" i="3"/>
  <c r="U74" i="3"/>
  <c r="V74" i="3"/>
  <c r="W74" i="3"/>
  <c r="X74" i="3"/>
  <c r="Y74" i="3"/>
  <c r="R75" i="3"/>
  <c r="S75" i="3"/>
  <c r="T75" i="3"/>
  <c r="U75" i="3"/>
  <c r="V75" i="3"/>
  <c r="W75" i="3"/>
  <c r="X75" i="3"/>
  <c r="Y75" i="3"/>
  <c r="R76" i="3"/>
  <c r="S76" i="3"/>
  <c r="T76" i="3"/>
  <c r="U76" i="3"/>
  <c r="V76" i="3"/>
  <c r="W76" i="3"/>
  <c r="X76" i="3"/>
  <c r="Y76" i="3"/>
  <c r="R77" i="3"/>
  <c r="S77" i="3"/>
  <c r="T77" i="3"/>
  <c r="U77" i="3"/>
  <c r="V77" i="3"/>
  <c r="W77" i="3"/>
  <c r="X77" i="3"/>
  <c r="Y77" i="3"/>
  <c r="R78" i="3"/>
  <c r="S78" i="3"/>
  <c r="T78" i="3"/>
  <c r="U78" i="3"/>
  <c r="V78" i="3"/>
  <c r="W78" i="3"/>
  <c r="X78" i="3"/>
  <c r="Y78" i="3"/>
  <c r="R79" i="3"/>
  <c r="S79" i="3"/>
  <c r="T79" i="3"/>
  <c r="U79" i="3"/>
  <c r="V79" i="3"/>
  <c r="W79" i="3"/>
  <c r="X79" i="3"/>
  <c r="Y79" i="3"/>
  <c r="R80" i="3"/>
  <c r="S80" i="3"/>
  <c r="T80" i="3"/>
  <c r="U80" i="3"/>
  <c r="V80" i="3"/>
  <c r="W80" i="3"/>
  <c r="X80" i="3"/>
  <c r="Y80" i="3"/>
  <c r="R81" i="3"/>
  <c r="S81" i="3"/>
  <c r="T81" i="3"/>
  <c r="U81" i="3"/>
  <c r="V81" i="3"/>
  <c r="W81" i="3"/>
  <c r="X81" i="3"/>
  <c r="Y81" i="3"/>
  <c r="R82" i="3"/>
  <c r="S82" i="3"/>
  <c r="T82" i="3"/>
  <c r="U82" i="3"/>
  <c r="V82" i="3"/>
  <c r="W82" i="3"/>
  <c r="X82" i="3"/>
  <c r="Y82" i="3"/>
  <c r="R83" i="3"/>
  <c r="S83" i="3"/>
  <c r="T83" i="3"/>
  <c r="U83" i="3"/>
  <c r="V83" i="3"/>
  <c r="W83" i="3"/>
  <c r="X83" i="3"/>
  <c r="Y83" i="3"/>
  <c r="R84" i="3"/>
  <c r="S84" i="3"/>
  <c r="T84" i="3"/>
  <c r="U84" i="3"/>
  <c r="V84" i="3"/>
  <c r="W84" i="3"/>
  <c r="X84" i="3"/>
  <c r="Y84" i="3"/>
  <c r="R85" i="3"/>
  <c r="S85" i="3"/>
  <c r="T85" i="3"/>
  <c r="U85" i="3"/>
  <c r="V85" i="3"/>
  <c r="W85" i="3"/>
  <c r="X85" i="3"/>
  <c r="Y85" i="3"/>
  <c r="R86" i="3"/>
  <c r="S86" i="3"/>
  <c r="T86" i="3"/>
  <c r="U86" i="3"/>
  <c r="V86" i="3"/>
  <c r="W86" i="3"/>
  <c r="X86" i="3"/>
  <c r="Y86" i="3"/>
  <c r="R87" i="3"/>
  <c r="S87" i="3"/>
  <c r="T87" i="3"/>
  <c r="U87" i="3"/>
  <c r="V87" i="3"/>
  <c r="W87" i="3"/>
  <c r="X87" i="3"/>
  <c r="Y87" i="3"/>
  <c r="R88" i="3"/>
  <c r="S88" i="3"/>
  <c r="T88" i="3"/>
  <c r="U88" i="3"/>
  <c r="V88" i="3"/>
  <c r="W88" i="3"/>
  <c r="X88" i="3"/>
  <c r="Y88" i="3"/>
  <c r="R89" i="3"/>
  <c r="S89" i="3"/>
  <c r="T89" i="3"/>
  <c r="U89" i="3"/>
  <c r="V89" i="3"/>
  <c r="W89" i="3"/>
  <c r="X89" i="3"/>
  <c r="Y89" i="3"/>
  <c r="R90" i="3"/>
  <c r="S90" i="3"/>
  <c r="T90" i="3"/>
  <c r="U90" i="3"/>
  <c r="V90" i="3"/>
  <c r="W90" i="3"/>
  <c r="X90" i="3"/>
  <c r="Y90" i="3"/>
  <c r="R91" i="3"/>
  <c r="S91" i="3"/>
  <c r="T91" i="3"/>
  <c r="U91" i="3"/>
  <c r="V91" i="3"/>
  <c r="W91" i="3"/>
  <c r="X91" i="3"/>
  <c r="Y91" i="3"/>
  <c r="R92" i="3"/>
  <c r="S92" i="3"/>
  <c r="T92" i="3"/>
  <c r="U92" i="3"/>
  <c r="V92" i="3"/>
  <c r="W92" i="3"/>
  <c r="X92" i="3"/>
  <c r="Y92" i="3"/>
  <c r="R93" i="3"/>
  <c r="S93" i="3"/>
  <c r="T93" i="3"/>
  <c r="U93" i="3"/>
  <c r="V93" i="3"/>
  <c r="W93" i="3"/>
  <c r="X93" i="3"/>
  <c r="Y93" i="3"/>
  <c r="R94" i="3"/>
  <c r="S94" i="3"/>
  <c r="T94" i="3"/>
  <c r="U94" i="3"/>
  <c r="V94" i="3"/>
  <c r="W94" i="3"/>
  <c r="X94" i="3"/>
  <c r="Y94" i="3"/>
  <c r="R95" i="3"/>
  <c r="S95" i="3"/>
  <c r="T95" i="3"/>
  <c r="U95" i="3"/>
  <c r="V95" i="3"/>
  <c r="W95" i="3"/>
  <c r="X95" i="3"/>
  <c r="Y95" i="3"/>
  <c r="R96" i="3"/>
  <c r="S96" i="3"/>
  <c r="T96" i="3"/>
  <c r="U96" i="3"/>
  <c r="V96" i="3"/>
  <c r="W96" i="3"/>
  <c r="X96" i="3"/>
  <c r="Y96" i="3"/>
  <c r="R97" i="3"/>
  <c r="S97" i="3"/>
  <c r="T97" i="3"/>
  <c r="U97" i="3"/>
  <c r="V97" i="3"/>
  <c r="W97" i="3"/>
  <c r="X97" i="3"/>
  <c r="Y97" i="3"/>
  <c r="R98" i="3"/>
  <c r="S98" i="3"/>
  <c r="T98" i="3"/>
  <c r="U98" i="3"/>
  <c r="V98" i="3"/>
  <c r="W98" i="3"/>
  <c r="X98" i="3"/>
  <c r="Y98" i="3"/>
  <c r="R99" i="3"/>
  <c r="S99" i="3"/>
  <c r="T99" i="3"/>
  <c r="U99" i="3"/>
  <c r="V99" i="3"/>
  <c r="W99" i="3"/>
  <c r="X99" i="3"/>
  <c r="Y99" i="3"/>
  <c r="R100" i="3"/>
  <c r="S100" i="3"/>
  <c r="T100" i="3"/>
  <c r="V100" i="3"/>
  <c r="W100" i="3"/>
  <c r="X100" i="3"/>
  <c r="Y100" i="3"/>
  <c r="R101" i="3"/>
  <c r="S101" i="3"/>
  <c r="T101" i="3"/>
  <c r="U101" i="3"/>
  <c r="V101" i="3"/>
  <c r="W101" i="3"/>
  <c r="X101" i="3"/>
  <c r="Y101" i="3"/>
  <c r="R102" i="3"/>
  <c r="S102" i="3"/>
  <c r="T102" i="3"/>
  <c r="U102" i="3"/>
  <c r="V102" i="3"/>
  <c r="W102" i="3"/>
  <c r="X102" i="3"/>
  <c r="Y102" i="3"/>
  <c r="R103" i="3"/>
  <c r="S103" i="3"/>
  <c r="T103" i="3"/>
  <c r="U103" i="3"/>
  <c r="V103" i="3"/>
  <c r="W103" i="3"/>
  <c r="X103" i="3"/>
  <c r="Y103" i="3"/>
  <c r="R104" i="3"/>
  <c r="S104" i="3"/>
  <c r="T104" i="3"/>
  <c r="U104" i="3"/>
  <c r="V104" i="3"/>
  <c r="W104" i="3"/>
  <c r="X104" i="3"/>
  <c r="Y104" i="3"/>
  <c r="R105" i="3"/>
  <c r="S105" i="3"/>
  <c r="T105" i="3"/>
  <c r="U105" i="3"/>
  <c r="V105" i="3"/>
  <c r="W105" i="3"/>
  <c r="X105" i="3"/>
  <c r="Y105" i="3"/>
  <c r="R106" i="3"/>
  <c r="S106" i="3"/>
  <c r="T106" i="3"/>
  <c r="U106" i="3"/>
  <c r="V106" i="3"/>
  <c r="W106" i="3"/>
  <c r="X106" i="3"/>
  <c r="Y106" i="3"/>
  <c r="R107" i="3"/>
  <c r="S107" i="3"/>
  <c r="T107" i="3"/>
  <c r="U107" i="3"/>
  <c r="V107" i="3"/>
  <c r="W107" i="3"/>
  <c r="X107" i="3"/>
  <c r="Y107" i="3"/>
  <c r="R108" i="3"/>
  <c r="S108" i="3"/>
  <c r="T108" i="3"/>
  <c r="U108" i="3"/>
  <c r="V108" i="3"/>
  <c r="W108" i="3"/>
  <c r="X108" i="3"/>
  <c r="Y108" i="3"/>
  <c r="R109" i="3"/>
  <c r="S109" i="3"/>
  <c r="T109" i="3"/>
  <c r="U109" i="3"/>
  <c r="V109" i="3"/>
  <c r="W109" i="3"/>
  <c r="X109" i="3"/>
  <c r="Y109" i="3"/>
  <c r="R110" i="3"/>
  <c r="S110" i="3"/>
  <c r="T110" i="3"/>
  <c r="U110" i="3"/>
  <c r="V110" i="3"/>
  <c r="W110" i="3"/>
  <c r="X110" i="3"/>
  <c r="Y110" i="3"/>
  <c r="R111" i="3"/>
  <c r="S111" i="3"/>
  <c r="T111" i="3"/>
  <c r="U111" i="3"/>
  <c r="V111" i="3"/>
  <c r="W111" i="3"/>
  <c r="X111" i="3"/>
  <c r="Y111" i="3"/>
  <c r="R112" i="3"/>
  <c r="S112" i="3"/>
  <c r="T112" i="3"/>
  <c r="U112" i="3"/>
  <c r="V112" i="3"/>
  <c r="W112" i="3"/>
  <c r="X112" i="3"/>
  <c r="Y112" i="3"/>
  <c r="R113" i="3"/>
  <c r="S113" i="3"/>
  <c r="T113" i="3"/>
  <c r="U113" i="3"/>
  <c r="V113" i="3"/>
  <c r="W113" i="3"/>
  <c r="X113" i="3"/>
  <c r="Y113" i="3"/>
  <c r="R114" i="3"/>
  <c r="S114" i="3"/>
  <c r="T114" i="3"/>
  <c r="U114" i="3"/>
  <c r="V114" i="3"/>
  <c r="W114" i="3"/>
  <c r="X114" i="3"/>
  <c r="Y114" i="3"/>
  <c r="R115" i="3"/>
  <c r="S115" i="3"/>
  <c r="T115" i="3"/>
  <c r="U115" i="3"/>
  <c r="V115" i="3"/>
  <c r="W115" i="3"/>
  <c r="X115" i="3"/>
  <c r="Y115" i="3"/>
  <c r="R116" i="3"/>
  <c r="S116" i="3"/>
  <c r="T116" i="3"/>
  <c r="U116" i="3"/>
  <c r="V116" i="3"/>
  <c r="W116" i="3"/>
  <c r="X116" i="3"/>
  <c r="Y116" i="3"/>
  <c r="R117" i="3"/>
  <c r="S117" i="3"/>
  <c r="T117" i="3"/>
  <c r="U117" i="3"/>
  <c r="V117" i="3"/>
  <c r="W117" i="3"/>
  <c r="X117" i="3"/>
  <c r="Y117" i="3"/>
  <c r="R118" i="3"/>
  <c r="S118" i="3"/>
  <c r="T118" i="3"/>
  <c r="U118" i="3"/>
  <c r="V118" i="3"/>
  <c r="W118" i="3"/>
  <c r="X118" i="3"/>
  <c r="Y118" i="3"/>
  <c r="R119" i="3"/>
  <c r="S119" i="3"/>
  <c r="T119" i="3"/>
  <c r="U119" i="3"/>
  <c r="V119" i="3"/>
  <c r="W119" i="3"/>
  <c r="X119" i="3"/>
  <c r="Y119" i="3"/>
  <c r="R120" i="3"/>
  <c r="S120" i="3"/>
  <c r="T120" i="3"/>
  <c r="U120" i="3"/>
  <c r="V120" i="3"/>
  <c r="W120" i="3"/>
  <c r="X120" i="3"/>
  <c r="Y120" i="3"/>
  <c r="R121" i="3"/>
  <c r="S121" i="3"/>
  <c r="T121" i="3"/>
  <c r="U121" i="3"/>
  <c r="V121" i="3"/>
  <c r="W121" i="3"/>
  <c r="X121" i="3"/>
  <c r="Y121" i="3"/>
  <c r="R122" i="3"/>
  <c r="S122" i="3"/>
  <c r="T122" i="3"/>
  <c r="U122" i="3"/>
  <c r="V122" i="3"/>
  <c r="W122" i="3"/>
  <c r="X122" i="3"/>
  <c r="Y122" i="3"/>
  <c r="R123" i="3"/>
  <c r="S123" i="3"/>
  <c r="T123" i="3"/>
  <c r="U123" i="3"/>
  <c r="V123" i="3"/>
  <c r="W123" i="3"/>
  <c r="X123" i="3"/>
  <c r="Y123" i="3"/>
  <c r="R124" i="3"/>
  <c r="S124" i="3"/>
  <c r="T124" i="3"/>
  <c r="U124" i="3"/>
  <c r="V124" i="3"/>
  <c r="W124" i="3"/>
  <c r="X124" i="3"/>
  <c r="Y124" i="3"/>
  <c r="R125" i="3"/>
  <c r="S125" i="3"/>
  <c r="T125" i="3"/>
  <c r="U125" i="3"/>
  <c r="V125" i="3"/>
  <c r="W125" i="3"/>
  <c r="X125" i="3"/>
  <c r="Y125" i="3"/>
  <c r="R126" i="3"/>
  <c r="S126" i="3"/>
  <c r="T126" i="3"/>
  <c r="U126" i="3"/>
  <c r="V126" i="3"/>
  <c r="W126" i="3"/>
  <c r="X126" i="3"/>
  <c r="Y126" i="3"/>
  <c r="R127" i="3"/>
  <c r="S127" i="3"/>
  <c r="T127" i="3"/>
  <c r="U127" i="3"/>
  <c r="V127" i="3"/>
  <c r="W127" i="3"/>
  <c r="X127" i="3"/>
  <c r="Y127" i="3"/>
  <c r="R128" i="3"/>
  <c r="S128" i="3"/>
  <c r="T128" i="3"/>
  <c r="U128" i="3"/>
  <c r="V128" i="3"/>
  <c r="W128" i="3"/>
  <c r="X128" i="3"/>
  <c r="Y128" i="3"/>
  <c r="R129" i="3"/>
  <c r="S129" i="3"/>
  <c r="T129" i="3"/>
  <c r="U129" i="3"/>
  <c r="V129" i="3"/>
  <c r="W129" i="3"/>
  <c r="X129" i="3"/>
  <c r="Y129" i="3"/>
  <c r="R130" i="3"/>
  <c r="S130" i="3"/>
  <c r="T130" i="3"/>
  <c r="U130" i="3"/>
  <c r="V130" i="3"/>
  <c r="W130" i="3"/>
  <c r="X130" i="3"/>
  <c r="Y130" i="3"/>
  <c r="R131" i="3"/>
  <c r="S131" i="3"/>
  <c r="T131" i="3"/>
  <c r="U131" i="3"/>
  <c r="V131" i="3"/>
  <c r="W131" i="3"/>
  <c r="X131" i="3"/>
  <c r="Y131" i="3"/>
  <c r="R132" i="3"/>
  <c r="S132" i="3"/>
  <c r="T132" i="3"/>
  <c r="U132" i="3"/>
  <c r="V132" i="3"/>
  <c r="W132" i="3"/>
  <c r="X132" i="3"/>
  <c r="Y132" i="3"/>
  <c r="R133" i="3"/>
  <c r="S133" i="3"/>
  <c r="T133" i="3"/>
  <c r="U133" i="3"/>
  <c r="V133" i="3"/>
  <c r="W133" i="3"/>
  <c r="X133" i="3"/>
  <c r="Y133" i="3"/>
  <c r="R134" i="3"/>
  <c r="S134" i="3"/>
  <c r="T134" i="3"/>
  <c r="U134" i="3"/>
  <c r="V134" i="3"/>
  <c r="W134" i="3"/>
  <c r="X134" i="3"/>
  <c r="Y134" i="3"/>
  <c r="R135" i="3"/>
  <c r="S135" i="3"/>
  <c r="T135" i="3"/>
  <c r="U135" i="3"/>
  <c r="V135" i="3"/>
  <c r="W135" i="3"/>
  <c r="X135" i="3"/>
  <c r="Y135" i="3"/>
  <c r="R136" i="3"/>
  <c r="S136" i="3"/>
  <c r="T136" i="3"/>
  <c r="U136" i="3"/>
  <c r="V136" i="3"/>
  <c r="W136" i="3"/>
  <c r="X136" i="3"/>
  <c r="Y136" i="3"/>
  <c r="R137" i="3"/>
  <c r="S137" i="3"/>
  <c r="T137" i="3"/>
  <c r="U137" i="3"/>
  <c r="V137" i="3"/>
  <c r="W137" i="3"/>
  <c r="X137" i="3"/>
  <c r="Y137" i="3"/>
  <c r="R138" i="3"/>
  <c r="S138" i="3"/>
  <c r="T138" i="3"/>
  <c r="U138" i="3"/>
  <c r="V138" i="3"/>
  <c r="W138" i="3"/>
  <c r="X138" i="3"/>
  <c r="Y138" i="3"/>
  <c r="R139" i="3"/>
  <c r="S139" i="3"/>
  <c r="T139" i="3"/>
  <c r="U139" i="3"/>
  <c r="V139" i="3"/>
  <c r="W139" i="3"/>
  <c r="X139" i="3"/>
  <c r="Y139" i="3"/>
  <c r="R140" i="3"/>
  <c r="S140" i="3"/>
  <c r="T140" i="3"/>
  <c r="U140" i="3"/>
  <c r="V140" i="3"/>
  <c r="W140" i="3"/>
  <c r="X140" i="3"/>
  <c r="Y140" i="3"/>
  <c r="R141" i="3"/>
  <c r="S141" i="3"/>
  <c r="T141" i="3"/>
  <c r="U141" i="3"/>
  <c r="V141" i="3"/>
  <c r="W141" i="3"/>
  <c r="X141" i="3"/>
  <c r="Y141" i="3"/>
  <c r="R142" i="3"/>
  <c r="S142" i="3"/>
  <c r="T142" i="3"/>
  <c r="U142" i="3"/>
  <c r="V142" i="3"/>
  <c r="W142" i="3"/>
  <c r="X142" i="3"/>
  <c r="Y142" i="3"/>
  <c r="R143" i="3"/>
  <c r="S143" i="3"/>
  <c r="T143" i="3"/>
  <c r="U143" i="3"/>
  <c r="V143" i="3"/>
  <c r="W143" i="3"/>
  <c r="X143" i="3"/>
  <c r="Y143" i="3"/>
  <c r="R144" i="3"/>
  <c r="S144" i="3"/>
  <c r="T144" i="3"/>
  <c r="U144" i="3"/>
  <c r="V144" i="3"/>
  <c r="W144" i="3"/>
  <c r="X144" i="3"/>
  <c r="Y144" i="3"/>
  <c r="R145" i="3"/>
  <c r="S145" i="3"/>
  <c r="T145" i="3"/>
  <c r="U145" i="3"/>
  <c r="V145" i="3"/>
  <c r="W145" i="3"/>
  <c r="X145" i="3"/>
  <c r="Y145" i="3"/>
  <c r="Y3" i="3"/>
  <c r="X3" i="3"/>
  <c r="W3" i="3"/>
  <c r="V3" i="3"/>
  <c r="U3" i="3"/>
  <c r="T3" i="3"/>
  <c r="S3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3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40" i="3"/>
  <c r="O41" i="3"/>
  <c r="O43" i="3"/>
  <c r="O44" i="3"/>
  <c r="O45" i="3"/>
  <c r="O46" i="3"/>
  <c r="O47" i="3"/>
  <c r="O48" i="3"/>
  <c r="O49" i="3"/>
  <c r="O50" i="3"/>
  <c r="O51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N4" i="3"/>
  <c r="N5" i="3"/>
  <c r="N6" i="3"/>
  <c r="N7" i="3"/>
  <c r="N8" i="3"/>
  <c r="N9" i="3"/>
  <c r="N11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3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4" i="3"/>
  <c r="M5" i="3"/>
  <c r="M6" i="3"/>
  <c r="M7" i="3"/>
  <c r="M8" i="3"/>
  <c r="M3" i="3"/>
  <c r="L8" i="3"/>
  <c r="L9" i="3"/>
  <c r="L11" i="3"/>
  <c r="L12" i="3"/>
  <c r="L13" i="3"/>
  <c r="Z13" i="3" s="1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4" i="3"/>
  <c r="L55" i="3"/>
  <c r="L56" i="3"/>
  <c r="L58" i="3"/>
  <c r="L59" i="3"/>
  <c r="L60" i="3"/>
  <c r="L61" i="3"/>
  <c r="L62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Z108" i="3" s="1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4" i="3"/>
  <c r="L5" i="3"/>
  <c r="L6" i="3"/>
  <c r="L7" i="3"/>
  <c r="L3" i="3"/>
  <c r="K8" i="3"/>
  <c r="Z8" i="3" s="1"/>
  <c r="K9" i="3"/>
  <c r="K10" i="3"/>
  <c r="K11" i="3"/>
  <c r="Z11" i="3" s="1"/>
  <c r="K12" i="3"/>
  <c r="Z12" i="3" s="1"/>
  <c r="K14" i="3"/>
  <c r="K15" i="3"/>
  <c r="K16" i="3"/>
  <c r="K17" i="3"/>
  <c r="K18" i="3"/>
  <c r="K19" i="3"/>
  <c r="K20" i="3"/>
  <c r="K21" i="3"/>
  <c r="Z21" i="3" s="1"/>
  <c r="K22" i="3"/>
  <c r="K23" i="3"/>
  <c r="K24" i="3"/>
  <c r="K25" i="3"/>
  <c r="K26" i="3"/>
  <c r="K27" i="3"/>
  <c r="Z27" i="3" s="1"/>
  <c r="K28" i="3"/>
  <c r="K29" i="3"/>
  <c r="K30" i="3"/>
  <c r="Z30" i="3" s="1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Z63" i="3" s="1"/>
  <c r="K64" i="3"/>
  <c r="K65" i="3"/>
  <c r="K66" i="3"/>
  <c r="Z66" i="3" s="1"/>
  <c r="K67" i="3"/>
  <c r="K68" i="3"/>
  <c r="K69" i="3"/>
  <c r="K70" i="3"/>
  <c r="K71" i="3"/>
  <c r="Z71" i="3" s="1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Z84" i="3" s="1"/>
  <c r="K85" i="3"/>
  <c r="Z85" i="3" s="1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Z120" i="3" s="1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4" i="3"/>
  <c r="K5" i="3"/>
  <c r="K6" i="3"/>
  <c r="K7" i="3"/>
  <c r="K3" i="3"/>
  <c r="J4" i="3"/>
  <c r="Z4" i="3" s="1"/>
  <c r="J5" i="3"/>
  <c r="Z5" i="3" s="1"/>
  <c r="J6" i="3"/>
  <c r="Z6" i="3" s="1"/>
  <c r="J7" i="3"/>
  <c r="Z7" i="3" s="1"/>
  <c r="J9" i="3"/>
  <c r="Z9" i="3" s="1"/>
  <c r="J10" i="3"/>
  <c r="Z10" i="3" s="1"/>
  <c r="J14" i="3"/>
  <c r="Z14" i="3" s="1"/>
  <c r="J15" i="3"/>
  <c r="Z15" i="3" s="1"/>
  <c r="J16" i="3"/>
  <c r="Z16" i="3" s="1"/>
  <c r="J17" i="3"/>
  <c r="Z17" i="3" s="1"/>
  <c r="J18" i="3"/>
  <c r="Z18" i="3" s="1"/>
  <c r="J19" i="3"/>
  <c r="Z19" i="3" s="1"/>
  <c r="J20" i="3"/>
  <c r="Z20" i="3" s="1"/>
  <c r="J22" i="3"/>
  <c r="Z22" i="3" s="1"/>
  <c r="J23" i="3"/>
  <c r="Z23" i="3" s="1"/>
  <c r="J24" i="3"/>
  <c r="Z24" i="3" s="1"/>
  <c r="J25" i="3"/>
  <c r="Z25" i="3" s="1"/>
  <c r="J26" i="3"/>
  <c r="Z26" i="3" s="1"/>
  <c r="J28" i="3"/>
  <c r="Z28" i="3" s="1"/>
  <c r="J29" i="3"/>
  <c r="Z29" i="3" s="1"/>
  <c r="J31" i="3"/>
  <c r="Z31" i="3" s="1"/>
  <c r="J32" i="3"/>
  <c r="Z32" i="3" s="1"/>
  <c r="J33" i="3"/>
  <c r="Z33" i="3" s="1"/>
  <c r="J34" i="3"/>
  <c r="Z34" i="3" s="1"/>
  <c r="J35" i="3"/>
  <c r="Z35" i="3" s="1"/>
  <c r="J36" i="3"/>
  <c r="Z36" i="3" s="1"/>
  <c r="J37" i="3"/>
  <c r="Z37" i="3" s="1"/>
  <c r="J38" i="3"/>
  <c r="Z38" i="3" s="1"/>
  <c r="J39" i="3"/>
  <c r="Z39" i="3" s="1"/>
  <c r="J40" i="3"/>
  <c r="Z40" i="3" s="1"/>
  <c r="J41" i="3"/>
  <c r="Z41" i="3" s="1"/>
  <c r="J42" i="3"/>
  <c r="Z42" i="3" s="1"/>
  <c r="J43" i="3"/>
  <c r="Z43" i="3" s="1"/>
  <c r="J44" i="3"/>
  <c r="Z44" i="3" s="1"/>
  <c r="J45" i="3"/>
  <c r="Z45" i="3" s="1"/>
  <c r="J46" i="3"/>
  <c r="Z46" i="3" s="1"/>
  <c r="J47" i="3"/>
  <c r="Z47" i="3" s="1"/>
  <c r="J48" i="3"/>
  <c r="Z48" i="3" s="1"/>
  <c r="J49" i="3"/>
  <c r="Z49" i="3" s="1"/>
  <c r="J50" i="3"/>
  <c r="Z50" i="3" s="1"/>
  <c r="J51" i="3"/>
  <c r="Z51" i="3" s="1"/>
  <c r="J52" i="3"/>
  <c r="Z52" i="3" s="1"/>
  <c r="J54" i="3"/>
  <c r="Z54" i="3" s="1"/>
  <c r="J55" i="3"/>
  <c r="Z55" i="3" s="1"/>
  <c r="J56" i="3"/>
  <c r="Z56" i="3" s="1"/>
  <c r="J57" i="3"/>
  <c r="Z57" i="3" s="1"/>
  <c r="J58" i="3"/>
  <c r="Z58" i="3" s="1"/>
  <c r="J59" i="3"/>
  <c r="Z59" i="3" s="1"/>
  <c r="J60" i="3"/>
  <c r="Z60" i="3" s="1"/>
  <c r="J61" i="3"/>
  <c r="Z61" i="3" s="1"/>
  <c r="J62" i="3"/>
  <c r="Z62" i="3" s="1"/>
  <c r="Z64" i="3"/>
  <c r="J65" i="3"/>
  <c r="Z65" i="3" s="1"/>
  <c r="J67" i="3"/>
  <c r="Z67" i="3" s="1"/>
  <c r="J68" i="3"/>
  <c r="Z68" i="3" s="1"/>
  <c r="J69" i="3"/>
  <c r="Z69" i="3" s="1"/>
  <c r="J70" i="3"/>
  <c r="Z70" i="3" s="1"/>
  <c r="J72" i="3"/>
  <c r="Z72" i="3" s="1"/>
  <c r="J73" i="3"/>
  <c r="Z73" i="3" s="1"/>
  <c r="J74" i="3"/>
  <c r="Z74" i="3" s="1"/>
  <c r="J75" i="3"/>
  <c r="Z75" i="3" s="1"/>
  <c r="J76" i="3"/>
  <c r="Z76" i="3" s="1"/>
  <c r="J77" i="3"/>
  <c r="Z77" i="3" s="1"/>
  <c r="J78" i="3"/>
  <c r="Z78" i="3" s="1"/>
  <c r="J79" i="3"/>
  <c r="Z79" i="3" s="1"/>
  <c r="J80" i="3"/>
  <c r="Z80" i="3" s="1"/>
  <c r="J81" i="3"/>
  <c r="Z81" i="3" s="1"/>
  <c r="J82" i="3"/>
  <c r="Z82" i="3" s="1"/>
  <c r="J83" i="3"/>
  <c r="Z83" i="3" s="1"/>
  <c r="J86" i="3"/>
  <c r="Z86" i="3" s="1"/>
  <c r="J87" i="3"/>
  <c r="Z87" i="3" s="1"/>
  <c r="J88" i="3"/>
  <c r="Z88" i="3" s="1"/>
  <c r="J89" i="3"/>
  <c r="Z89" i="3" s="1"/>
  <c r="J90" i="3"/>
  <c r="Z90" i="3" s="1"/>
  <c r="J91" i="3"/>
  <c r="Z91" i="3" s="1"/>
  <c r="J92" i="3"/>
  <c r="Z92" i="3" s="1"/>
  <c r="J93" i="3"/>
  <c r="Z93" i="3" s="1"/>
  <c r="J94" i="3"/>
  <c r="Z94" i="3" s="1"/>
  <c r="J95" i="3"/>
  <c r="Z95" i="3" s="1"/>
  <c r="J96" i="3"/>
  <c r="Z96" i="3" s="1"/>
  <c r="J97" i="3"/>
  <c r="Z97" i="3" s="1"/>
  <c r="J98" i="3"/>
  <c r="Z98" i="3" s="1"/>
  <c r="J99" i="3"/>
  <c r="Z99" i="3" s="1"/>
  <c r="J100" i="3"/>
  <c r="Z100" i="3" s="1"/>
  <c r="J101" i="3"/>
  <c r="Z101" i="3" s="1"/>
  <c r="J102" i="3"/>
  <c r="Z102" i="3" s="1"/>
  <c r="J103" i="3"/>
  <c r="Z103" i="3" s="1"/>
  <c r="J104" i="3"/>
  <c r="Z104" i="3" s="1"/>
  <c r="J105" i="3"/>
  <c r="Z105" i="3" s="1"/>
  <c r="J106" i="3"/>
  <c r="Z106" i="3" s="1"/>
  <c r="J107" i="3"/>
  <c r="Z107" i="3" s="1"/>
  <c r="J109" i="3"/>
  <c r="Z109" i="3" s="1"/>
  <c r="J110" i="3"/>
  <c r="Z110" i="3" s="1"/>
  <c r="J111" i="3"/>
  <c r="Z111" i="3" s="1"/>
  <c r="J112" i="3"/>
  <c r="Z112" i="3" s="1"/>
  <c r="J113" i="3"/>
  <c r="Z113" i="3" s="1"/>
  <c r="J114" i="3"/>
  <c r="Z114" i="3" s="1"/>
  <c r="J115" i="3"/>
  <c r="Z115" i="3" s="1"/>
  <c r="J116" i="3"/>
  <c r="Z116" i="3" s="1"/>
  <c r="J117" i="3"/>
  <c r="Z117" i="3" s="1"/>
  <c r="J118" i="3"/>
  <c r="Z118" i="3" s="1"/>
  <c r="J119" i="3"/>
  <c r="Z119" i="3" s="1"/>
  <c r="J121" i="3"/>
  <c r="Z121" i="3" s="1"/>
  <c r="J122" i="3"/>
  <c r="Z122" i="3" s="1"/>
  <c r="J123" i="3"/>
  <c r="Z123" i="3" s="1"/>
  <c r="J124" i="3"/>
  <c r="Z124" i="3" s="1"/>
  <c r="J125" i="3"/>
  <c r="Z125" i="3" s="1"/>
  <c r="J126" i="3"/>
  <c r="Z126" i="3" s="1"/>
  <c r="J127" i="3"/>
  <c r="Z127" i="3" s="1"/>
  <c r="J128" i="3"/>
  <c r="Z128" i="3" s="1"/>
  <c r="J129" i="3"/>
  <c r="Z129" i="3" s="1"/>
  <c r="J130" i="3"/>
  <c r="Z130" i="3" s="1"/>
  <c r="J131" i="3"/>
  <c r="Z131" i="3" s="1"/>
  <c r="J132" i="3"/>
  <c r="Z132" i="3" s="1"/>
  <c r="J133" i="3"/>
  <c r="Z133" i="3" s="1"/>
  <c r="J134" i="3"/>
  <c r="Z134" i="3" s="1"/>
  <c r="J135" i="3"/>
  <c r="Z135" i="3" s="1"/>
  <c r="J136" i="3"/>
  <c r="Z136" i="3" s="1"/>
  <c r="J137" i="3"/>
  <c r="Z137" i="3" s="1"/>
  <c r="J138" i="3"/>
  <c r="Z138" i="3" s="1"/>
  <c r="J139" i="3"/>
  <c r="Z139" i="3" s="1"/>
  <c r="J140" i="3"/>
  <c r="Z140" i="3" s="1"/>
  <c r="J141" i="3"/>
  <c r="Z141" i="3" s="1"/>
  <c r="J142" i="3"/>
  <c r="Z142" i="3" s="1"/>
  <c r="J143" i="3"/>
  <c r="Z143" i="3" s="1"/>
  <c r="J144" i="3"/>
  <c r="Z144" i="3" s="1"/>
  <c r="J145" i="3"/>
  <c r="Z145" i="3" s="1"/>
  <c r="J3" i="3"/>
  <c r="Z3" i="3" s="1"/>
  <c r="F67" i="3"/>
  <c r="H67" i="3" s="1"/>
  <c r="H146" i="3" s="1"/>
  <c r="Z53" i="3" l="1"/>
  <c r="F67" i="2"/>
  <c r="H67" i="2"/>
  <c r="H146" i="2" l="1"/>
</calcChain>
</file>

<file path=xl/sharedStrings.xml><?xml version="1.0" encoding="utf-8"?>
<sst xmlns="http://schemas.openxmlformats.org/spreadsheetml/2006/main" count="1354" uniqueCount="469">
  <si>
    <t>Stock Summary - 14.04.2025</t>
  </si>
  <si>
    <t>Sr No</t>
  </si>
  <si>
    <t>Material Description</t>
  </si>
  <si>
    <t>Purchase Item Code</t>
  </si>
  <si>
    <t>Inward Qty</t>
  </si>
  <si>
    <t>Outward Qty</t>
  </si>
  <si>
    <t>Balance Qty</t>
  </si>
  <si>
    <t>Rate</t>
  </si>
  <si>
    <t>Total Value</t>
  </si>
  <si>
    <t xml:space="preserve">Material Current Location QTY </t>
  </si>
  <si>
    <t>Panel For Water Quality Instrument with Acrylic Box</t>
  </si>
  <si>
    <t>PNLV001KP00801</t>
  </si>
  <si>
    <t>Sakar=1</t>
  </si>
  <si>
    <t>Modular IO-Analog OUT PUT FL-SC-A004-I-CE</t>
  </si>
  <si>
    <t>PLCF001SE01302</t>
  </si>
  <si>
    <t>Sakar=10</t>
  </si>
  <si>
    <t>Radar Level Transmitter</t>
  </si>
  <si>
    <t>LVLC001BE00801</t>
  </si>
  <si>
    <t>Sakar=18</t>
  </si>
  <si>
    <t>Pressure Transmitter</t>
  </si>
  <si>
    <t>PRTA010BA00402</t>
  </si>
  <si>
    <t>Sakar=5,TS=2</t>
  </si>
  <si>
    <t>Hydrostatic Level Transmitter</t>
  </si>
  <si>
    <t>LVLE050MI00703</t>
  </si>
  <si>
    <t>Sakar WH=00, Sakar WH=183,Sakar=2,Expo=2</t>
  </si>
  <si>
    <t>iVFD-T-7.5</t>
  </si>
  <si>
    <t>PPAO012NA00000</t>
  </si>
  <si>
    <t>Baharich=10,Themis=1, Sakar WH=3, Sakar=7,Krishant=3, Sakar=6</t>
  </si>
  <si>
    <t>iVFD-T-11</t>
  </si>
  <si>
    <t>PPAO014NA00000</t>
  </si>
  <si>
    <t>Baharich=26, Sakar WH=22,Krishant=4, Themis=36,Sakar=7</t>
  </si>
  <si>
    <t>iVFD-T-15</t>
  </si>
  <si>
    <t>PPAO016NA00000</t>
  </si>
  <si>
    <t>Baharich=6, Sakar WH=2,Krishant=1, Sakar WH=7,Krishant=3, Sakar =8,Themis=22</t>
  </si>
  <si>
    <t>Pressure Transmitter (New) XYT</t>
  </si>
  <si>
    <t>PRTA010XT00901</t>
  </si>
  <si>
    <t>Sakar=25 With Dispaly,Sakar=4(With out Display), Sakar=250</t>
  </si>
  <si>
    <t>Online Turbidity Meter Measure range: 0-400 NTU</t>
  </si>
  <si>
    <t>WQATUT001NN004</t>
  </si>
  <si>
    <t>Sakar=9,Krishant=3, Sakar=30, TS=1,Sakar=2, Krishant=5, Nextgen=26,Krishant=4,Themis=3,Sakar=15, Sakar=9</t>
  </si>
  <si>
    <t>Online Free Chlorine Meter with Sensor</t>
  </si>
  <si>
    <t>WQACLT001NN003</t>
  </si>
  <si>
    <t>Krishant=3,Sakar=6, TS=1, TS=1, Krishant=5, Nextgen=26,Krishant=4,Themis=3,Sakar=15, Sakar=9</t>
  </si>
  <si>
    <t>DLINK Cat-6 Lan Cable</t>
  </si>
  <si>
    <t> CABB001NA00000</t>
  </si>
  <si>
    <t>Sakar= 250 Meter</t>
  </si>
  <si>
    <t>EMFM 80NB Model-151MFM</t>
  </si>
  <si>
    <t>EFMR003SB00103</t>
  </si>
  <si>
    <t>Sakar WH=8,Sakar=1</t>
  </si>
  <si>
    <t>LRS-50-24</t>
  </si>
  <si>
    <t>PPAB009NA00000</t>
  </si>
  <si>
    <t>Sakar=4</t>
  </si>
  <si>
    <t xml:space="preserve">EMFM MODEL-151MFM 200NB </t>
  </si>
  <si>
    <t>EFMR007SB00103</t>
  </si>
  <si>
    <t>Pirana=1, Sakar=0</t>
  </si>
  <si>
    <t>25mm PVC Flexible PIPE-Black</t>
  </si>
  <si>
    <t>ELAM103PR00001</t>
  </si>
  <si>
    <t>Sakar=100, Pirana=50</t>
  </si>
  <si>
    <t>Solar Charger Controller 12v/10Amp</t>
  </si>
  <si>
    <t>MISU001NA00000</t>
  </si>
  <si>
    <t>Sakar=3</t>
  </si>
  <si>
    <t>SCV-200-01</t>
  </si>
  <si>
    <t>PLAX102SP00000</t>
  </si>
  <si>
    <t>Over Voltage Protection</t>
  </si>
  <si>
    <t>PPAA003CC00000</t>
  </si>
  <si>
    <t>Sakar=200, Sakar=87</t>
  </si>
  <si>
    <t>Solar Panel 12V/80W</t>
  </si>
  <si>
    <t>MISE002NA00000</t>
  </si>
  <si>
    <t>Sakar=1,Krishant=1</t>
  </si>
  <si>
    <t>Exide Power safe EP 26-12</t>
  </si>
  <si>
    <t>PPAJ011EX00500</t>
  </si>
  <si>
    <t>Fuji  Finch PW 1KVA Online UPS</t>
  </si>
  <si>
    <t>UPSB101FS00901</t>
  </si>
  <si>
    <t>Sakar=8</t>
  </si>
  <si>
    <t>TUS-ULTRATROL-21</t>
  </si>
  <si>
    <t>LVLB004PT00101</t>
  </si>
  <si>
    <t xml:space="preserve">Flowmag 900 150NB </t>
  </si>
  <si>
    <t>EFMR006FT00002</t>
  </si>
  <si>
    <t>sakar=1</t>
  </si>
  <si>
    <t>MFM376-C-CE</t>
  </si>
  <si>
    <t>PPAG301SL00300</t>
  </si>
  <si>
    <t>Sakar=13, Sakar=12, Sakar=56, Nextgen=26</t>
  </si>
  <si>
    <t>Actuator Model: QT- 5, on/off Duty, valve size:80mm</t>
  </si>
  <si>
    <t>MOVC002MA00300</t>
  </si>
  <si>
    <t>Sakar WH=6</t>
  </si>
  <si>
    <t>Exide CS 7-12</t>
  </si>
  <si>
    <t>PPAJ015EX00800</t>
  </si>
  <si>
    <t>Sakar=2</t>
  </si>
  <si>
    <t>Dlink Cat6 1Mtr</t>
  </si>
  <si>
    <t>CABB101NA00000</t>
  </si>
  <si>
    <t>Sakar=22 Meter,3Nos Internal testing At sakar.</t>
  </si>
  <si>
    <t>Photocell Day/Night Sensor(BT31P1)</t>
  </si>
  <si>
    <t>PPAS002RE02400</t>
  </si>
  <si>
    <t>Sakar=5</t>
  </si>
  <si>
    <t>Reference Cell Permanent:cy/cuSo4</t>
  </si>
  <si>
    <t>ONGA101Z000001</t>
  </si>
  <si>
    <t>Airmaster Gauge/Syphon U Pipe/Syphon Cock 0-21kg-4"</t>
  </si>
  <si>
    <t>PRGA025AM00001</t>
  </si>
  <si>
    <t>sakar=2</t>
  </si>
  <si>
    <t>PVC Conduit Pipe Flexible 50mm</t>
  </si>
  <si>
    <t>ELAM106PR00001</t>
  </si>
  <si>
    <t xml:space="preserve">Sakar =25 </t>
  </si>
  <si>
    <t>Industrial Helmet</t>
  </si>
  <si>
    <t>TOOA002UN00000</t>
  </si>
  <si>
    <t>SCV 100-01 100 Ltr Tank</t>
  </si>
  <si>
    <t>PLAX101SP00000</t>
  </si>
  <si>
    <t>2.5sqmm*4core Copper Flexible Cable-FRLS</t>
  </si>
  <si>
    <t>CABF403PO00003</t>
  </si>
  <si>
    <t xml:space="preserve">SakarWH=200,Sakar=30, SakarWH=700, Pirana WH = 1800 </t>
  </si>
  <si>
    <t>1sqmm*10core Copper Flexible Cable-FRLS</t>
  </si>
  <si>
    <t>CABF901PO00003</t>
  </si>
  <si>
    <t>Sakar=400</t>
  </si>
  <si>
    <t>Flow meter DN150</t>
  </si>
  <si>
    <t>EFMR006XT00300</t>
  </si>
  <si>
    <t>Pirana=1, Pirana=1</t>
  </si>
  <si>
    <t>150DN Wafer Type Butterfly Valve</t>
  </si>
  <si>
    <t>MOVC005TN00000</t>
  </si>
  <si>
    <t>iEFM-150</t>
  </si>
  <si>
    <t>EFMR006MI00300</t>
  </si>
  <si>
    <t xml:space="preserve">Pirana WH =8,TS=1, </t>
  </si>
  <si>
    <t>iPMU-7-E-V000</t>
  </si>
  <si>
    <t>HMIA007KN00703</t>
  </si>
  <si>
    <t>Krishant=12,Nextgen=26,Themis=1,, Pirana WH=250(GMDA),Themis=19, Krishant=66,Themis=115(Anutech),Sakar=69</t>
  </si>
  <si>
    <t>Met Pump Neo 6 LPH 4-20With LS</t>
  </si>
  <si>
    <t>WQACDO001ED002</t>
  </si>
  <si>
    <t>PVC BOX 300*255*120</t>
  </si>
  <si>
    <t>PNLS000NA00000</t>
  </si>
  <si>
    <t>Sakar=3,Sakar WH=7,Pirana=73</t>
  </si>
  <si>
    <t>iVFD-T-5.5</t>
  </si>
  <si>
    <t>PPAO011NA00000</t>
  </si>
  <si>
    <t>TS=1,Krishant=2, Sakar WH=11, Sakar  =5, Themis =1</t>
  </si>
  <si>
    <t>iVFD-T-18.5</t>
  </si>
  <si>
    <t>PPAO017NA00000</t>
  </si>
  <si>
    <t>Sakar WH=16, Sakar=5,Themis=10</t>
  </si>
  <si>
    <t>150DN Electric Butterfly Valve</t>
  </si>
  <si>
    <t>MOVC005ZD00000</t>
  </si>
  <si>
    <t>150mm Electric Butterfly Valve</t>
  </si>
  <si>
    <t>MOVC005ZB00000</t>
  </si>
  <si>
    <t>MOVC005AR00000</t>
  </si>
  <si>
    <t>Flow Control Vlve DN-150</t>
  </si>
  <si>
    <t>MOVC005NA00000</t>
  </si>
  <si>
    <t>Sakar=1,Sakar WH=9</t>
  </si>
  <si>
    <t>MOdbus to 4G Lan Max Gateway</t>
  </si>
  <si>
    <t>MODF001WI00304</t>
  </si>
  <si>
    <t>Sakar=18,Themis=2,Pirana WH=1,TS=1</t>
  </si>
  <si>
    <t>2.5sqmm*3core Copper Flexible Cable FRLS Black</t>
  </si>
  <si>
    <t>CABF303NA00003</t>
  </si>
  <si>
    <t>Pirana=2000, Pirana=600</t>
  </si>
  <si>
    <t>1sqmm*2core Copper Flexible Cable FRLS-Black</t>
  </si>
  <si>
    <t>CABF203NA00003</t>
  </si>
  <si>
    <t>Sakar =2000,Sakar=500,Pirana=100 (Testing for iot pb)</t>
  </si>
  <si>
    <t>10core*1sqmm Copper Flexible Cable Black-FRLS</t>
  </si>
  <si>
    <t>CABF901NA00003</t>
  </si>
  <si>
    <t>Sakar= 300 Meter</t>
  </si>
  <si>
    <t>iSS-K-11</t>
  </si>
  <si>
    <t>PPAO014NA04000</t>
  </si>
  <si>
    <t>Sakar=14</t>
  </si>
  <si>
    <t>White 4x4 Inch PVC Junction Box</t>
  </si>
  <si>
    <t>ELAZ101NA00000</t>
  </si>
  <si>
    <t>Sakar=20</t>
  </si>
  <si>
    <t>White 6 x4 Inch PVC Junction Box</t>
  </si>
  <si>
    <t>ELAZ102NA00000</t>
  </si>
  <si>
    <t>Sakar WH=1, Sakar WH=20</t>
  </si>
  <si>
    <t xml:space="preserve">100mm Electrics Butterfly Valve </t>
  </si>
  <si>
    <t>MOVC003BO00000</t>
  </si>
  <si>
    <t>Fluid Control Lab=1</t>
  </si>
  <si>
    <t>Flow Control Valve DN80</t>
  </si>
  <si>
    <t>MOVC002NA00000</t>
  </si>
  <si>
    <t>Sakar WH=23</t>
  </si>
  <si>
    <t>Flow Control Valve DN-100</t>
  </si>
  <si>
    <t>MOVC003NA00000</t>
  </si>
  <si>
    <t>Sakar=9</t>
  </si>
  <si>
    <t>Flow Control Valve DN200</t>
  </si>
  <si>
    <t>MOVC006NA00000</t>
  </si>
  <si>
    <t>Sakar WH=1</t>
  </si>
  <si>
    <t>Flow Control Valve DN250</t>
  </si>
  <si>
    <t>MOVC007NA00000</t>
  </si>
  <si>
    <t>Pirana WH =4</t>
  </si>
  <si>
    <t>Flow Control Valve DN300</t>
  </si>
  <si>
    <t>MOVC008NA00000</t>
  </si>
  <si>
    <t>Sakar=1, Sakar=1</t>
  </si>
  <si>
    <t>Pressure Transmitter iPT-10-E-24-C1-G-D</t>
  </si>
  <si>
    <t>PRTA016NA00000</t>
  </si>
  <si>
    <t>Sakar-4=173,Pirana WH=1, Sakar-4=100</t>
  </si>
  <si>
    <t>Human Machine Interface 12 inch</t>
  </si>
  <si>
    <t>HMIA012NA00000</t>
  </si>
  <si>
    <t>63A DC 6kA 1000V DC MCB</t>
  </si>
  <si>
    <t>PPAL009CH02000</t>
  </si>
  <si>
    <t>Sakar WH=23,Themis=1, Themis=17,Krishant=12,Sakar=12, Sakar=15, Themis=120</t>
  </si>
  <si>
    <t>iEFM-100</t>
  </si>
  <si>
    <t>EFMR004MI00300</t>
  </si>
  <si>
    <t xml:space="preserve">Pirana=2(1Nos Use For Test Line and 1Nos Use For R&amp;D) FCRI=4(DC-157/2024-25,DC-170/2024-25),Jaunpur=5 </t>
  </si>
  <si>
    <t>iEFM-200</t>
  </si>
  <si>
    <t>EFMR007MI00300</t>
  </si>
  <si>
    <t>Pirana WH=1</t>
  </si>
  <si>
    <t>Tubewell Automation Panel</t>
  </si>
  <si>
    <t>PNLB011NA00300</t>
  </si>
  <si>
    <t>Lummines Sinwave Inverter 750/12v dc</t>
  </si>
  <si>
    <t>UPSB100LU00303</t>
  </si>
  <si>
    <t>Tail End Point Panel</t>
  </si>
  <si>
    <t>PNLA008NA00000</t>
  </si>
  <si>
    <t>Sakar=3, Sakar=15</t>
  </si>
  <si>
    <t>Ultrasonic Level Transmitter 0-8mtr</t>
  </si>
  <si>
    <t>LVLB003NA00001</t>
  </si>
  <si>
    <t>Expo=2,Sakar=11</t>
  </si>
  <si>
    <t>SALZER RELAY MSP 4P 240VAC **1</t>
  </si>
  <si>
    <t>PPAE014SA00000</t>
  </si>
  <si>
    <t>GS2107-WTBD-N</t>
  </si>
  <si>
    <t>HMIA007MI00303</t>
  </si>
  <si>
    <t xml:space="preserve">150mm Wlotman Type Water Mater </t>
  </si>
  <si>
    <t>EFME006NA00000</t>
  </si>
  <si>
    <t>Pirana WH=1,TS=1</t>
  </si>
  <si>
    <t>LG6435 with RS845 and 3 Line display</t>
  </si>
  <si>
    <t>PPG301EL00300</t>
  </si>
  <si>
    <t>TS=3</t>
  </si>
  <si>
    <t>4 core x 1.5 Sq.mm Copper PVC Flexible Cable</t>
  </si>
  <si>
    <t>CABF402PO00001</t>
  </si>
  <si>
    <t>Sakar WH=200</t>
  </si>
  <si>
    <t>Electronic Dosing Pump VA-01 6LPH 4Kg PP</t>
  </si>
  <si>
    <t>WQACDO001VT000</t>
  </si>
  <si>
    <t>ISS-K-22</t>
  </si>
  <si>
    <t>PPAO018NA04000</t>
  </si>
  <si>
    <t>ISS-K-45</t>
  </si>
  <si>
    <t>PPAO021NA04000</t>
  </si>
  <si>
    <t>iPT10 Pressure Transmitter 0-25Bar</t>
  </si>
  <si>
    <t>PRTA025MI00001</t>
  </si>
  <si>
    <t>iPT10 Pressure Transmitter 0-100 Bar</t>
  </si>
  <si>
    <t>PRTA100MI00002</t>
  </si>
  <si>
    <t>SAKAR=1</t>
  </si>
  <si>
    <t>16mm*48 Nut Bolt Washer</t>
  </si>
  <si>
    <t>PLAH005ST00000</t>
  </si>
  <si>
    <t>Sakar=60</t>
  </si>
  <si>
    <t>i VFD-T-4.0</t>
  </si>
  <si>
    <t>PPAO009NA00000</t>
  </si>
  <si>
    <t>Sakar=7,Expo=1, Themis=28, Themis=118, SAKAR=20</t>
  </si>
  <si>
    <t>i VFD-T-22</t>
  </si>
  <si>
    <t>PPAO018NA00000</t>
  </si>
  <si>
    <t>Sakar WH=16,Sakar=2, Themis=1,Sakar=2</t>
  </si>
  <si>
    <t>Relay 230 V AC, 2 CO</t>
  </si>
  <si>
    <t>PPAE005SC00000</t>
  </si>
  <si>
    <t>iEFM-250</t>
  </si>
  <si>
    <t>EFMR008MI00300</t>
  </si>
  <si>
    <t>Sakar =1,Pirana WH =6</t>
  </si>
  <si>
    <t>iEFM-300</t>
  </si>
  <si>
    <t>EFMR009MI00300</t>
  </si>
  <si>
    <t>Pirana WH =8</t>
  </si>
  <si>
    <t>iEFM-350</t>
  </si>
  <si>
    <t>EFMR010MI00300</t>
  </si>
  <si>
    <t>Pirana WH =5</t>
  </si>
  <si>
    <t>Flow meter DN80</t>
  </si>
  <si>
    <t>EFMR003XT00300</t>
  </si>
  <si>
    <t>Flow meter DN100</t>
  </si>
  <si>
    <t>EFMR004XT00300</t>
  </si>
  <si>
    <t>Flow meter DN125</t>
  </si>
  <si>
    <t>EFMR005XT00300</t>
  </si>
  <si>
    <t>Flow meter DN200</t>
  </si>
  <si>
    <t>EFMR007XT00300</t>
  </si>
  <si>
    <t>Pirana=1</t>
  </si>
  <si>
    <t>Flow meter DN250</t>
  </si>
  <si>
    <t>EFMR008XT00300</t>
  </si>
  <si>
    <t>1sqmm x 2core Copper Flexible Cable</t>
  </si>
  <si>
    <t>CABF203PO00007</t>
  </si>
  <si>
    <t>Pirana WH = 50 Meter</t>
  </si>
  <si>
    <t>10 core x1.5 Sq mm Copper Flexible Insulated Cable</t>
  </si>
  <si>
    <t>CABF902PO00001</t>
  </si>
  <si>
    <t>Sakar WH=400</t>
  </si>
  <si>
    <t>Indo-JB-3020-SMC 300MM*200MM*105MM Job Work</t>
  </si>
  <si>
    <t>PNLJ000NA00000</t>
  </si>
  <si>
    <t>Pirana=3</t>
  </si>
  <si>
    <t>Chlorine Dosing System -M-Without Tank</t>
  </si>
  <si>
    <t>WQACDO001ED101</t>
  </si>
  <si>
    <t>Relay 24 V DC, 2 CO Make:BCH</t>
  </si>
  <si>
    <t>PPAE009SC00000</t>
  </si>
  <si>
    <t>Supply of Permanent Copper Sulfate Electrode 14627  Mc Miller</t>
  </si>
  <si>
    <t>ONGA101MC00001</t>
  </si>
  <si>
    <t xml:space="preserve">Controlplus: 57 </t>
  </si>
  <si>
    <t>Solid Shaft Encoder J-58A</t>
  </si>
  <si>
    <t>MISK001JA01600</t>
  </si>
  <si>
    <t>Sakar= 256 Nos</t>
  </si>
  <si>
    <t>ADVM Protocol Converter</t>
  </si>
  <si>
    <t>MODN007NA00000</t>
  </si>
  <si>
    <t>Unix-1-230V Compact PLC -Panel Mount</t>
  </si>
  <si>
    <t>PLCQ001SE01003</t>
  </si>
  <si>
    <t>Krishant = 80, Krishant =165, Krishant =3</t>
  </si>
  <si>
    <t>Panel Pole Mounting bracket (1 Set = 2 Pcs.) Size: 40mm x 3mm</t>
  </si>
  <si>
    <t>PPAAL000061910</t>
  </si>
  <si>
    <t>TS=1,Rishi Enterprise=1</t>
  </si>
  <si>
    <t>LoRA Antenna Clamp with black powder coating (thickness 80 ~ 90 microns)</t>
  </si>
  <si>
    <t>PLAG000ST00001</t>
  </si>
  <si>
    <t>Sakar=600</t>
  </si>
  <si>
    <t>LoRA GW Antenna Clamp with black powder coating (thickness 80 ~ 90 microns)</t>
  </si>
  <si>
    <t>PLAG000ST00014</t>
  </si>
  <si>
    <t>Sakar=150</t>
  </si>
  <si>
    <t>Digital pH Sensor Measuring range: 0-14 Accuracy: ±0.02pH ±0.3°C Output: RS485 and 4~20mA</t>
  </si>
  <si>
    <t>WQAO001NN00501</t>
  </si>
  <si>
    <t>Sakar=1,ITC=1, Sakar=6</t>
  </si>
  <si>
    <t>Ultrasonic Level Transmitter</t>
  </si>
  <si>
    <t>LVLB002CI00000</t>
  </si>
  <si>
    <t>TS=1,Sakar=1, TS=1, Sakar=85, Sakar=100</t>
  </si>
  <si>
    <t>iEFM-50</t>
  </si>
  <si>
    <t>EFMR001MI00300</t>
  </si>
  <si>
    <t>iEFM-65</t>
  </si>
  <si>
    <t>EFMR002MI00300</t>
  </si>
  <si>
    <t>Online Conductivity Meter Measuring range: K=10, 0~2000μS/cm Accuracy: ±2%FS</t>
  </si>
  <si>
    <t>WQAP000CI00600</t>
  </si>
  <si>
    <t>Sakar=6</t>
  </si>
  <si>
    <t>Lighting Arrester (Heavy)</t>
  </si>
  <si>
    <t>ELAU113KA00600</t>
  </si>
  <si>
    <t>RS-232 to 485 converter w/ iso. R Model No: ADAM-4520-F</t>
  </si>
  <si>
    <t>MODM006AD00000</t>
  </si>
  <si>
    <t>2.5 SQ MM END SLEEVE INSU LUGS</t>
  </si>
  <si>
    <t>ELAB024ST00000</t>
  </si>
  <si>
    <t>Pirana=200</t>
  </si>
  <si>
    <t>VFD 1.5kW 380v 3 Phase CDI-EM60G1R5T4B</t>
  </si>
  <si>
    <t>PPAO001DE04300</t>
  </si>
  <si>
    <t>2.5 SQ MM RING TypeLUGS</t>
  </si>
  <si>
    <t>ELAB024ST00001</t>
  </si>
  <si>
    <t>Pirana WH=100</t>
  </si>
  <si>
    <t>10” Inch HMI Model: FP4101TN Make: Renu</t>
  </si>
  <si>
    <t>HMI010RE00803</t>
  </si>
  <si>
    <t xml:space="preserve">KEYBOARD Dell </t>
  </si>
  <si>
    <t>ITAM001NA00000</t>
  </si>
  <si>
    <t>Mouse Dell</t>
  </si>
  <si>
    <t>ITAM003NA00000</t>
  </si>
  <si>
    <t>Pressure Transmitter without Display Pressure Range: 0 ~ 10 Bar=15,0 ~ 100 Bar=14,0 ~ 40=10 Bar,0 ~ 60 Bar=18</t>
  </si>
  <si>
    <t>(PRTA010MI00002 0-10Bar)-2Nos  (PRTA100MI00002 0-100Bar)-6Nos</t>
  </si>
  <si>
    <t>Sakar - 0 to 60 Bar=2, 0 to 10 Bar =2, 0 to 40 Bar=2, 0 to 100 =2 )</t>
  </si>
  <si>
    <t>Electromagnetic Flowmeter DN40</t>
  </si>
  <si>
    <t>EFMR012CM00003</t>
  </si>
  <si>
    <t>Pirana WH=6</t>
  </si>
  <si>
    <t>Electromagnetic Flowmeter DN50</t>
  </si>
  <si>
    <t>EFMR001CM00003</t>
  </si>
  <si>
    <t>Pirana WH=90</t>
  </si>
  <si>
    <t>Electromagnetic Flowmeter DN80</t>
  </si>
  <si>
    <t>EFMR003CM00003</t>
  </si>
  <si>
    <t>Electromagnetic Flowmeter DN100</t>
  </si>
  <si>
    <t>EFMR004CM00003</t>
  </si>
  <si>
    <t>Pirana WH=11</t>
  </si>
  <si>
    <t>Electromagnetic Flowmeter DN150</t>
  </si>
  <si>
    <t>EFMR006CM00003</t>
  </si>
  <si>
    <t>Pirana WH=7</t>
  </si>
  <si>
    <t>Electromagnetic Flowmeter DN200</t>
  </si>
  <si>
    <t>EFMR007CM00003</t>
  </si>
  <si>
    <t>Pirana WH=5</t>
  </si>
  <si>
    <t>Electromagnetic Flowmeter DN250</t>
  </si>
  <si>
    <t>EFMR008CM00003</t>
  </si>
  <si>
    <t>Electromagnetic Flowmeter DN300</t>
  </si>
  <si>
    <t>EFMR009CM00003</t>
  </si>
  <si>
    <t>Electromagnetic Flowmeter DN350</t>
  </si>
  <si>
    <t>EFMR010CM00003</t>
  </si>
  <si>
    <t>Electromagnetic Flowmeter DN400</t>
  </si>
  <si>
    <t>EFMR011CM00003</t>
  </si>
  <si>
    <t>Electromagnetic Flowmeter DN600</t>
  </si>
  <si>
    <t>EFMR013CM00003</t>
  </si>
  <si>
    <t>Electromagnetic Flowmeter DN900</t>
  </si>
  <si>
    <t>EFMR014CM00003</t>
  </si>
  <si>
    <t>Pirana WH=2</t>
  </si>
  <si>
    <t>Rock Salt</t>
  </si>
  <si>
    <t>ELAU000NA00000</t>
  </si>
  <si>
    <t>Barabanki=2</t>
  </si>
  <si>
    <t>SMC ENCLOSURE BOX Dimension: 140 x 140 x 95mm</t>
  </si>
  <si>
    <t>ELAU106VS00000</t>
  </si>
  <si>
    <t>HP WORKSTATION Z2 G9 Tower (8S171PA) I7-12700/16GB D5 /1TB NVME /WIN11P /SP /500W / 3YR)/with monitor 324pV 23.5 Inch Additional 1 TB HDD DIS Seagate</t>
  </si>
  <si>
    <t>ITAK013NA00000</t>
  </si>
  <si>
    <t>Digital Turbidity sensor Measuring range: 0-400NTU</t>
  </si>
  <si>
    <t>WQAF001NN00000</t>
  </si>
  <si>
    <t>0.75 Sqmm x 1 Pair Copper Shielded Armored Cable</t>
  </si>
  <si>
    <t>CABC500PO00002</t>
  </si>
  <si>
    <t>Pirana WH = 5015  Meter</t>
  </si>
  <si>
    <t>1.5 Sqmm x 4 Core Copper FRLS Armored Cable</t>
  </si>
  <si>
    <t>CABC402PO00003</t>
  </si>
  <si>
    <t>Pirana WH= 1255 Meter</t>
  </si>
  <si>
    <t>0.75 Sqmm x 2 Pair Copper Shielded Armored Cable</t>
  </si>
  <si>
    <t>CABC509PO00002</t>
  </si>
  <si>
    <t>Pirana WH = 1655 Meter</t>
  </si>
  <si>
    <t>0.75 Sqmm x 6 Pair Copper Shielded Armored Cable</t>
  </si>
  <si>
    <t>CABC505PO00002</t>
  </si>
  <si>
    <t>Pirana WH =260 Meter</t>
  </si>
  <si>
    <t>15 mm flexible conduit polymid type pipe - industrial grade PG-11</t>
  </si>
  <si>
    <t>ELAM108VS00400</t>
  </si>
  <si>
    <t>Sakar= 50 Meter</t>
  </si>
  <si>
    <t>21 mm flexible conduit polymid type pipe - industrial grade PG-16</t>
  </si>
  <si>
    <t>ELAM109VS00500</t>
  </si>
  <si>
    <t>Supply of Cable for All Accessories</t>
  </si>
  <si>
    <t>CABF000PO00000</t>
  </si>
  <si>
    <t>EPDM rubber “O” ring Dimensions: 67x7 mm</t>
  </si>
  <si>
    <t>ELAY006ST00000 </t>
  </si>
  <si>
    <t>Sakar=410</t>
  </si>
  <si>
    <t>Wafer type Butterfly Valve with Electrical actuator 150MM</t>
  </si>
  <si>
    <t>MOVC005QI00000</t>
  </si>
  <si>
    <t>Total Amount</t>
  </si>
  <si>
    <t xml:space="preserve">Sakar </t>
  </si>
  <si>
    <t>TS</t>
  </si>
  <si>
    <t>Sakar WH</t>
  </si>
  <si>
    <t>Themis</t>
  </si>
  <si>
    <t>Krishant</t>
  </si>
  <si>
    <t>Pirana WH</t>
  </si>
  <si>
    <t>Nextgen</t>
  </si>
  <si>
    <t>Expo</t>
  </si>
  <si>
    <t>Fluid Control Lab</t>
  </si>
  <si>
    <t>Rishi Enterprise</t>
  </si>
  <si>
    <t>ITC</t>
  </si>
  <si>
    <t>Controlplus</t>
  </si>
  <si>
    <t>FCRI</t>
  </si>
  <si>
    <t>Jaunpur</t>
  </si>
  <si>
    <t>Baharich</t>
  </si>
  <si>
    <t>Barabanki</t>
  </si>
  <si>
    <t>Total</t>
  </si>
  <si>
    <t>Sakar WH=183,Sakar=2,Expo=2</t>
  </si>
  <si>
    <t>Baharich=6, Sakar WH=2,Krishant=1, Sakar WH=7,Krishant=3, Sakar=8,Themis=22</t>
  </si>
  <si>
    <t>Online Turbidity  Measure range: 0-400 NTU</t>
  </si>
  <si>
    <t>Online Free Chlorine  with Sensor</t>
  </si>
  <si>
    <t xml:space="preserve">Sakar= 250 </t>
  </si>
  <si>
    <t>Sakar=22 ,3Nos Internal testing At sakar.</t>
  </si>
  <si>
    <t xml:space="preserve">Sakar=25 </t>
  </si>
  <si>
    <t xml:space="preserve">Sakar WH=200,Sakar=30, Sakar WH=700, Pirana= 1800 </t>
  </si>
  <si>
    <t>Flow  DN150</t>
  </si>
  <si>
    <t>Pirana=1,Pirana=1</t>
  </si>
  <si>
    <t xml:space="preserve">Pirana=8,TS=1, </t>
  </si>
  <si>
    <t>Krishant=12,Nextgen=26,Themis=1, Pirana=250 (GMDA),Themis=19, Krishant=66,Themis=115(Anutech),Sakar=69</t>
  </si>
  <si>
    <t>TS=1,Krishant=2, Sakar WH=11, Sakar=5, Themis=1</t>
  </si>
  <si>
    <t>Sakar=18,Themis=2,Pirana=1,TS=1</t>
  </si>
  <si>
    <t>Sakar WH=2000,Sakar=500,Pirana=100  (Testing for iot pb)</t>
  </si>
  <si>
    <t xml:space="preserve">Sakar= 300 </t>
  </si>
  <si>
    <t>Sakar WH=9</t>
  </si>
  <si>
    <t>Pirana=4</t>
  </si>
  <si>
    <t>Sakar WH=1, Sakar WH=1</t>
  </si>
  <si>
    <t>Sakar=173,Pirana=1, Sakar=100</t>
  </si>
  <si>
    <t xml:space="preserve">Pirana=2, FCRI=4(DC-157/2024-25,DC-170/2024-25),Jaunpur=5 </t>
  </si>
  <si>
    <t>Pirana=1,TS=1</t>
  </si>
  <si>
    <t>Sakar=1,Pirana=6</t>
  </si>
  <si>
    <t>Pirana=8</t>
  </si>
  <si>
    <t>Pirana=5</t>
  </si>
  <si>
    <t>Flow  DN80</t>
  </si>
  <si>
    <t>Flow  DN100</t>
  </si>
  <si>
    <t>Flow  DN125</t>
  </si>
  <si>
    <t>Flow  DN200</t>
  </si>
  <si>
    <t>Flow  DN250</t>
  </si>
  <si>
    <t xml:space="preserve">Pirana= 50 </t>
  </si>
  <si>
    <t xml:space="preserve">Controlplus=57 </t>
  </si>
  <si>
    <t>Sakar= 256</t>
  </si>
  <si>
    <t>Krishant= 80, Krishant=165, Krishant=3</t>
  </si>
  <si>
    <t>Panel Pole Mounting bracket (1 Set= 2 Pcs.) Size: 40mm x 3mm</t>
  </si>
  <si>
    <t>Online Conductivity  Measuring range: K=10, 0~2000μS/cm Accuracy: ±2%FS</t>
  </si>
  <si>
    <t>Pirana=100</t>
  </si>
  <si>
    <t>Sakar - 0 to 60 Bar=2, 0 to 10 Bar=2, 0 to 40 Bar=2, 0 to 100=2 )</t>
  </si>
  <si>
    <t>Electromagnetic Flow DN40</t>
  </si>
  <si>
    <t>Pirana=6</t>
  </si>
  <si>
    <t>Electromagnetic Flow DN50</t>
  </si>
  <si>
    <t>Pirana=90</t>
  </si>
  <si>
    <t>Electromagnetic Flow DN80</t>
  </si>
  <si>
    <t>Electromagnetic Flow DN100</t>
  </si>
  <si>
    <t>Pirana=11</t>
  </si>
  <si>
    <t>Electromagnetic Flow DN150</t>
  </si>
  <si>
    <t>Pirana=7</t>
  </si>
  <si>
    <t>Electromagnetic Flow DN200</t>
  </si>
  <si>
    <t>Electromagnetic Flow DN250</t>
  </si>
  <si>
    <t>Electromagnetic Flow DN300</t>
  </si>
  <si>
    <t>Electromagnetic Flow DN350</t>
  </si>
  <si>
    <t>Electromagnetic Flow DN400</t>
  </si>
  <si>
    <t>Electromagnetic Flow DN600</t>
  </si>
  <si>
    <t>Electromagnetic Flow DN900</t>
  </si>
  <si>
    <t>Pirana=2</t>
  </si>
  <si>
    <t xml:space="preserve">Pirana= 5015  </t>
  </si>
  <si>
    <t xml:space="preserve">Pirana= 1255 </t>
  </si>
  <si>
    <t xml:space="preserve">Pirana= 1655 </t>
  </si>
  <si>
    <t xml:space="preserve">Pirana=260 </t>
  </si>
  <si>
    <t xml:space="preserve">Sakar= 50 </t>
  </si>
  <si>
    <t>Stock Summary - 14.04.2025-R3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</si>
</sst>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50F8-290C-4D23-B4EE-CA1A49769F96}">
  <dimension ref="A1:I148"/>
  <sheetViews>
    <sheetView topLeftCell="A106" zoomScale="130" zoomScaleNormal="130" workbookViewId="0">
      <selection activeCell="A2" sqref="A2:I145"/>
    </sheetView>
  </sheetViews>
  <sheetFormatPr defaultRowHeight="15" x14ac:dyDescent="0.25"/>
  <cols>
    <col min="1" max="1" width="7.7109375" style="4" customWidth="1"/>
    <col min="2" max="2" width="23" style="1" customWidth="1"/>
    <col min="3" max="3" width="20" style="1" customWidth="1"/>
    <col min="4" max="6" width="8.7109375" style="3" customWidth="1"/>
    <col min="7" max="7" width="13" style="2" bestFit="1" customWidth="1"/>
    <col min="8" max="8" width="15.5703125" style="2" bestFit="1" customWidth="1"/>
    <col min="9" max="9" width="27.140625" style="1" customWidth="1"/>
    <col min="10" max="16384" width="9.140625" style="1"/>
  </cols>
  <sheetData>
    <row r="1" spans="1:9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30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ht="45" x14ac:dyDescent="0.25">
      <c r="A3" s="8">
        <v>1</v>
      </c>
      <c r="B3" s="9" t="s">
        <v>10</v>
      </c>
      <c r="C3" s="10" t="s">
        <v>11</v>
      </c>
      <c r="D3" s="8">
        <v>260</v>
      </c>
      <c r="E3" s="8">
        <v>259</v>
      </c>
      <c r="F3" s="8">
        <v>1</v>
      </c>
      <c r="G3" s="13">
        <v>6901.15</v>
      </c>
      <c r="H3" s="13">
        <v>6901.15</v>
      </c>
      <c r="I3" s="11" t="s">
        <v>12</v>
      </c>
    </row>
    <row r="4" spans="1:9" ht="30" x14ac:dyDescent="0.25">
      <c r="A4" s="8">
        <v>2</v>
      </c>
      <c r="B4" s="9" t="s">
        <v>13</v>
      </c>
      <c r="C4" s="10" t="s">
        <v>14</v>
      </c>
      <c r="D4" s="8">
        <v>20</v>
      </c>
      <c r="E4" s="8">
        <v>10</v>
      </c>
      <c r="F4" s="8">
        <v>10</v>
      </c>
      <c r="G4" s="13">
        <v>4553</v>
      </c>
      <c r="H4" s="13">
        <v>45530</v>
      </c>
      <c r="I4" s="11" t="s">
        <v>15</v>
      </c>
    </row>
    <row r="5" spans="1:9" x14ac:dyDescent="0.25">
      <c r="A5" s="8">
        <v>3</v>
      </c>
      <c r="B5" s="9" t="s">
        <v>16</v>
      </c>
      <c r="C5" s="10" t="s">
        <v>17</v>
      </c>
      <c r="D5" s="8">
        <v>445</v>
      </c>
      <c r="E5" s="8">
        <v>427</v>
      </c>
      <c r="F5" s="8">
        <v>18</v>
      </c>
      <c r="G5" s="13">
        <v>19800</v>
      </c>
      <c r="H5" s="13">
        <v>356400</v>
      </c>
      <c r="I5" s="11" t="s">
        <v>18</v>
      </c>
    </row>
    <row r="6" spans="1:9" x14ac:dyDescent="0.25">
      <c r="A6" s="8">
        <v>4</v>
      </c>
      <c r="B6" s="9" t="s">
        <v>19</v>
      </c>
      <c r="C6" s="10" t="s">
        <v>20</v>
      </c>
      <c r="D6" s="8">
        <v>250</v>
      </c>
      <c r="E6" s="8">
        <v>243</v>
      </c>
      <c r="F6" s="8">
        <v>7</v>
      </c>
      <c r="G6" s="13">
        <v>3151</v>
      </c>
      <c r="H6" s="13">
        <v>22057</v>
      </c>
      <c r="I6" s="11" t="s">
        <v>21</v>
      </c>
    </row>
    <row r="7" spans="1:9" ht="30" x14ac:dyDescent="0.25">
      <c r="A7" s="8">
        <v>5</v>
      </c>
      <c r="B7" s="9" t="s">
        <v>22</v>
      </c>
      <c r="C7" s="10" t="s">
        <v>23</v>
      </c>
      <c r="D7" s="8">
        <v>600</v>
      </c>
      <c r="E7" s="8">
        <v>413</v>
      </c>
      <c r="F7" s="8">
        <v>187</v>
      </c>
      <c r="G7" s="13">
        <v>7435.33</v>
      </c>
      <c r="H7" s="13">
        <v>1390407.33</v>
      </c>
      <c r="I7" s="11" t="s">
        <v>24</v>
      </c>
    </row>
    <row r="8" spans="1:9" ht="45" x14ac:dyDescent="0.25">
      <c r="A8" s="8">
        <v>6</v>
      </c>
      <c r="B8" s="9" t="s">
        <v>25</v>
      </c>
      <c r="C8" s="10" t="s">
        <v>26</v>
      </c>
      <c r="D8" s="8">
        <v>171</v>
      </c>
      <c r="E8" s="8">
        <v>141</v>
      </c>
      <c r="F8" s="8">
        <v>30</v>
      </c>
      <c r="G8" s="13">
        <v>12228</v>
      </c>
      <c r="H8" s="13">
        <v>366840.11</v>
      </c>
      <c r="I8" s="11" t="s">
        <v>27</v>
      </c>
    </row>
    <row r="9" spans="1:9" ht="45" x14ac:dyDescent="0.25">
      <c r="A9" s="8">
        <v>7</v>
      </c>
      <c r="B9" s="9" t="s">
        <v>28</v>
      </c>
      <c r="C9" s="10" t="s">
        <v>29</v>
      </c>
      <c r="D9" s="8">
        <v>391</v>
      </c>
      <c r="E9" s="8">
        <v>296</v>
      </c>
      <c r="F9" s="8">
        <v>95</v>
      </c>
      <c r="G9" s="13">
        <v>12438.99</v>
      </c>
      <c r="H9" s="13">
        <v>1181703.5900000001</v>
      </c>
      <c r="I9" s="11" t="s">
        <v>30</v>
      </c>
    </row>
    <row r="10" spans="1:9" ht="60" x14ac:dyDescent="0.25">
      <c r="A10" s="8">
        <v>8</v>
      </c>
      <c r="B10" s="9" t="s">
        <v>31</v>
      </c>
      <c r="C10" s="10" t="s">
        <v>32</v>
      </c>
      <c r="D10" s="8">
        <v>139</v>
      </c>
      <c r="E10" s="8">
        <v>90</v>
      </c>
      <c r="F10" s="8">
        <v>49</v>
      </c>
      <c r="G10" s="13">
        <v>13333.54</v>
      </c>
      <c r="H10" s="13">
        <v>653343.30000000005</v>
      </c>
      <c r="I10" s="11" t="s">
        <v>33</v>
      </c>
    </row>
    <row r="11" spans="1:9" ht="45" x14ac:dyDescent="0.25">
      <c r="A11" s="8">
        <v>9</v>
      </c>
      <c r="B11" s="9" t="s">
        <v>34</v>
      </c>
      <c r="C11" s="10" t="s">
        <v>35</v>
      </c>
      <c r="D11" s="8">
        <v>750</v>
      </c>
      <c r="E11" s="8">
        <v>471</v>
      </c>
      <c r="F11" s="8">
        <v>279</v>
      </c>
      <c r="G11" s="13">
        <v>1872</v>
      </c>
      <c r="H11" s="13">
        <v>522288</v>
      </c>
      <c r="I11" s="11" t="s">
        <v>36</v>
      </c>
    </row>
    <row r="12" spans="1:9" ht="75" x14ac:dyDescent="0.25">
      <c r="A12" s="8">
        <v>10</v>
      </c>
      <c r="B12" s="9" t="s">
        <v>37</v>
      </c>
      <c r="C12" s="10" t="s">
        <v>38</v>
      </c>
      <c r="D12" s="8">
        <v>750</v>
      </c>
      <c r="E12" s="8">
        <v>643</v>
      </c>
      <c r="F12" s="8">
        <v>107</v>
      </c>
      <c r="G12" s="13">
        <v>16560</v>
      </c>
      <c r="H12" s="13">
        <v>1771920</v>
      </c>
      <c r="I12" s="11" t="s">
        <v>39</v>
      </c>
    </row>
    <row r="13" spans="1:9" ht="60" x14ac:dyDescent="0.25">
      <c r="A13" s="8">
        <v>11</v>
      </c>
      <c r="B13" s="9" t="s">
        <v>40</v>
      </c>
      <c r="C13" s="10" t="s">
        <v>41</v>
      </c>
      <c r="D13" s="8">
        <v>778</v>
      </c>
      <c r="E13" s="8">
        <v>705</v>
      </c>
      <c r="F13" s="8">
        <v>73</v>
      </c>
      <c r="G13" s="13">
        <v>15649.36</v>
      </c>
      <c r="H13" s="13">
        <v>1142403.08</v>
      </c>
      <c r="I13" s="11" t="s">
        <v>42</v>
      </c>
    </row>
    <row r="14" spans="1:9" x14ac:dyDescent="0.25">
      <c r="A14" s="8">
        <v>12</v>
      </c>
      <c r="B14" s="9" t="s">
        <v>43</v>
      </c>
      <c r="C14" s="10" t="s">
        <v>44</v>
      </c>
      <c r="D14" s="8">
        <v>1830</v>
      </c>
      <c r="E14" s="8">
        <v>1580</v>
      </c>
      <c r="F14" s="8">
        <v>250</v>
      </c>
      <c r="G14" s="13">
        <v>20.25</v>
      </c>
      <c r="H14" s="13">
        <v>5061.4799999999996</v>
      </c>
      <c r="I14" s="11" t="s">
        <v>45</v>
      </c>
    </row>
    <row r="15" spans="1:9" ht="30" x14ac:dyDescent="0.25">
      <c r="A15" s="8">
        <v>13</v>
      </c>
      <c r="B15" s="9" t="s">
        <v>46</v>
      </c>
      <c r="C15" s="10" t="s">
        <v>47</v>
      </c>
      <c r="D15" s="8">
        <v>12</v>
      </c>
      <c r="E15" s="8">
        <v>3</v>
      </c>
      <c r="F15" s="8">
        <v>9</v>
      </c>
      <c r="G15" s="13">
        <v>29000</v>
      </c>
      <c r="H15" s="13">
        <v>261000</v>
      </c>
      <c r="I15" s="11" t="s">
        <v>48</v>
      </c>
    </row>
    <row r="16" spans="1:9" x14ac:dyDescent="0.25">
      <c r="A16" s="8">
        <v>14</v>
      </c>
      <c r="B16" s="9" t="s">
        <v>49</v>
      </c>
      <c r="C16" s="10" t="s">
        <v>50</v>
      </c>
      <c r="D16" s="8">
        <v>5</v>
      </c>
      <c r="E16" s="8">
        <v>1</v>
      </c>
      <c r="F16" s="8">
        <v>4</v>
      </c>
      <c r="G16" s="13">
        <v>618</v>
      </c>
      <c r="H16" s="13">
        <v>2472</v>
      </c>
      <c r="I16" s="11" t="s">
        <v>51</v>
      </c>
    </row>
    <row r="17" spans="1:9" ht="30" x14ac:dyDescent="0.25">
      <c r="A17" s="8">
        <v>15</v>
      </c>
      <c r="B17" s="9" t="s">
        <v>52</v>
      </c>
      <c r="C17" s="10" t="s">
        <v>53</v>
      </c>
      <c r="D17" s="8">
        <v>3</v>
      </c>
      <c r="E17" s="8">
        <v>2</v>
      </c>
      <c r="F17" s="8">
        <v>1</v>
      </c>
      <c r="G17" s="13">
        <v>40000</v>
      </c>
      <c r="H17" s="13">
        <v>40000</v>
      </c>
      <c r="I17" s="11" t="s">
        <v>54</v>
      </c>
    </row>
    <row r="18" spans="1:9" ht="30" x14ac:dyDescent="0.25">
      <c r="A18" s="8">
        <v>16</v>
      </c>
      <c r="B18" s="9" t="s">
        <v>55</v>
      </c>
      <c r="C18" s="10" t="s">
        <v>56</v>
      </c>
      <c r="D18" s="8">
        <v>9992</v>
      </c>
      <c r="E18" s="8">
        <v>9842</v>
      </c>
      <c r="F18" s="8">
        <v>150</v>
      </c>
      <c r="G18" s="13">
        <v>15.22</v>
      </c>
      <c r="H18" s="13">
        <v>2283.1799999999998</v>
      </c>
      <c r="I18" s="11" t="s">
        <v>57</v>
      </c>
    </row>
    <row r="19" spans="1:9" ht="30" x14ac:dyDescent="0.25">
      <c r="A19" s="8">
        <v>17</v>
      </c>
      <c r="B19" s="9" t="s">
        <v>58</v>
      </c>
      <c r="C19" s="10" t="s">
        <v>59</v>
      </c>
      <c r="D19" s="8">
        <v>310</v>
      </c>
      <c r="E19" s="8">
        <v>307</v>
      </c>
      <c r="F19" s="8">
        <v>3</v>
      </c>
      <c r="G19" s="13">
        <v>597.24</v>
      </c>
      <c r="H19" s="13">
        <v>1791.73</v>
      </c>
      <c r="I19" s="11" t="s">
        <v>60</v>
      </c>
    </row>
    <row r="20" spans="1:9" x14ac:dyDescent="0.25">
      <c r="A20" s="8">
        <v>18</v>
      </c>
      <c r="B20" s="9" t="s">
        <v>61</v>
      </c>
      <c r="C20" s="10" t="s">
        <v>62</v>
      </c>
      <c r="D20" s="8">
        <v>321</v>
      </c>
      <c r="E20" s="8">
        <v>320</v>
      </c>
      <c r="F20" s="8">
        <v>1</v>
      </c>
      <c r="G20" s="13">
        <v>2002.49</v>
      </c>
      <c r="H20" s="13">
        <v>2002.49</v>
      </c>
      <c r="I20" s="11" t="s">
        <v>12</v>
      </c>
    </row>
    <row r="21" spans="1:9" x14ac:dyDescent="0.25">
      <c r="A21" s="8">
        <v>19</v>
      </c>
      <c r="B21" s="9" t="s">
        <v>63</v>
      </c>
      <c r="C21" s="10" t="s">
        <v>64</v>
      </c>
      <c r="D21" s="8">
        <v>450</v>
      </c>
      <c r="E21" s="8">
        <v>163</v>
      </c>
      <c r="F21" s="8">
        <v>287</v>
      </c>
      <c r="G21" s="13">
        <v>245</v>
      </c>
      <c r="H21" s="13">
        <v>70315</v>
      </c>
      <c r="I21" s="11" t="s">
        <v>65</v>
      </c>
    </row>
    <row r="22" spans="1:9" x14ac:dyDescent="0.25">
      <c r="A22" s="8">
        <v>20</v>
      </c>
      <c r="B22" s="9" t="s">
        <v>66</v>
      </c>
      <c r="C22" s="10" t="s">
        <v>67</v>
      </c>
      <c r="D22" s="8">
        <v>298</v>
      </c>
      <c r="E22" s="8">
        <v>296</v>
      </c>
      <c r="F22" s="8">
        <v>2</v>
      </c>
      <c r="G22" s="13">
        <v>2389.13</v>
      </c>
      <c r="H22" s="13">
        <v>4778.26</v>
      </c>
      <c r="I22" s="11" t="s">
        <v>68</v>
      </c>
    </row>
    <row r="23" spans="1:9" ht="30" x14ac:dyDescent="0.25">
      <c r="A23" s="8">
        <v>21</v>
      </c>
      <c r="B23" s="9" t="s">
        <v>69</v>
      </c>
      <c r="C23" s="10" t="s">
        <v>70</v>
      </c>
      <c r="D23" s="8">
        <v>193</v>
      </c>
      <c r="E23" s="8">
        <v>190</v>
      </c>
      <c r="F23" s="8">
        <v>3</v>
      </c>
      <c r="G23" s="13">
        <v>2253.6799999999998</v>
      </c>
      <c r="H23" s="13">
        <v>6761.04</v>
      </c>
      <c r="I23" s="11" t="s">
        <v>60</v>
      </c>
    </row>
    <row r="24" spans="1:9" ht="30" x14ac:dyDescent="0.25">
      <c r="A24" s="8">
        <v>22</v>
      </c>
      <c r="B24" s="9" t="s">
        <v>71</v>
      </c>
      <c r="C24" s="10" t="s">
        <v>72</v>
      </c>
      <c r="D24" s="8">
        <v>15</v>
      </c>
      <c r="E24" s="8">
        <v>7</v>
      </c>
      <c r="F24" s="8">
        <v>8</v>
      </c>
      <c r="G24" s="13">
        <v>11500</v>
      </c>
      <c r="H24" s="13">
        <v>92000</v>
      </c>
      <c r="I24" s="11" t="s">
        <v>73</v>
      </c>
    </row>
    <row r="25" spans="1:9" x14ac:dyDescent="0.25">
      <c r="A25" s="8">
        <v>23</v>
      </c>
      <c r="B25" s="9" t="s">
        <v>74</v>
      </c>
      <c r="C25" s="10" t="s">
        <v>75</v>
      </c>
      <c r="D25" s="8">
        <v>6</v>
      </c>
      <c r="E25" s="8">
        <v>5</v>
      </c>
      <c r="F25" s="8">
        <v>1</v>
      </c>
      <c r="G25" s="13">
        <v>17000</v>
      </c>
      <c r="H25" s="13">
        <v>17000</v>
      </c>
      <c r="I25" s="11" t="s">
        <v>12</v>
      </c>
    </row>
    <row r="26" spans="1:9" x14ac:dyDescent="0.25">
      <c r="A26" s="8">
        <v>24</v>
      </c>
      <c r="B26" s="9" t="s">
        <v>76</v>
      </c>
      <c r="C26" s="10" t="s">
        <v>77</v>
      </c>
      <c r="D26" s="8">
        <v>1</v>
      </c>
      <c r="E26" s="8">
        <v>0</v>
      </c>
      <c r="F26" s="8">
        <v>1</v>
      </c>
      <c r="G26" s="13">
        <v>29000</v>
      </c>
      <c r="H26" s="13">
        <v>29000</v>
      </c>
      <c r="I26" s="11" t="s">
        <v>78</v>
      </c>
    </row>
    <row r="27" spans="1:9" ht="30" x14ac:dyDescent="0.25">
      <c r="A27" s="8">
        <v>25</v>
      </c>
      <c r="B27" s="9" t="s">
        <v>79</v>
      </c>
      <c r="C27" s="10" t="s">
        <v>80</v>
      </c>
      <c r="D27" s="8">
        <v>846</v>
      </c>
      <c r="E27" s="8">
        <v>739</v>
      </c>
      <c r="F27" s="8">
        <v>107</v>
      </c>
      <c r="G27" s="13">
        <v>2054.54</v>
      </c>
      <c r="H27" s="13">
        <v>219836.18</v>
      </c>
      <c r="I27" s="11" t="s">
        <v>81</v>
      </c>
    </row>
    <row r="28" spans="1:9" ht="45" x14ac:dyDescent="0.25">
      <c r="A28" s="8">
        <v>26</v>
      </c>
      <c r="B28" s="9" t="s">
        <v>82</v>
      </c>
      <c r="C28" s="10" t="s">
        <v>83</v>
      </c>
      <c r="D28" s="8">
        <v>8</v>
      </c>
      <c r="E28" s="8">
        <v>2</v>
      </c>
      <c r="F28" s="8">
        <v>6</v>
      </c>
      <c r="G28" s="13">
        <v>14200</v>
      </c>
      <c r="H28" s="13">
        <v>85200</v>
      </c>
      <c r="I28" s="11" t="s">
        <v>84</v>
      </c>
    </row>
    <row r="29" spans="1:9" x14ac:dyDescent="0.25">
      <c r="A29" s="8">
        <v>27</v>
      </c>
      <c r="B29" s="9" t="s">
        <v>85</v>
      </c>
      <c r="C29" s="10" t="s">
        <v>86</v>
      </c>
      <c r="D29" s="8">
        <v>5</v>
      </c>
      <c r="E29" s="8">
        <v>3</v>
      </c>
      <c r="F29" s="8">
        <v>2</v>
      </c>
      <c r="G29" s="13">
        <v>660</v>
      </c>
      <c r="H29" s="13">
        <v>1320</v>
      </c>
      <c r="I29" s="11" t="s">
        <v>87</v>
      </c>
    </row>
    <row r="30" spans="1:9" ht="30" x14ac:dyDescent="0.25">
      <c r="A30" s="8">
        <v>28</v>
      </c>
      <c r="B30" s="9" t="s">
        <v>88</v>
      </c>
      <c r="C30" s="10" t="s">
        <v>89</v>
      </c>
      <c r="D30" s="8">
        <v>60</v>
      </c>
      <c r="E30" s="8">
        <v>35</v>
      </c>
      <c r="F30" s="8">
        <v>25</v>
      </c>
      <c r="G30" s="13">
        <v>105</v>
      </c>
      <c r="H30" s="13">
        <v>2625</v>
      </c>
      <c r="I30" s="11" t="s">
        <v>90</v>
      </c>
    </row>
    <row r="31" spans="1:9" ht="30" x14ac:dyDescent="0.25">
      <c r="A31" s="8">
        <v>29</v>
      </c>
      <c r="B31" s="9" t="s">
        <v>91</v>
      </c>
      <c r="C31" s="10" t="s">
        <v>92</v>
      </c>
      <c r="D31" s="8">
        <v>65</v>
      </c>
      <c r="E31" s="8">
        <v>60</v>
      </c>
      <c r="F31" s="8">
        <v>5</v>
      </c>
      <c r="G31" s="13">
        <v>175</v>
      </c>
      <c r="H31" s="13">
        <v>875</v>
      </c>
      <c r="I31" s="11" t="s">
        <v>93</v>
      </c>
    </row>
    <row r="32" spans="1:9" ht="30" x14ac:dyDescent="0.25">
      <c r="A32" s="8">
        <v>30</v>
      </c>
      <c r="B32" s="9" t="s">
        <v>94</v>
      </c>
      <c r="C32" s="10" t="s">
        <v>95</v>
      </c>
      <c r="D32" s="8">
        <v>3</v>
      </c>
      <c r="E32" s="8">
        <v>1</v>
      </c>
      <c r="F32" s="8">
        <v>2</v>
      </c>
      <c r="G32" s="13">
        <v>3800</v>
      </c>
      <c r="H32" s="13">
        <v>7600</v>
      </c>
      <c r="I32" s="11" t="s">
        <v>87</v>
      </c>
    </row>
    <row r="33" spans="1:9" ht="60" x14ac:dyDescent="0.25">
      <c r="A33" s="8">
        <v>31</v>
      </c>
      <c r="B33" s="9" t="s">
        <v>96</v>
      </c>
      <c r="C33" s="10" t="s">
        <v>97</v>
      </c>
      <c r="D33" s="8">
        <v>14</v>
      </c>
      <c r="E33" s="8">
        <v>12</v>
      </c>
      <c r="F33" s="8">
        <v>2</v>
      </c>
      <c r="G33" s="13">
        <v>905.14</v>
      </c>
      <c r="H33" s="13">
        <v>1810.29</v>
      </c>
      <c r="I33" s="11" t="s">
        <v>98</v>
      </c>
    </row>
    <row r="34" spans="1:9" ht="30" x14ac:dyDescent="0.25">
      <c r="A34" s="8">
        <v>32</v>
      </c>
      <c r="B34" s="9" t="s">
        <v>99</v>
      </c>
      <c r="C34" s="10" t="s">
        <v>100</v>
      </c>
      <c r="D34" s="8">
        <v>1000</v>
      </c>
      <c r="E34" s="8">
        <v>975</v>
      </c>
      <c r="F34" s="8">
        <v>25</v>
      </c>
      <c r="G34" s="13">
        <v>18.899999999999999</v>
      </c>
      <c r="H34" s="13">
        <v>472.5</v>
      </c>
      <c r="I34" s="11" t="s">
        <v>101</v>
      </c>
    </row>
    <row r="35" spans="1:9" x14ac:dyDescent="0.25">
      <c r="A35" s="8">
        <v>34</v>
      </c>
      <c r="B35" s="9" t="s">
        <v>102</v>
      </c>
      <c r="C35" s="10" t="s">
        <v>103</v>
      </c>
      <c r="D35" s="8">
        <v>12</v>
      </c>
      <c r="E35" s="8">
        <v>10</v>
      </c>
      <c r="F35" s="8">
        <v>2</v>
      </c>
      <c r="G35" s="13">
        <v>110</v>
      </c>
      <c r="H35" s="13">
        <v>220</v>
      </c>
      <c r="I35" s="11" t="s">
        <v>87</v>
      </c>
    </row>
    <row r="36" spans="1:9" x14ac:dyDescent="0.25">
      <c r="A36" s="8">
        <v>35</v>
      </c>
      <c r="B36" s="9" t="s">
        <v>104</v>
      </c>
      <c r="C36" s="10" t="s">
        <v>105</v>
      </c>
      <c r="D36" s="8">
        <v>2325</v>
      </c>
      <c r="E36" s="8">
        <v>2321</v>
      </c>
      <c r="F36" s="8">
        <v>4</v>
      </c>
      <c r="G36" s="13">
        <v>1050</v>
      </c>
      <c r="H36" s="13">
        <v>4200</v>
      </c>
      <c r="I36" s="11" t="s">
        <v>51</v>
      </c>
    </row>
    <row r="37" spans="1:9" ht="45" x14ac:dyDescent="0.25">
      <c r="A37" s="8">
        <v>36</v>
      </c>
      <c r="B37" s="9" t="s">
        <v>106</v>
      </c>
      <c r="C37" s="10" t="s">
        <v>107</v>
      </c>
      <c r="D37" s="8">
        <v>23600</v>
      </c>
      <c r="E37" s="8">
        <v>20870</v>
      </c>
      <c r="F37" s="8">
        <v>2730</v>
      </c>
      <c r="G37" s="13">
        <v>109.73</v>
      </c>
      <c r="H37" s="13">
        <v>299569.26</v>
      </c>
      <c r="I37" s="11" t="s">
        <v>108</v>
      </c>
    </row>
    <row r="38" spans="1:9" ht="30" x14ac:dyDescent="0.25">
      <c r="A38" s="8">
        <v>37</v>
      </c>
      <c r="B38" s="9" t="s">
        <v>109</v>
      </c>
      <c r="C38" s="10" t="s">
        <v>110</v>
      </c>
      <c r="D38" s="8">
        <v>26700</v>
      </c>
      <c r="E38" s="8">
        <v>26300</v>
      </c>
      <c r="F38" s="8">
        <v>400</v>
      </c>
      <c r="G38" s="13">
        <v>123.41</v>
      </c>
      <c r="H38" s="13">
        <v>49364.21</v>
      </c>
      <c r="I38" s="11" t="s">
        <v>111</v>
      </c>
    </row>
    <row r="39" spans="1:9" x14ac:dyDescent="0.25">
      <c r="A39" s="8">
        <v>38</v>
      </c>
      <c r="B39" s="9" t="s">
        <v>112</v>
      </c>
      <c r="C39" s="10" t="s">
        <v>113</v>
      </c>
      <c r="D39" s="8">
        <v>2</v>
      </c>
      <c r="E39" s="8">
        <v>0</v>
      </c>
      <c r="F39" s="8">
        <v>2</v>
      </c>
      <c r="G39" s="13">
        <v>20136.5</v>
      </c>
      <c r="H39" s="13">
        <v>40273</v>
      </c>
      <c r="I39" s="11" t="s">
        <v>114</v>
      </c>
    </row>
    <row r="40" spans="1:9" ht="30" x14ac:dyDescent="0.25">
      <c r="A40" s="8">
        <v>39</v>
      </c>
      <c r="B40" s="9" t="s">
        <v>115</v>
      </c>
      <c r="C40" s="10" t="s">
        <v>116</v>
      </c>
      <c r="D40" s="8">
        <v>1</v>
      </c>
      <c r="E40" s="8">
        <v>0</v>
      </c>
      <c r="F40" s="8">
        <v>1</v>
      </c>
      <c r="G40" s="13">
        <v>32934</v>
      </c>
      <c r="H40" s="13">
        <v>32934</v>
      </c>
      <c r="I40" s="11" t="s">
        <v>12</v>
      </c>
    </row>
    <row r="41" spans="1:9" x14ac:dyDescent="0.25">
      <c r="A41" s="8">
        <v>40</v>
      </c>
      <c r="B41" s="9" t="s">
        <v>117</v>
      </c>
      <c r="C41" s="10" t="s">
        <v>118</v>
      </c>
      <c r="D41" s="8">
        <v>176</v>
      </c>
      <c r="E41" s="8">
        <v>167</v>
      </c>
      <c r="F41" s="8">
        <v>9</v>
      </c>
      <c r="G41" s="13">
        <v>22085.8</v>
      </c>
      <c r="H41" s="13">
        <v>198772.16</v>
      </c>
      <c r="I41" s="11" t="s">
        <v>119</v>
      </c>
    </row>
    <row r="42" spans="1:9" ht="75" x14ac:dyDescent="0.25">
      <c r="A42" s="8">
        <v>41</v>
      </c>
      <c r="B42" s="9" t="s">
        <v>120</v>
      </c>
      <c r="C42" s="10" t="s">
        <v>121</v>
      </c>
      <c r="D42" s="8">
        <v>1100</v>
      </c>
      <c r="E42" s="8">
        <v>542</v>
      </c>
      <c r="F42" s="8">
        <v>558</v>
      </c>
      <c r="G42" s="13">
        <v>3990</v>
      </c>
      <c r="H42" s="13">
        <v>2226420</v>
      </c>
      <c r="I42" s="11" t="s">
        <v>122</v>
      </c>
    </row>
    <row r="43" spans="1:9" ht="30" x14ac:dyDescent="0.25">
      <c r="A43" s="8">
        <v>42</v>
      </c>
      <c r="B43" s="9" t="s">
        <v>123</v>
      </c>
      <c r="C43" s="10" t="s">
        <v>124</v>
      </c>
      <c r="D43" s="8">
        <v>729</v>
      </c>
      <c r="E43" s="8">
        <v>727</v>
      </c>
      <c r="F43" s="8">
        <v>2</v>
      </c>
      <c r="G43" s="13">
        <v>6443.52</v>
      </c>
      <c r="H43" s="13">
        <v>12887.05</v>
      </c>
      <c r="I43" s="11" t="s">
        <v>87</v>
      </c>
    </row>
    <row r="44" spans="1:9" ht="30" x14ac:dyDescent="0.25">
      <c r="A44" s="8">
        <v>43</v>
      </c>
      <c r="B44" s="9" t="s">
        <v>125</v>
      </c>
      <c r="C44" s="10" t="s">
        <v>126</v>
      </c>
      <c r="D44" s="8">
        <v>1657</v>
      </c>
      <c r="E44" s="8">
        <v>1574</v>
      </c>
      <c r="F44" s="8">
        <v>83</v>
      </c>
      <c r="G44" s="13">
        <v>430.72</v>
      </c>
      <c r="H44" s="13">
        <v>35749.760000000002</v>
      </c>
      <c r="I44" s="11" t="s">
        <v>127</v>
      </c>
    </row>
    <row r="45" spans="1:9" ht="30" x14ac:dyDescent="0.25">
      <c r="A45" s="8">
        <v>44</v>
      </c>
      <c r="B45" s="9" t="s">
        <v>128</v>
      </c>
      <c r="C45" s="10" t="s">
        <v>129</v>
      </c>
      <c r="D45" s="8">
        <v>57</v>
      </c>
      <c r="E45" s="8">
        <v>37</v>
      </c>
      <c r="F45" s="8">
        <v>20</v>
      </c>
      <c r="G45" s="13">
        <v>8089.68</v>
      </c>
      <c r="H45" s="13">
        <v>161793.68</v>
      </c>
      <c r="I45" s="11" t="s">
        <v>130</v>
      </c>
    </row>
    <row r="46" spans="1:9" ht="30" x14ac:dyDescent="0.25">
      <c r="A46" s="8">
        <v>45</v>
      </c>
      <c r="B46" s="9" t="s">
        <v>131</v>
      </c>
      <c r="C46" s="10" t="s">
        <v>132</v>
      </c>
      <c r="D46" s="8">
        <v>47</v>
      </c>
      <c r="E46" s="8">
        <v>16</v>
      </c>
      <c r="F46" s="8">
        <v>31</v>
      </c>
      <c r="G46" s="13">
        <v>20890.07</v>
      </c>
      <c r="H46" s="13">
        <v>647592.24</v>
      </c>
      <c r="I46" s="11" t="s">
        <v>133</v>
      </c>
    </row>
    <row r="47" spans="1:9" ht="30" x14ac:dyDescent="0.25">
      <c r="A47" s="8">
        <v>46</v>
      </c>
      <c r="B47" s="9" t="s">
        <v>134</v>
      </c>
      <c r="C47" s="10" t="s">
        <v>135</v>
      </c>
      <c r="D47" s="8">
        <v>1</v>
      </c>
      <c r="E47" s="8">
        <v>0</v>
      </c>
      <c r="F47" s="8">
        <v>1</v>
      </c>
      <c r="G47" s="13">
        <v>27024</v>
      </c>
      <c r="H47" s="13">
        <v>27024</v>
      </c>
      <c r="I47" s="11" t="s">
        <v>12</v>
      </c>
    </row>
    <row r="48" spans="1:9" ht="30" x14ac:dyDescent="0.25">
      <c r="A48" s="8">
        <v>47</v>
      </c>
      <c r="B48" s="9" t="s">
        <v>136</v>
      </c>
      <c r="C48" s="10" t="s">
        <v>137</v>
      </c>
      <c r="D48" s="8">
        <v>2</v>
      </c>
      <c r="E48" s="8">
        <v>0</v>
      </c>
      <c r="F48" s="8">
        <v>2</v>
      </c>
      <c r="G48" s="13">
        <v>18372</v>
      </c>
      <c r="H48" s="13">
        <v>36744</v>
      </c>
      <c r="I48" s="11" t="s">
        <v>87</v>
      </c>
    </row>
    <row r="49" spans="1:9" ht="30" x14ac:dyDescent="0.25">
      <c r="A49" s="8">
        <v>48</v>
      </c>
      <c r="B49" s="9" t="s">
        <v>134</v>
      </c>
      <c r="C49" s="10" t="s">
        <v>138</v>
      </c>
      <c r="D49" s="8">
        <v>1</v>
      </c>
      <c r="E49" s="8">
        <v>0</v>
      </c>
      <c r="F49" s="8">
        <v>1</v>
      </c>
      <c r="G49" s="13">
        <v>23940</v>
      </c>
      <c r="H49" s="13">
        <v>23940</v>
      </c>
      <c r="I49" s="11" t="s">
        <v>12</v>
      </c>
    </row>
    <row r="50" spans="1:9" ht="30" x14ac:dyDescent="0.25">
      <c r="A50" s="8">
        <v>49</v>
      </c>
      <c r="B50" s="9" t="s">
        <v>139</v>
      </c>
      <c r="C50" s="10" t="s">
        <v>140</v>
      </c>
      <c r="D50" s="8">
        <v>228</v>
      </c>
      <c r="E50" s="8">
        <v>218</v>
      </c>
      <c r="F50" s="8">
        <v>10</v>
      </c>
      <c r="G50" s="13">
        <v>11079.41</v>
      </c>
      <c r="H50" s="13">
        <v>110794.12</v>
      </c>
      <c r="I50" s="11" t="s">
        <v>141</v>
      </c>
    </row>
    <row r="51" spans="1:9" ht="30" x14ac:dyDescent="0.25">
      <c r="A51" s="8">
        <v>50</v>
      </c>
      <c r="B51" s="9" t="s">
        <v>142</v>
      </c>
      <c r="C51" s="10" t="s">
        <v>143</v>
      </c>
      <c r="D51" s="8">
        <v>1069</v>
      </c>
      <c r="E51" s="8">
        <v>1047</v>
      </c>
      <c r="F51" s="8">
        <v>22</v>
      </c>
      <c r="G51" s="13">
        <v>3871.7</v>
      </c>
      <c r="H51" s="13">
        <v>85177.46</v>
      </c>
      <c r="I51" s="11" t="s">
        <v>144</v>
      </c>
    </row>
    <row r="52" spans="1:9" ht="45" x14ac:dyDescent="0.25">
      <c r="A52" s="8">
        <v>51</v>
      </c>
      <c r="B52" s="9" t="s">
        <v>145</v>
      </c>
      <c r="C52" s="10" t="s">
        <v>146</v>
      </c>
      <c r="D52" s="8">
        <v>3100</v>
      </c>
      <c r="E52" s="8">
        <v>500</v>
      </c>
      <c r="F52" s="8">
        <v>2600</v>
      </c>
      <c r="G52" s="13">
        <v>82.7</v>
      </c>
      <c r="H52" s="13">
        <v>215020</v>
      </c>
      <c r="I52" s="11" t="s">
        <v>147</v>
      </c>
    </row>
    <row r="53" spans="1:9" ht="45" x14ac:dyDescent="0.25">
      <c r="A53" s="8">
        <v>52</v>
      </c>
      <c r="B53" s="9" t="s">
        <v>148</v>
      </c>
      <c r="C53" s="10" t="s">
        <v>149</v>
      </c>
      <c r="D53" s="8">
        <v>20300</v>
      </c>
      <c r="E53" s="8">
        <v>17700</v>
      </c>
      <c r="F53" s="8">
        <v>2600</v>
      </c>
      <c r="G53" s="13">
        <v>50.9</v>
      </c>
      <c r="H53" s="13">
        <v>132333.41</v>
      </c>
      <c r="I53" s="11" t="s">
        <v>150</v>
      </c>
    </row>
    <row r="54" spans="1:9" ht="45" x14ac:dyDescent="0.25">
      <c r="A54" s="8">
        <v>53</v>
      </c>
      <c r="B54" s="9" t="s">
        <v>151</v>
      </c>
      <c r="C54" s="10" t="s">
        <v>152</v>
      </c>
      <c r="D54" s="8">
        <v>16000</v>
      </c>
      <c r="E54" s="8">
        <v>15700</v>
      </c>
      <c r="F54" s="8">
        <v>300</v>
      </c>
      <c r="G54" s="13">
        <v>107.57</v>
      </c>
      <c r="H54" s="13">
        <v>32271.68</v>
      </c>
      <c r="I54" s="11" t="s">
        <v>153</v>
      </c>
    </row>
    <row r="55" spans="1:9" x14ac:dyDescent="0.25">
      <c r="A55" s="8">
        <v>54</v>
      </c>
      <c r="B55" s="9" t="s">
        <v>154</v>
      </c>
      <c r="C55" s="10" t="s">
        <v>155</v>
      </c>
      <c r="D55" s="8">
        <v>183</v>
      </c>
      <c r="E55" s="8">
        <v>169</v>
      </c>
      <c r="F55" s="8">
        <v>14</v>
      </c>
      <c r="G55" s="13">
        <v>8847.17</v>
      </c>
      <c r="H55" s="13">
        <v>123860.45</v>
      </c>
      <c r="I55" s="11" t="s">
        <v>156</v>
      </c>
    </row>
    <row r="56" spans="1:9" ht="30" x14ac:dyDescent="0.25">
      <c r="A56" s="8">
        <v>55</v>
      </c>
      <c r="B56" s="9" t="s">
        <v>157</v>
      </c>
      <c r="C56" s="10" t="s">
        <v>158</v>
      </c>
      <c r="D56" s="8">
        <v>70</v>
      </c>
      <c r="E56" s="8">
        <v>50</v>
      </c>
      <c r="F56" s="8">
        <v>20</v>
      </c>
      <c r="G56" s="13">
        <v>60</v>
      </c>
      <c r="H56" s="13">
        <v>1200</v>
      </c>
      <c r="I56" s="11" t="s">
        <v>159</v>
      </c>
    </row>
    <row r="57" spans="1:9" ht="30" x14ac:dyDescent="0.25">
      <c r="A57" s="8">
        <v>56</v>
      </c>
      <c r="B57" s="9" t="s">
        <v>160</v>
      </c>
      <c r="C57" s="10" t="s">
        <v>161</v>
      </c>
      <c r="D57" s="8">
        <v>70</v>
      </c>
      <c r="E57" s="8">
        <v>49</v>
      </c>
      <c r="F57" s="8">
        <v>21</v>
      </c>
      <c r="G57" s="13">
        <v>90</v>
      </c>
      <c r="H57" s="13">
        <v>1890</v>
      </c>
      <c r="I57" s="11" t="s">
        <v>162</v>
      </c>
    </row>
    <row r="58" spans="1:9" ht="30" x14ac:dyDescent="0.25">
      <c r="A58" s="8">
        <v>57</v>
      </c>
      <c r="B58" s="9" t="s">
        <v>163</v>
      </c>
      <c r="C58" s="10" t="s">
        <v>164</v>
      </c>
      <c r="D58" s="8">
        <v>1</v>
      </c>
      <c r="E58" s="8">
        <v>0</v>
      </c>
      <c r="F58" s="8">
        <v>1</v>
      </c>
      <c r="G58" s="13">
        <v>7044</v>
      </c>
      <c r="H58" s="13">
        <v>7044</v>
      </c>
      <c r="I58" s="11" t="s">
        <v>165</v>
      </c>
    </row>
    <row r="59" spans="1:9" ht="30" x14ac:dyDescent="0.25">
      <c r="A59" s="8">
        <v>58</v>
      </c>
      <c r="B59" s="9" t="s">
        <v>166</v>
      </c>
      <c r="C59" s="10" t="s">
        <v>167</v>
      </c>
      <c r="D59" s="8">
        <v>48</v>
      </c>
      <c r="E59" s="8">
        <v>25</v>
      </c>
      <c r="F59" s="8">
        <v>23</v>
      </c>
      <c r="G59" s="13">
        <v>5681</v>
      </c>
      <c r="H59" s="13">
        <v>130663</v>
      </c>
      <c r="I59" s="11" t="s">
        <v>168</v>
      </c>
    </row>
    <row r="60" spans="1:9" ht="30" x14ac:dyDescent="0.25">
      <c r="A60" s="8">
        <v>59</v>
      </c>
      <c r="B60" s="9" t="s">
        <v>169</v>
      </c>
      <c r="C60" s="10" t="s">
        <v>170</v>
      </c>
      <c r="D60" s="8">
        <v>439</v>
      </c>
      <c r="E60" s="8">
        <v>430</v>
      </c>
      <c r="F60" s="8">
        <v>9</v>
      </c>
      <c r="G60" s="13">
        <v>6839.49</v>
      </c>
      <c r="H60" s="13">
        <v>61555.41</v>
      </c>
      <c r="I60" s="11" t="s">
        <v>171</v>
      </c>
    </row>
    <row r="61" spans="1:9" ht="30" x14ac:dyDescent="0.25">
      <c r="A61" s="8">
        <v>60</v>
      </c>
      <c r="B61" s="9" t="s">
        <v>172</v>
      </c>
      <c r="C61" s="10" t="s">
        <v>173</v>
      </c>
      <c r="D61" s="8">
        <v>38</v>
      </c>
      <c r="E61" s="8">
        <v>37</v>
      </c>
      <c r="F61" s="8">
        <v>1</v>
      </c>
      <c r="G61" s="13">
        <v>14079.58</v>
      </c>
      <c r="H61" s="13">
        <v>14079.58</v>
      </c>
      <c r="I61" s="11" t="s">
        <v>174</v>
      </c>
    </row>
    <row r="62" spans="1:9" ht="30" x14ac:dyDescent="0.25">
      <c r="A62" s="8">
        <v>61</v>
      </c>
      <c r="B62" s="9" t="s">
        <v>175</v>
      </c>
      <c r="C62" s="10" t="s">
        <v>176</v>
      </c>
      <c r="D62" s="8">
        <v>6</v>
      </c>
      <c r="E62" s="8">
        <v>2</v>
      </c>
      <c r="F62" s="8">
        <v>4</v>
      </c>
      <c r="G62" s="13">
        <v>18395</v>
      </c>
      <c r="H62" s="13">
        <v>73580</v>
      </c>
      <c r="I62" s="11" t="s">
        <v>177</v>
      </c>
    </row>
    <row r="63" spans="1:9" ht="30" x14ac:dyDescent="0.25">
      <c r="A63" s="8">
        <v>62</v>
      </c>
      <c r="B63" s="9" t="s">
        <v>178</v>
      </c>
      <c r="C63" s="10" t="s">
        <v>179</v>
      </c>
      <c r="D63" s="8">
        <v>2</v>
      </c>
      <c r="E63" s="8">
        <v>0</v>
      </c>
      <c r="F63" s="8">
        <v>2</v>
      </c>
      <c r="G63" s="13">
        <v>153024.5</v>
      </c>
      <c r="H63" s="13">
        <v>306049</v>
      </c>
      <c r="I63" s="11" t="s">
        <v>180</v>
      </c>
    </row>
    <row r="64" spans="1:9" ht="30" x14ac:dyDescent="0.25">
      <c r="A64" s="8">
        <v>63</v>
      </c>
      <c r="B64" s="9" t="s">
        <v>181</v>
      </c>
      <c r="C64" s="10" t="s">
        <v>182</v>
      </c>
      <c r="D64" s="8">
        <v>1010</v>
      </c>
      <c r="E64" s="8">
        <v>736</v>
      </c>
      <c r="F64" s="8">
        <v>274</v>
      </c>
      <c r="G64" s="13">
        <v>1224</v>
      </c>
      <c r="H64" s="13">
        <v>335376</v>
      </c>
      <c r="I64" s="11" t="s">
        <v>183</v>
      </c>
    </row>
    <row r="65" spans="1:9" ht="30" x14ac:dyDescent="0.25">
      <c r="A65" s="8">
        <v>64</v>
      </c>
      <c r="B65" s="9" t="s">
        <v>184</v>
      </c>
      <c r="C65" s="10" t="s">
        <v>185</v>
      </c>
      <c r="D65" s="8">
        <v>28</v>
      </c>
      <c r="E65" s="8">
        <v>23</v>
      </c>
      <c r="F65" s="8">
        <v>5</v>
      </c>
      <c r="G65" s="13">
        <v>1341</v>
      </c>
      <c r="H65" s="13">
        <v>6705</v>
      </c>
      <c r="I65" s="11" t="s">
        <v>93</v>
      </c>
    </row>
    <row r="66" spans="1:9" ht="45" x14ac:dyDescent="0.25">
      <c r="A66" s="8">
        <v>65</v>
      </c>
      <c r="B66" s="9" t="s">
        <v>186</v>
      </c>
      <c r="C66" s="10" t="s">
        <v>187</v>
      </c>
      <c r="D66" s="8">
        <v>451</v>
      </c>
      <c r="E66" s="8">
        <v>251</v>
      </c>
      <c r="F66" s="8">
        <v>200</v>
      </c>
      <c r="G66" s="13">
        <v>878</v>
      </c>
      <c r="H66" s="13">
        <v>175600</v>
      </c>
      <c r="I66" s="11" t="s">
        <v>188</v>
      </c>
    </row>
    <row r="67" spans="1:9" ht="60" x14ac:dyDescent="0.25">
      <c r="A67" s="8">
        <v>66</v>
      </c>
      <c r="B67" s="9" t="s">
        <v>189</v>
      </c>
      <c r="C67" s="10" t="s">
        <v>190</v>
      </c>
      <c r="D67" s="8">
        <v>75</v>
      </c>
      <c r="E67" s="8">
        <v>73</v>
      </c>
      <c r="F67" s="8">
        <f>2+5</f>
        <v>7</v>
      </c>
      <c r="G67" s="13">
        <v>18240</v>
      </c>
      <c r="H67" s="13">
        <f>G67*F67</f>
        <v>127680</v>
      </c>
      <c r="I67" s="11" t="s">
        <v>191</v>
      </c>
    </row>
    <row r="68" spans="1:9" x14ac:dyDescent="0.25">
      <c r="A68" s="8">
        <v>67</v>
      </c>
      <c r="B68" s="9" t="s">
        <v>192</v>
      </c>
      <c r="C68" s="10" t="s">
        <v>193</v>
      </c>
      <c r="D68" s="8">
        <v>85</v>
      </c>
      <c r="E68" s="8">
        <v>84</v>
      </c>
      <c r="F68" s="8">
        <v>1</v>
      </c>
      <c r="G68" s="13">
        <v>25872</v>
      </c>
      <c r="H68" s="13">
        <v>25872</v>
      </c>
      <c r="I68" s="11" t="s">
        <v>194</v>
      </c>
    </row>
    <row r="69" spans="1:9" ht="30" x14ac:dyDescent="0.25">
      <c r="A69" s="8">
        <v>68</v>
      </c>
      <c r="B69" s="9" t="s">
        <v>195</v>
      </c>
      <c r="C69" s="10" t="s">
        <v>196</v>
      </c>
      <c r="D69" s="8">
        <v>19</v>
      </c>
      <c r="E69" s="8">
        <v>17</v>
      </c>
      <c r="F69" s="8">
        <v>2</v>
      </c>
      <c r="G69" s="13">
        <v>18000</v>
      </c>
      <c r="H69" s="13">
        <v>36000</v>
      </c>
      <c r="I69" s="11" t="s">
        <v>87</v>
      </c>
    </row>
    <row r="70" spans="1:9" ht="30" x14ac:dyDescent="0.25">
      <c r="A70" s="8">
        <v>69</v>
      </c>
      <c r="B70" s="9" t="s">
        <v>197</v>
      </c>
      <c r="C70" s="10" t="s">
        <v>198</v>
      </c>
      <c r="D70" s="8">
        <v>2</v>
      </c>
      <c r="E70" s="8">
        <v>1</v>
      </c>
      <c r="F70" s="8">
        <v>1</v>
      </c>
      <c r="G70" s="13">
        <v>4322.0200000000004</v>
      </c>
      <c r="H70" s="13">
        <v>4322.0200000000004</v>
      </c>
      <c r="I70" s="11" t="s">
        <v>12</v>
      </c>
    </row>
    <row r="71" spans="1:9" x14ac:dyDescent="0.25">
      <c r="A71" s="8">
        <v>70</v>
      </c>
      <c r="B71" s="9" t="s">
        <v>199</v>
      </c>
      <c r="C71" s="10" t="s">
        <v>200</v>
      </c>
      <c r="D71" s="8">
        <v>944</v>
      </c>
      <c r="E71" s="8">
        <v>926</v>
      </c>
      <c r="F71" s="8">
        <v>18</v>
      </c>
      <c r="G71" s="13">
        <v>2723.31</v>
      </c>
      <c r="H71" s="13">
        <v>49019.49</v>
      </c>
      <c r="I71" s="11" t="s">
        <v>201</v>
      </c>
    </row>
    <row r="72" spans="1:9" ht="30" x14ac:dyDescent="0.25">
      <c r="A72" s="8">
        <v>71</v>
      </c>
      <c r="B72" s="9" t="s">
        <v>202</v>
      </c>
      <c r="C72" s="10" t="s">
        <v>203</v>
      </c>
      <c r="D72" s="8">
        <v>150</v>
      </c>
      <c r="E72" s="8">
        <v>137</v>
      </c>
      <c r="F72" s="8">
        <v>13</v>
      </c>
      <c r="G72" s="13">
        <v>7080</v>
      </c>
      <c r="H72" s="13">
        <v>92040</v>
      </c>
      <c r="I72" s="11" t="s">
        <v>204</v>
      </c>
    </row>
    <row r="73" spans="1:9" ht="30" x14ac:dyDescent="0.25">
      <c r="A73" s="8">
        <v>72</v>
      </c>
      <c r="B73" s="9" t="s">
        <v>205</v>
      </c>
      <c r="C73" s="10" t="s">
        <v>206</v>
      </c>
      <c r="D73" s="8">
        <v>54</v>
      </c>
      <c r="E73" s="8">
        <v>44</v>
      </c>
      <c r="F73" s="8">
        <v>10</v>
      </c>
      <c r="G73" s="13">
        <v>65.650000000000006</v>
      </c>
      <c r="H73" s="13">
        <v>656.48</v>
      </c>
      <c r="I73" s="11" t="s">
        <v>15</v>
      </c>
    </row>
    <row r="74" spans="1:9" x14ac:dyDescent="0.25">
      <c r="A74" s="8">
        <v>73</v>
      </c>
      <c r="B74" s="9" t="s">
        <v>207</v>
      </c>
      <c r="C74" s="10" t="s">
        <v>208</v>
      </c>
      <c r="D74" s="8">
        <v>4</v>
      </c>
      <c r="E74" s="8">
        <v>3</v>
      </c>
      <c r="F74" s="8">
        <v>1</v>
      </c>
      <c r="G74" s="13">
        <v>17503</v>
      </c>
      <c r="H74" s="13">
        <v>17503</v>
      </c>
      <c r="I74" s="11" t="s">
        <v>12</v>
      </c>
    </row>
    <row r="75" spans="1:9" ht="30" x14ac:dyDescent="0.25">
      <c r="A75" s="8">
        <v>74</v>
      </c>
      <c r="B75" s="9" t="s">
        <v>209</v>
      </c>
      <c r="C75" s="10" t="s">
        <v>210</v>
      </c>
      <c r="D75" s="8">
        <v>460</v>
      </c>
      <c r="E75" s="8">
        <v>458</v>
      </c>
      <c r="F75" s="8">
        <v>2</v>
      </c>
      <c r="G75" s="13">
        <v>8364.3700000000008</v>
      </c>
      <c r="H75" s="13">
        <v>16728.73</v>
      </c>
      <c r="I75" s="11" t="s">
        <v>211</v>
      </c>
    </row>
    <row r="76" spans="1:9" ht="30" x14ac:dyDescent="0.25">
      <c r="A76" s="8">
        <v>75</v>
      </c>
      <c r="B76" s="9" t="s">
        <v>212</v>
      </c>
      <c r="C76" s="10" t="s">
        <v>213</v>
      </c>
      <c r="D76" s="8">
        <v>23</v>
      </c>
      <c r="E76" s="8">
        <v>20</v>
      </c>
      <c r="F76" s="8">
        <v>3</v>
      </c>
      <c r="G76" s="13">
        <v>2630.43</v>
      </c>
      <c r="H76" s="13">
        <v>7891.3</v>
      </c>
      <c r="I76" s="11" t="s">
        <v>214</v>
      </c>
    </row>
    <row r="77" spans="1:9" ht="45" x14ac:dyDescent="0.25">
      <c r="A77" s="8">
        <v>76</v>
      </c>
      <c r="B77" s="9" t="s">
        <v>215</v>
      </c>
      <c r="C77" s="10" t="s">
        <v>216</v>
      </c>
      <c r="D77" s="8">
        <v>500</v>
      </c>
      <c r="E77" s="8">
        <v>300</v>
      </c>
      <c r="F77" s="8">
        <v>200</v>
      </c>
      <c r="G77" s="13">
        <v>65.23</v>
      </c>
      <c r="H77" s="13">
        <v>13046</v>
      </c>
      <c r="I77" s="11" t="s">
        <v>217</v>
      </c>
    </row>
    <row r="78" spans="1:9" ht="30" x14ac:dyDescent="0.25">
      <c r="A78" s="8">
        <v>77</v>
      </c>
      <c r="B78" s="9" t="s">
        <v>218</v>
      </c>
      <c r="C78" s="10" t="s">
        <v>219</v>
      </c>
      <c r="D78" s="8">
        <v>1854</v>
      </c>
      <c r="E78" s="8">
        <v>1852</v>
      </c>
      <c r="F78" s="8">
        <v>2</v>
      </c>
      <c r="G78" s="13">
        <v>5195.6499999999996</v>
      </c>
      <c r="H78" s="13">
        <v>10391.290000000001</v>
      </c>
      <c r="I78" s="11" t="s">
        <v>87</v>
      </c>
    </row>
    <row r="79" spans="1:9" x14ac:dyDescent="0.25">
      <c r="A79" s="8">
        <v>78</v>
      </c>
      <c r="B79" s="9" t="s">
        <v>220</v>
      </c>
      <c r="C79" s="10" t="s">
        <v>221</v>
      </c>
      <c r="D79" s="8">
        <v>42</v>
      </c>
      <c r="E79" s="8">
        <v>40</v>
      </c>
      <c r="F79" s="8">
        <v>2</v>
      </c>
      <c r="G79" s="13">
        <v>11244</v>
      </c>
      <c r="H79" s="13">
        <v>22488</v>
      </c>
      <c r="I79" s="11" t="s">
        <v>87</v>
      </c>
    </row>
    <row r="80" spans="1:9" x14ac:dyDescent="0.25">
      <c r="A80" s="8">
        <v>79</v>
      </c>
      <c r="B80" s="9" t="s">
        <v>222</v>
      </c>
      <c r="C80" s="10" t="s">
        <v>223</v>
      </c>
      <c r="D80" s="8">
        <v>4</v>
      </c>
      <c r="E80" s="8">
        <v>0</v>
      </c>
      <c r="F80" s="8">
        <v>4</v>
      </c>
      <c r="G80" s="13">
        <v>15372</v>
      </c>
      <c r="H80" s="13">
        <v>61488</v>
      </c>
      <c r="I80" s="11" t="s">
        <v>51</v>
      </c>
    </row>
    <row r="81" spans="1:9" ht="30" x14ac:dyDescent="0.25">
      <c r="A81" s="8">
        <v>80</v>
      </c>
      <c r="B81" s="9" t="s">
        <v>224</v>
      </c>
      <c r="C81" s="10" t="s">
        <v>225</v>
      </c>
      <c r="D81" s="8">
        <v>30</v>
      </c>
      <c r="E81" s="8">
        <v>26</v>
      </c>
      <c r="F81" s="8">
        <v>4</v>
      </c>
      <c r="G81" s="13">
        <v>2148</v>
      </c>
      <c r="H81" s="13">
        <v>8592</v>
      </c>
      <c r="I81" s="11" t="s">
        <v>51</v>
      </c>
    </row>
    <row r="82" spans="1:9" ht="30" x14ac:dyDescent="0.25">
      <c r="A82" s="8">
        <v>81</v>
      </c>
      <c r="B82" s="9" t="s">
        <v>226</v>
      </c>
      <c r="C82" s="10" t="s">
        <v>227</v>
      </c>
      <c r="D82" s="8">
        <v>5</v>
      </c>
      <c r="E82" s="8">
        <v>4</v>
      </c>
      <c r="F82" s="8">
        <v>1</v>
      </c>
      <c r="G82" s="13">
        <v>2148</v>
      </c>
      <c r="H82" s="13">
        <v>2148</v>
      </c>
      <c r="I82" s="11" t="s">
        <v>228</v>
      </c>
    </row>
    <row r="83" spans="1:9" ht="30" x14ac:dyDescent="0.25">
      <c r="A83" s="8">
        <v>82</v>
      </c>
      <c r="B83" s="9" t="s">
        <v>229</v>
      </c>
      <c r="C83" s="10" t="s">
        <v>230</v>
      </c>
      <c r="D83" s="8">
        <v>80</v>
      </c>
      <c r="E83" s="8">
        <v>20</v>
      </c>
      <c r="F83" s="8">
        <v>60</v>
      </c>
      <c r="G83" s="13">
        <v>39</v>
      </c>
      <c r="H83" s="13">
        <v>2340</v>
      </c>
      <c r="I83" s="11" t="s">
        <v>231</v>
      </c>
    </row>
    <row r="84" spans="1:9" ht="30" x14ac:dyDescent="0.25">
      <c r="A84" s="8">
        <v>83</v>
      </c>
      <c r="B84" s="9" t="s">
        <v>232</v>
      </c>
      <c r="C84" s="10" t="s">
        <v>233</v>
      </c>
      <c r="D84" s="8">
        <v>444</v>
      </c>
      <c r="E84" s="8">
        <v>270</v>
      </c>
      <c r="F84" s="8">
        <v>174</v>
      </c>
      <c r="G84" s="13">
        <v>6002.99</v>
      </c>
      <c r="H84" s="13">
        <v>1044519.41</v>
      </c>
      <c r="I84" s="11" t="s">
        <v>234</v>
      </c>
    </row>
    <row r="85" spans="1:9" ht="30" x14ac:dyDescent="0.25">
      <c r="A85" s="8">
        <v>84</v>
      </c>
      <c r="B85" s="9" t="s">
        <v>235</v>
      </c>
      <c r="C85" s="10" t="s">
        <v>236</v>
      </c>
      <c r="D85" s="8">
        <v>23</v>
      </c>
      <c r="E85" s="8">
        <v>2</v>
      </c>
      <c r="F85" s="8">
        <v>21</v>
      </c>
      <c r="G85" s="13">
        <v>21432.34</v>
      </c>
      <c r="H85" s="13">
        <v>450079.23</v>
      </c>
      <c r="I85" s="11" t="s">
        <v>237</v>
      </c>
    </row>
    <row r="86" spans="1:9" x14ac:dyDescent="0.25">
      <c r="A86" s="8">
        <v>85</v>
      </c>
      <c r="B86" s="9" t="s">
        <v>238</v>
      </c>
      <c r="C86" s="10" t="s">
        <v>239</v>
      </c>
      <c r="D86" s="8">
        <v>12</v>
      </c>
      <c r="E86" s="8">
        <v>10</v>
      </c>
      <c r="F86" s="8">
        <v>2</v>
      </c>
      <c r="G86" s="13">
        <v>156.66999999999999</v>
      </c>
      <c r="H86" s="13">
        <v>313.33</v>
      </c>
      <c r="I86" s="11" t="s">
        <v>87</v>
      </c>
    </row>
    <row r="87" spans="1:9" x14ac:dyDescent="0.25">
      <c r="A87" s="8">
        <v>86</v>
      </c>
      <c r="B87" s="9" t="s">
        <v>240</v>
      </c>
      <c r="C87" s="10" t="s">
        <v>241</v>
      </c>
      <c r="D87" s="8">
        <v>10</v>
      </c>
      <c r="E87" s="8">
        <v>3</v>
      </c>
      <c r="F87" s="8">
        <v>7</v>
      </c>
      <c r="G87" s="13">
        <v>30960</v>
      </c>
      <c r="H87" s="13">
        <v>216720</v>
      </c>
      <c r="I87" s="11" t="s">
        <v>242</v>
      </c>
    </row>
    <row r="88" spans="1:9" x14ac:dyDescent="0.25">
      <c r="A88" s="8">
        <v>87</v>
      </c>
      <c r="B88" s="9" t="s">
        <v>243</v>
      </c>
      <c r="C88" s="10" t="s">
        <v>244</v>
      </c>
      <c r="D88" s="8">
        <v>10</v>
      </c>
      <c r="E88" s="8">
        <v>2</v>
      </c>
      <c r="F88" s="8">
        <v>8</v>
      </c>
      <c r="G88" s="13">
        <v>37560</v>
      </c>
      <c r="H88" s="13">
        <v>300480</v>
      </c>
      <c r="I88" s="11" t="s">
        <v>245</v>
      </c>
    </row>
    <row r="89" spans="1:9" x14ac:dyDescent="0.25">
      <c r="A89" s="8">
        <v>88</v>
      </c>
      <c r="B89" s="9" t="s">
        <v>246</v>
      </c>
      <c r="C89" s="10" t="s">
        <v>247</v>
      </c>
      <c r="D89" s="8">
        <v>8</v>
      </c>
      <c r="E89" s="8">
        <v>3</v>
      </c>
      <c r="F89" s="8">
        <v>5</v>
      </c>
      <c r="G89" s="13">
        <v>44676</v>
      </c>
      <c r="H89" s="13">
        <v>223380</v>
      </c>
      <c r="I89" s="11" t="s">
        <v>248</v>
      </c>
    </row>
    <row r="90" spans="1:9" x14ac:dyDescent="0.25">
      <c r="A90" s="8">
        <v>89</v>
      </c>
      <c r="B90" s="9" t="s">
        <v>249</v>
      </c>
      <c r="C90" s="10" t="s">
        <v>250</v>
      </c>
      <c r="D90" s="8">
        <v>1</v>
      </c>
      <c r="E90" s="8">
        <v>0</v>
      </c>
      <c r="F90" s="8">
        <v>1</v>
      </c>
      <c r="G90" s="13">
        <v>16824</v>
      </c>
      <c r="H90" s="13">
        <v>16824</v>
      </c>
      <c r="I90" s="11" t="s">
        <v>12</v>
      </c>
    </row>
    <row r="91" spans="1:9" x14ac:dyDescent="0.25">
      <c r="A91" s="8">
        <v>90</v>
      </c>
      <c r="B91" s="9" t="s">
        <v>251</v>
      </c>
      <c r="C91" s="10" t="s">
        <v>252</v>
      </c>
      <c r="D91" s="8">
        <v>1</v>
      </c>
      <c r="E91" s="8">
        <v>0</v>
      </c>
      <c r="F91" s="8">
        <v>1</v>
      </c>
      <c r="G91" s="13">
        <v>17040</v>
      </c>
      <c r="H91" s="13">
        <v>17040</v>
      </c>
      <c r="I91" s="11" t="s">
        <v>12</v>
      </c>
    </row>
    <row r="92" spans="1:9" x14ac:dyDescent="0.25">
      <c r="A92" s="8">
        <v>91</v>
      </c>
      <c r="B92" s="9" t="s">
        <v>253</v>
      </c>
      <c r="C92" s="10" t="s">
        <v>254</v>
      </c>
      <c r="D92" s="8">
        <v>1</v>
      </c>
      <c r="E92" s="8">
        <v>0</v>
      </c>
      <c r="F92" s="8">
        <v>1</v>
      </c>
      <c r="G92" s="13">
        <v>17988</v>
      </c>
      <c r="H92" s="13">
        <v>17988</v>
      </c>
      <c r="I92" s="11" t="s">
        <v>12</v>
      </c>
    </row>
    <row r="93" spans="1:9" x14ac:dyDescent="0.25">
      <c r="A93" s="8">
        <v>92</v>
      </c>
      <c r="B93" s="9" t="s">
        <v>255</v>
      </c>
      <c r="C93" s="10" t="s">
        <v>256</v>
      </c>
      <c r="D93" s="8">
        <v>1</v>
      </c>
      <c r="E93" s="8">
        <v>0</v>
      </c>
      <c r="F93" s="8">
        <v>1</v>
      </c>
      <c r="G93" s="13">
        <v>24672</v>
      </c>
      <c r="H93" s="13">
        <v>24672</v>
      </c>
      <c r="I93" s="11" t="s">
        <v>257</v>
      </c>
    </row>
    <row r="94" spans="1:9" x14ac:dyDescent="0.25">
      <c r="A94" s="8">
        <v>93</v>
      </c>
      <c r="B94" s="9" t="s">
        <v>258</v>
      </c>
      <c r="C94" s="10" t="s">
        <v>259</v>
      </c>
      <c r="D94" s="8">
        <v>1</v>
      </c>
      <c r="E94" s="8">
        <v>0</v>
      </c>
      <c r="F94" s="8">
        <v>1</v>
      </c>
      <c r="G94" s="13">
        <v>28560</v>
      </c>
      <c r="H94" s="13">
        <v>28560</v>
      </c>
      <c r="I94" s="11" t="s">
        <v>257</v>
      </c>
    </row>
    <row r="95" spans="1:9" ht="30" x14ac:dyDescent="0.25">
      <c r="A95" s="8">
        <v>94</v>
      </c>
      <c r="B95" s="9" t="s">
        <v>260</v>
      </c>
      <c r="C95" s="10" t="s">
        <v>261</v>
      </c>
      <c r="D95" s="8">
        <v>11600</v>
      </c>
      <c r="E95" s="8">
        <v>11550</v>
      </c>
      <c r="F95" s="8">
        <v>50</v>
      </c>
      <c r="G95" s="13">
        <v>27.93</v>
      </c>
      <c r="H95" s="13">
        <v>1396.52</v>
      </c>
      <c r="I95" s="11" t="s">
        <v>262</v>
      </c>
    </row>
    <row r="96" spans="1:9" ht="45" x14ac:dyDescent="0.25">
      <c r="A96" s="8">
        <v>95</v>
      </c>
      <c r="B96" s="9" t="s">
        <v>263</v>
      </c>
      <c r="C96" s="10" t="s">
        <v>264</v>
      </c>
      <c r="D96" s="8">
        <v>500</v>
      </c>
      <c r="E96" s="8">
        <v>100</v>
      </c>
      <c r="F96" s="8">
        <v>400</v>
      </c>
      <c r="G96" s="13">
        <v>167.64</v>
      </c>
      <c r="H96" s="13">
        <v>67056</v>
      </c>
      <c r="I96" s="11" t="s">
        <v>265</v>
      </c>
    </row>
    <row r="97" spans="1:9" ht="45" x14ac:dyDescent="0.25">
      <c r="A97" s="8">
        <v>96</v>
      </c>
      <c r="B97" s="9" t="s">
        <v>266</v>
      </c>
      <c r="C97" s="10" t="s">
        <v>267</v>
      </c>
      <c r="D97" s="8">
        <v>397</v>
      </c>
      <c r="E97" s="8">
        <v>394</v>
      </c>
      <c r="F97" s="8">
        <v>3</v>
      </c>
      <c r="G97" s="13">
        <v>1128.6500000000001</v>
      </c>
      <c r="H97" s="13">
        <v>3385.96</v>
      </c>
      <c r="I97" s="11" t="s">
        <v>268</v>
      </c>
    </row>
    <row r="98" spans="1:9" ht="30" x14ac:dyDescent="0.25">
      <c r="A98" s="8">
        <v>97</v>
      </c>
      <c r="B98" s="9" t="s">
        <v>269</v>
      </c>
      <c r="C98" s="10" t="s">
        <v>270</v>
      </c>
      <c r="D98" s="8">
        <v>10</v>
      </c>
      <c r="E98" s="8">
        <v>0</v>
      </c>
      <c r="F98" s="8">
        <v>10</v>
      </c>
      <c r="G98" s="13">
        <v>28000</v>
      </c>
      <c r="H98" s="13">
        <v>280000</v>
      </c>
      <c r="I98" s="11" t="s">
        <v>15</v>
      </c>
    </row>
    <row r="99" spans="1:9" ht="30" x14ac:dyDescent="0.25">
      <c r="A99" s="8">
        <v>98</v>
      </c>
      <c r="B99" s="9" t="s">
        <v>271</v>
      </c>
      <c r="C99" s="10" t="s">
        <v>272</v>
      </c>
      <c r="D99" s="8">
        <v>2</v>
      </c>
      <c r="E99" s="8">
        <v>0</v>
      </c>
      <c r="F99" s="8">
        <v>2</v>
      </c>
      <c r="G99" s="13">
        <v>175</v>
      </c>
      <c r="H99" s="13">
        <v>350</v>
      </c>
      <c r="I99" s="11" t="s">
        <v>87</v>
      </c>
    </row>
    <row r="100" spans="1:9" ht="60" x14ac:dyDescent="0.25">
      <c r="A100" s="8">
        <v>99</v>
      </c>
      <c r="B100" s="9" t="s">
        <v>273</v>
      </c>
      <c r="C100" s="10" t="s">
        <v>274</v>
      </c>
      <c r="D100" s="8">
        <v>61</v>
      </c>
      <c r="E100" s="8">
        <v>4</v>
      </c>
      <c r="F100" s="8">
        <v>57</v>
      </c>
      <c r="G100" s="13">
        <v>5170.49</v>
      </c>
      <c r="H100" s="13">
        <v>294718.03000000003</v>
      </c>
      <c r="I100" s="11" t="s">
        <v>275</v>
      </c>
    </row>
    <row r="101" spans="1:9" ht="30" x14ac:dyDescent="0.25">
      <c r="A101" s="8">
        <v>100</v>
      </c>
      <c r="B101" s="9" t="s">
        <v>276</v>
      </c>
      <c r="C101" s="10" t="s">
        <v>277</v>
      </c>
      <c r="D101" s="8">
        <v>303</v>
      </c>
      <c r="E101" s="8">
        <v>47</v>
      </c>
      <c r="F101" s="8">
        <v>256</v>
      </c>
      <c r="G101" s="13">
        <v>4840</v>
      </c>
      <c r="H101" s="13">
        <v>1239040</v>
      </c>
      <c r="I101" s="11" t="s">
        <v>278</v>
      </c>
    </row>
    <row r="102" spans="1:9" ht="30" x14ac:dyDescent="0.25">
      <c r="A102" s="8">
        <v>101</v>
      </c>
      <c r="B102" s="9" t="s">
        <v>279</v>
      </c>
      <c r="C102" s="10" t="s">
        <v>280</v>
      </c>
      <c r="D102" s="8">
        <v>30</v>
      </c>
      <c r="E102" s="8">
        <v>28</v>
      </c>
      <c r="F102" s="8">
        <v>2</v>
      </c>
      <c r="G102" s="13">
        <v>2500</v>
      </c>
      <c r="H102" s="13">
        <v>5000</v>
      </c>
      <c r="I102" s="11" t="s">
        <v>87</v>
      </c>
    </row>
    <row r="103" spans="1:9" ht="30" x14ac:dyDescent="0.25">
      <c r="A103" s="8">
        <v>102</v>
      </c>
      <c r="B103" s="9" t="s">
        <v>281</v>
      </c>
      <c r="C103" s="10" t="s">
        <v>282</v>
      </c>
      <c r="D103" s="8">
        <v>303</v>
      </c>
      <c r="E103" s="8">
        <v>55</v>
      </c>
      <c r="F103" s="8">
        <v>248</v>
      </c>
      <c r="G103" s="13">
        <v>2587</v>
      </c>
      <c r="H103" s="13">
        <v>641576</v>
      </c>
      <c r="I103" s="11" t="s">
        <v>283</v>
      </c>
    </row>
    <row r="104" spans="1:9" ht="45" x14ac:dyDescent="0.25">
      <c r="A104" s="8">
        <v>103</v>
      </c>
      <c r="B104" s="9" t="s">
        <v>284</v>
      </c>
      <c r="C104" s="10" t="s">
        <v>285</v>
      </c>
      <c r="D104" s="8">
        <v>1701</v>
      </c>
      <c r="E104" s="8">
        <v>1699</v>
      </c>
      <c r="F104" s="8">
        <v>2</v>
      </c>
      <c r="G104" s="13">
        <v>93</v>
      </c>
      <c r="H104" s="13">
        <v>186</v>
      </c>
      <c r="I104" s="11" t="s">
        <v>286</v>
      </c>
    </row>
    <row r="105" spans="1:9" ht="60" x14ac:dyDescent="0.25">
      <c r="A105" s="8">
        <v>104</v>
      </c>
      <c r="B105" s="9" t="s">
        <v>287</v>
      </c>
      <c r="C105" s="10" t="s">
        <v>288</v>
      </c>
      <c r="D105" s="8">
        <v>600</v>
      </c>
      <c r="E105" s="8">
        <v>0</v>
      </c>
      <c r="F105" s="8">
        <v>600</v>
      </c>
      <c r="G105" s="13">
        <v>22</v>
      </c>
      <c r="H105" s="13">
        <v>13200</v>
      </c>
      <c r="I105" s="11" t="s">
        <v>289</v>
      </c>
    </row>
    <row r="106" spans="1:9" ht="75" x14ac:dyDescent="0.25">
      <c r="A106" s="8">
        <v>105</v>
      </c>
      <c r="B106" s="9" t="s">
        <v>290</v>
      </c>
      <c r="C106" s="10" t="s">
        <v>291</v>
      </c>
      <c r="D106" s="8">
        <v>150</v>
      </c>
      <c r="E106" s="8">
        <v>0</v>
      </c>
      <c r="F106" s="8">
        <v>150</v>
      </c>
      <c r="G106" s="13">
        <v>48</v>
      </c>
      <c r="H106" s="13">
        <v>7200</v>
      </c>
      <c r="I106" s="11" t="s">
        <v>292</v>
      </c>
    </row>
    <row r="107" spans="1:9" ht="75" x14ac:dyDescent="0.25">
      <c r="A107" s="8">
        <v>106</v>
      </c>
      <c r="B107" s="9" t="s">
        <v>293</v>
      </c>
      <c r="C107" s="10" t="s">
        <v>294</v>
      </c>
      <c r="D107" s="8">
        <v>9</v>
      </c>
      <c r="E107" s="8">
        <v>1</v>
      </c>
      <c r="F107" s="8">
        <v>8</v>
      </c>
      <c r="G107" s="13">
        <v>10222.219999999999</v>
      </c>
      <c r="H107" s="13">
        <v>81777.78</v>
      </c>
      <c r="I107" s="11" t="s">
        <v>295</v>
      </c>
    </row>
    <row r="108" spans="1:9" ht="30" x14ac:dyDescent="0.25">
      <c r="A108" s="8">
        <v>107</v>
      </c>
      <c r="B108" s="9" t="s">
        <v>296</v>
      </c>
      <c r="C108" s="10" t="s">
        <v>297</v>
      </c>
      <c r="D108" s="8">
        <v>403</v>
      </c>
      <c r="E108" s="8">
        <v>215</v>
      </c>
      <c r="F108" s="8">
        <v>188</v>
      </c>
      <c r="G108" s="13">
        <v>6820.35</v>
      </c>
      <c r="H108" s="13">
        <v>1282225.31</v>
      </c>
      <c r="I108" s="11" t="s">
        <v>298</v>
      </c>
    </row>
    <row r="109" spans="1:9" x14ac:dyDescent="0.25">
      <c r="A109" s="8">
        <v>108</v>
      </c>
      <c r="B109" s="9" t="s">
        <v>299</v>
      </c>
      <c r="C109" s="10" t="s">
        <v>300</v>
      </c>
      <c r="D109" s="8">
        <v>3</v>
      </c>
      <c r="E109" s="8">
        <v>0</v>
      </c>
      <c r="F109" s="8">
        <v>3</v>
      </c>
      <c r="G109" s="13">
        <v>20100</v>
      </c>
      <c r="H109" s="13">
        <v>60300</v>
      </c>
      <c r="I109" s="11" t="s">
        <v>60</v>
      </c>
    </row>
    <row r="110" spans="1:9" x14ac:dyDescent="0.25">
      <c r="A110" s="8">
        <v>109</v>
      </c>
      <c r="B110" s="9" t="s">
        <v>301</v>
      </c>
      <c r="C110" s="10" t="s">
        <v>302</v>
      </c>
      <c r="D110" s="8">
        <v>2</v>
      </c>
      <c r="E110" s="8">
        <v>1</v>
      </c>
      <c r="F110" s="8">
        <v>1</v>
      </c>
      <c r="G110" s="13">
        <v>20700</v>
      </c>
      <c r="H110" s="13">
        <v>20700</v>
      </c>
      <c r="I110" s="11" t="s">
        <v>12</v>
      </c>
    </row>
    <row r="111" spans="1:9" ht="60" x14ac:dyDescent="0.25">
      <c r="A111" s="8">
        <v>110</v>
      </c>
      <c r="B111" s="9" t="s">
        <v>303</v>
      </c>
      <c r="C111" s="10" t="s">
        <v>304</v>
      </c>
      <c r="D111" s="8">
        <v>6</v>
      </c>
      <c r="E111" s="8">
        <v>0</v>
      </c>
      <c r="F111" s="8">
        <v>6</v>
      </c>
      <c r="G111" s="13">
        <v>16200</v>
      </c>
      <c r="H111" s="13">
        <v>97200</v>
      </c>
      <c r="I111" s="11" t="s">
        <v>305</v>
      </c>
    </row>
    <row r="112" spans="1:9" ht="30" x14ac:dyDescent="0.25">
      <c r="A112" s="8">
        <v>111</v>
      </c>
      <c r="B112" s="9" t="s">
        <v>306</v>
      </c>
      <c r="C112" s="10" t="s">
        <v>307</v>
      </c>
      <c r="D112" s="8">
        <v>2</v>
      </c>
      <c r="E112" s="8">
        <v>1</v>
      </c>
      <c r="F112" s="8">
        <v>1</v>
      </c>
      <c r="G112" s="13">
        <v>26250</v>
      </c>
      <c r="H112" s="13">
        <v>26250</v>
      </c>
      <c r="I112" s="11" t="s">
        <v>12</v>
      </c>
    </row>
    <row r="113" spans="1:9" ht="45" x14ac:dyDescent="0.25">
      <c r="A113" s="8">
        <v>112</v>
      </c>
      <c r="B113" s="9" t="s">
        <v>308</v>
      </c>
      <c r="C113" s="10" t="s">
        <v>309</v>
      </c>
      <c r="D113" s="8">
        <v>2</v>
      </c>
      <c r="E113" s="8">
        <v>1</v>
      </c>
      <c r="F113" s="8">
        <v>1</v>
      </c>
      <c r="G113" s="13">
        <v>5013</v>
      </c>
      <c r="H113" s="13">
        <v>5013</v>
      </c>
      <c r="I113" s="11" t="s">
        <v>12</v>
      </c>
    </row>
    <row r="114" spans="1:9" ht="30" x14ac:dyDescent="0.25">
      <c r="A114" s="8">
        <v>113</v>
      </c>
      <c r="B114" s="9" t="s">
        <v>310</v>
      </c>
      <c r="C114" s="10" t="s">
        <v>311</v>
      </c>
      <c r="D114" s="8">
        <v>1200</v>
      </c>
      <c r="E114" s="8">
        <v>1000</v>
      </c>
      <c r="F114" s="8">
        <v>200</v>
      </c>
      <c r="G114" s="13">
        <v>1.31</v>
      </c>
      <c r="H114" s="13">
        <v>262.67</v>
      </c>
      <c r="I114" s="11" t="s">
        <v>312</v>
      </c>
    </row>
    <row r="115" spans="1:9" ht="30" x14ac:dyDescent="0.25">
      <c r="A115" s="8">
        <v>114</v>
      </c>
      <c r="B115" s="9" t="s">
        <v>313</v>
      </c>
      <c r="C115" s="10" t="s">
        <v>314</v>
      </c>
      <c r="D115" s="8">
        <v>5</v>
      </c>
      <c r="E115" s="8">
        <v>0</v>
      </c>
      <c r="F115" s="8">
        <v>5</v>
      </c>
      <c r="G115" s="13">
        <v>4711.2</v>
      </c>
      <c r="H115" s="13">
        <v>23556</v>
      </c>
      <c r="I115" s="11" t="s">
        <v>93</v>
      </c>
    </row>
    <row r="116" spans="1:9" ht="30" x14ac:dyDescent="0.25">
      <c r="A116" s="8">
        <v>115</v>
      </c>
      <c r="B116" s="9" t="s">
        <v>315</v>
      </c>
      <c r="C116" s="10" t="s">
        <v>316</v>
      </c>
      <c r="D116" s="8">
        <v>600</v>
      </c>
      <c r="E116" s="8">
        <v>500</v>
      </c>
      <c r="F116" s="8">
        <v>100</v>
      </c>
      <c r="G116" s="13">
        <v>1.89</v>
      </c>
      <c r="H116" s="13">
        <v>189</v>
      </c>
      <c r="I116" s="11" t="s">
        <v>317</v>
      </c>
    </row>
    <row r="117" spans="1:9" ht="30" x14ac:dyDescent="0.25">
      <c r="A117" s="8">
        <v>116</v>
      </c>
      <c r="B117" s="9" t="s">
        <v>318</v>
      </c>
      <c r="C117" s="10" t="s">
        <v>319</v>
      </c>
      <c r="D117" s="8">
        <v>8</v>
      </c>
      <c r="E117" s="8">
        <v>0</v>
      </c>
      <c r="F117" s="8">
        <v>8</v>
      </c>
      <c r="G117" s="13">
        <v>17705</v>
      </c>
      <c r="H117" s="13">
        <v>141640</v>
      </c>
      <c r="I117" s="11" t="s">
        <v>73</v>
      </c>
    </row>
    <row r="118" spans="1:9" x14ac:dyDescent="0.25">
      <c r="A118" s="8">
        <v>117</v>
      </c>
      <c r="B118" s="9" t="s">
        <v>320</v>
      </c>
      <c r="C118" s="30" t="s">
        <v>321</v>
      </c>
      <c r="D118" s="8">
        <v>3</v>
      </c>
      <c r="E118" s="8">
        <v>2</v>
      </c>
      <c r="F118" s="8">
        <v>1</v>
      </c>
      <c r="G118" s="13">
        <v>575</v>
      </c>
      <c r="H118" s="13">
        <v>575</v>
      </c>
      <c r="I118" s="11" t="s">
        <v>12</v>
      </c>
    </row>
    <row r="119" spans="1:9" x14ac:dyDescent="0.25">
      <c r="A119" s="8">
        <v>118</v>
      </c>
      <c r="B119" s="9" t="s">
        <v>322</v>
      </c>
      <c r="C119" s="31" t="s">
        <v>323</v>
      </c>
      <c r="D119" s="8">
        <v>3</v>
      </c>
      <c r="E119" s="8">
        <v>2</v>
      </c>
      <c r="F119" s="8">
        <v>1</v>
      </c>
      <c r="G119" s="13">
        <v>295</v>
      </c>
      <c r="H119" s="13">
        <v>295</v>
      </c>
      <c r="I119" s="11" t="s">
        <v>12</v>
      </c>
    </row>
    <row r="120" spans="1:9" ht="75" x14ac:dyDescent="0.25">
      <c r="A120" s="8">
        <v>119</v>
      </c>
      <c r="B120" s="9" t="s">
        <v>324</v>
      </c>
      <c r="C120" s="9" t="s">
        <v>325</v>
      </c>
      <c r="D120" s="8">
        <v>57</v>
      </c>
      <c r="E120" s="8">
        <v>49</v>
      </c>
      <c r="F120" s="8">
        <v>8</v>
      </c>
      <c r="G120" s="13">
        <v>1440</v>
      </c>
      <c r="H120" s="13">
        <v>11520</v>
      </c>
      <c r="I120" s="11" t="s">
        <v>326</v>
      </c>
    </row>
    <row r="121" spans="1:9" ht="30" x14ac:dyDescent="0.25">
      <c r="A121" s="8">
        <v>120</v>
      </c>
      <c r="B121" s="9" t="s">
        <v>327</v>
      </c>
      <c r="C121" s="10" t="s">
        <v>328</v>
      </c>
      <c r="D121" s="8">
        <v>6</v>
      </c>
      <c r="E121" s="8">
        <v>0</v>
      </c>
      <c r="F121" s="8">
        <v>6</v>
      </c>
      <c r="G121" s="13">
        <v>12480</v>
      </c>
      <c r="H121" s="13">
        <v>74880</v>
      </c>
      <c r="I121" s="11" t="s">
        <v>329</v>
      </c>
    </row>
    <row r="122" spans="1:9" ht="30" x14ac:dyDescent="0.25">
      <c r="A122" s="8">
        <v>121</v>
      </c>
      <c r="B122" s="9" t="s">
        <v>330</v>
      </c>
      <c r="C122" s="10" t="s">
        <v>331</v>
      </c>
      <c r="D122" s="8">
        <v>90</v>
      </c>
      <c r="E122" s="8">
        <v>0</v>
      </c>
      <c r="F122" s="8">
        <v>90</v>
      </c>
      <c r="G122" s="13">
        <v>13080</v>
      </c>
      <c r="H122" s="13">
        <v>1177200</v>
      </c>
      <c r="I122" s="11" t="s">
        <v>332</v>
      </c>
    </row>
    <row r="123" spans="1:9" ht="30" x14ac:dyDescent="0.25">
      <c r="A123" s="8">
        <v>122</v>
      </c>
      <c r="B123" s="9" t="s">
        <v>333</v>
      </c>
      <c r="C123" s="10" t="s">
        <v>334</v>
      </c>
      <c r="D123" s="8">
        <v>35</v>
      </c>
      <c r="E123" s="8">
        <v>29</v>
      </c>
      <c r="F123" s="8">
        <v>6</v>
      </c>
      <c r="G123" s="13">
        <v>15480</v>
      </c>
      <c r="H123" s="13">
        <v>92880</v>
      </c>
      <c r="I123" s="11" t="s">
        <v>329</v>
      </c>
    </row>
    <row r="124" spans="1:9" ht="30" x14ac:dyDescent="0.25">
      <c r="A124" s="8">
        <v>123</v>
      </c>
      <c r="B124" s="9" t="s">
        <v>335</v>
      </c>
      <c r="C124" s="10" t="s">
        <v>336</v>
      </c>
      <c r="D124" s="8">
        <v>65</v>
      </c>
      <c r="E124" s="8">
        <v>54</v>
      </c>
      <c r="F124" s="8">
        <v>11</v>
      </c>
      <c r="G124" s="13">
        <v>17040</v>
      </c>
      <c r="H124" s="13">
        <v>187440</v>
      </c>
      <c r="I124" s="11" t="s">
        <v>337</v>
      </c>
    </row>
    <row r="125" spans="1:9" ht="30" x14ac:dyDescent="0.25">
      <c r="A125" s="8">
        <v>124</v>
      </c>
      <c r="B125" s="9" t="s">
        <v>338</v>
      </c>
      <c r="C125" s="10" t="s">
        <v>339</v>
      </c>
      <c r="D125" s="8">
        <v>18</v>
      </c>
      <c r="E125" s="8">
        <v>11</v>
      </c>
      <c r="F125" s="8">
        <v>7</v>
      </c>
      <c r="G125" s="13">
        <v>19620</v>
      </c>
      <c r="H125" s="13">
        <v>137340</v>
      </c>
      <c r="I125" s="11" t="s">
        <v>340</v>
      </c>
    </row>
    <row r="126" spans="1:9" ht="30" x14ac:dyDescent="0.25">
      <c r="A126" s="8">
        <v>125</v>
      </c>
      <c r="B126" s="9" t="s">
        <v>341</v>
      </c>
      <c r="C126" s="10" t="s">
        <v>342</v>
      </c>
      <c r="D126" s="8">
        <v>18</v>
      </c>
      <c r="E126" s="8">
        <v>13</v>
      </c>
      <c r="F126" s="8">
        <v>5</v>
      </c>
      <c r="G126" s="13">
        <v>22920</v>
      </c>
      <c r="H126" s="13">
        <v>114600</v>
      </c>
      <c r="I126" s="11" t="s">
        <v>343</v>
      </c>
    </row>
    <row r="127" spans="1:9" ht="30" x14ac:dyDescent="0.25">
      <c r="A127" s="8">
        <v>126</v>
      </c>
      <c r="B127" s="9" t="s">
        <v>344</v>
      </c>
      <c r="C127" s="10" t="s">
        <v>345</v>
      </c>
      <c r="D127" s="8">
        <v>5</v>
      </c>
      <c r="E127" s="8">
        <v>0</v>
      </c>
      <c r="F127" s="8">
        <v>5</v>
      </c>
      <c r="G127" s="13">
        <v>30360</v>
      </c>
      <c r="H127" s="13">
        <v>151800</v>
      </c>
      <c r="I127" s="11" t="s">
        <v>343</v>
      </c>
    </row>
    <row r="128" spans="1:9" ht="30" x14ac:dyDescent="0.25">
      <c r="A128" s="8">
        <v>127</v>
      </c>
      <c r="B128" s="9" t="s">
        <v>346</v>
      </c>
      <c r="C128" s="10" t="s">
        <v>347</v>
      </c>
      <c r="D128" s="8">
        <v>6</v>
      </c>
      <c r="E128" s="8">
        <v>0</v>
      </c>
      <c r="F128" s="8">
        <v>6</v>
      </c>
      <c r="G128" s="13">
        <v>35760</v>
      </c>
      <c r="H128" s="13">
        <v>214560</v>
      </c>
      <c r="I128" s="11" t="s">
        <v>329</v>
      </c>
    </row>
    <row r="129" spans="1:9" ht="30" x14ac:dyDescent="0.25">
      <c r="A129" s="8">
        <v>128</v>
      </c>
      <c r="B129" s="9" t="s">
        <v>348</v>
      </c>
      <c r="C129" s="10" t="s">
        <v>349</v>
      </c>
      <c r="D129" s="8">
        <v>1</v>
      </c>
      <c r="E129" s="8">
        <v>0</v>
      </c>
      <c r="F129" s="8">
        <v>1</v>
      </c>
      <c r="G129" s="13">
        <v>39000</v>
      </c>
      <c r="H129" s="13">
        <v>39000</v>
      </c>
      <c r="I129" s="11" t="s">
        <v>194</v>
      </c>
    </row>
    <row r="130" spans="1:9" ht="30" x14ac:dyDescent="0.25">
      <c r="A130" s="8">
        <v>129</v>
      </c>
      <c r="B130" s="9" t="s">
        <v>350</v>
      </c>
      <c r="C130" s="10" t="s">
        <v>351</v>
      </c>
      <c r="D130" s="8">
        <v>1</v>
      </c>
      <c r="E130" s="8">
        <v>0</v>
      </c>
      <c r="F130" s="8">
        <v>1</v>
      </c>
      <c r="G130" s="13">
        <v>44400</v>
      </c>
      <c r="H130" s="13">
        <v>44400</v>
      </c>
      <c r="I130" s="11" t="s">
        <v>194</v>
      </c>
    </row>
    <row r="131" spans="1:9" ht="30" x14ac:dyDescent="0.25">
      <c r="A131" s="8">
        <v>130</v>
      </c>
      <c r="B131" s="9" t="s">
        <v>352</v>
      </c>
      <c r="C131" s="10" t="s">
        <v>353</v>
      </c>
      <c r="D131" s="8">
        <v>1</v>
      </c>
      <c r="E131" s="8">
        <v>0</v>
      </c>
      <c r="F131" s="8">
        <v>1</v>
      </c>
      <c r="G131" s="13">
        <v>34200</v>
      </c>
      <c r="H131" s="13">
        <v>34200</v>
      </c>
      <c r="I131" s="11" t="s">
        <v>194</v>
      </c>
    </row>
    <row r="132" spans="1:9" ht="30" x14ac:dyDescent="0.25">
      <c r="A132" s="8">
        <v>131</v>
      </c>
      <c r="B132" s="9" t="s">
        <v>354</v>
      </c>
      <c r="C132" s="10" t="s">
        <v>355</v>
      </c>
      <c r="D132" s="8">
        <v>2</v>
      </c>
      <c r="E132" s="8">
        <v>0</v>
      </c>
      <c r="F132" s="8">
        <v>2</v>
      </c>
      <c r="G132" s="13">
        <v>116760</v>
      </c>
      <c r="H132" s="13">
        <v>233520</v>
      </c>
      <c r="I132" s="11" t="s">
        <v>356</v>
      </c>
    </row>
    <row r="133" spans="1:9" x14ac:dyDescent="0.25">
      <c r="A133" s="8">
        <v>132</v>
      </c>
      <c r="B133" s="9" t="s">
        <v>357</v>
      </c>
      <c r="C133" s="10" t="s">
        <v>358</v>
      </c>
      <c r="D133" s="8">
        <v>142</v>
      </c>
      <c r="E133" s="8">
        <v>140</v>
      </c>
      <c r="F133" s="8">
        <v>2</v>
      </c>
      <c r="G133" s="13">
        <v>685.42</v>
      </c>
      <c r="H133" s="13">
        <v>1370.85</v>
      </c>
      <c r="I133" s="11" t="s">
        <v>359</v>
      </c>
    </row>
    <row r="134" spans="1:9" ht="45" x14ac:dyDescent="0.25">
      <c r="A134" s="8">
        <v>133</v>
      </c>
      <c r="B134" s="9" t="s">
        <v>360</v>
      </c>
      <c r="C134" s="10" t="s">
        <v>361</v>
      </c>
      <c r="D134" s="8">
        <v>4</v>
      </c>
      <c r="E134" s="8">
        <v>0</v>
      </c>
      <c r="F134" s="8">
        <v>4</v>
      </c>
      <c r="G134" s="13">
        <v>150</v>
      </c>
      <c r="H134" s="13">
        <v>600</v>
      </c>
      <c r="I134" s="11" t="s">
        <v>51</v>
      </c>
    </row>
    <row r="135" spans="1:9" ht="120" x14ac:dyDescent="0.25">
      <c r="A135" s="8">
        <v>134</v>
      </c>
      <c r="B135" s="9" t="s">
        <v>362</v>
      </c>
      <c r="C135" s="10" t="s">
        <v>363</v>
      </c>
      <c r="D135" s="8">
        <v>8</v>
      </c>
      <c r="E135" s="8">
        <v>0</v>
      </c>
      <c r="F135" s="8">
        <v>8</v>
      </c>
      <c r="G135" s="13">
        <v>77990</v>
      </c>
      <c r="H135" s="13">
        <v>623920</v>
      </c>
      <c r="I135" s="11" t="s">
        <v>73</v>
      </c>
    </row>
    <row r="136" spans="1:9" ht="45" x14ac:dyDescent="0.25">
      <c r="A136" s="8">
        <v>135</v>
      </c>
      <c r="B136" s="9" t="s">
        <v>364</v>
      </c>
      <c r="C136" s="10" t="s">
        <v>365</v>
      </c>
      <c r="D136" s="8">
        <v>26</v>
      </c>
      <c r="E136" s="8">
        <v>25</v>
      </c>
      <c r="F136" s="8">
        <v>1</v>
      </c>
      <c r="G136" s="13">
        <v>18000</v>
      </c>
      <c r="H136" s="13">
        <v>18000</v>
      </c>
      <c r="I136" s="11" t="s">
        <v>12</v>
      </c>
    </row>
    <row r="137" spans="1:9" ht="45" x14ac:dyDescent="0.25">
      <c r="A137" s="8">
        <v>136</v>
      </c>
      <c r="B137" s="9" t="s">
        <v>366</v>
      </c>
      <c r="C137" s="10" t="s">
        <v>367</v>
      </c>
      <c r="D137" s="8">
        <v>5015</v>
      </c>
      <c r="E137" s="8">
        <v>0</v>
      </c>
      <c r="F137" s="8">
        <v>5015</v>
      </c>
      <c r="G137" s="13">
        <v>68.88</v>
      </c>
      <c r="H137" s="13">
        <v>345433.2</v>
      </c>
      <c r="I137" s="11" t="s">
        <v>368</v>
      </c>
    </row>
    <row r="138" spans="1:9" ht="45" x14ac:dyDescent="0.25">
      <c r="A138" s="8">
        <v>137</v>
      </c>
      <c r="B138" s="9" t="s">
        <v>369</v>
      </c>
      <c r="C138" s="10" t="s">
        <v>370</v>
      </c>
      <c r="D138" s="8">
        <v>1255</v>
      </c>
      <c r="E138" s="8">
        <v>0</v>
      </c>
      <c r="F138" s="8">
        <v>1255</v>
      </c>
      <c r="G138" s="13">
        <v>100.84</v>
      </c>
      <c r="H138" s="13">
        <v>126554.2</v>
      </c>
      <c r="I138" s="11" t="s">
        <v>371</v>
      </c>
    </row>
    <row r="139" spans="1:9" ht="45" x14ac:dyDescent="0.25">
      <c r="A139" s="8">
        <v>138</v>
      </c>
      <c r="B139" s="9" t="s">
        <v>372</v>
      </c>
      <c r="C139" s="10" t="s">
        <v>373</v>
      </c>
      <c r="D139" s="8">
        <v>1655</v>
      </c>
      <c r="E139" s="8">
        <v>0</v>
      </c>
      <c r="F139" s="8">
        <v>1655</v>
      </c>
      <c r="G139" s="13">
        <v>103.74</v>
      </c>
      <c r="H139" s="13">
        <v>171689.7</v>
      </c>
      <c r="I139" s="11" t="s">
        <v>374</v>
      </c>
    </row>
    <row r="140" spans="1:9" ht="45" x14ac:dyDescent="0.25">
      <c r="A140" s="8">
        <v>139</v>
      </c>
      <c r="B140" s="9" t="s">
        <v>375</v>
      </c>
      <c r="C140" s="10" t="s">
        <v>376</v>
      </c>
      <c r="D140" s="8">
        <v>260</v>
      </c>
      <c r="E140" s="8">
        <v>0</v>
      </c>
      <c r="F140" s="8">
        <v>260</v>
      </c>
      <c r="G140" s="13">
        <v>217.98</v>
      </c>
      <c r="H140" s="13">
        <v>56674.8</v>
      </c>
      <c r="I140" s="11" t="s">
        <v>377</v>
      </c>
    </row>
    <row r="141" spans="1:9" ht="45" x14ac:dyDescent="0.25">
      <c r="A141" s="8">
        <v>140</v>
      </c>
      <c r="B141" s="9" t="s">
        <v>378</v>
      </c>
      <c r="C141" s="10" t="s">
        <v>379</v>
      </c>
      <c r="D141" s="8">
        <v>50</v>
      </c>
      <c r="E141" s="8">
        <v>0</v>
      </c>
      <c r="F141" s="8">
        <v>50</v>
      </c>
      <c r="G141" s="13">
        <v>21.5</v>
      </c>
      <c r="H141" s="13">
        <v>1075</v>
      </c>
      <c r="I141" s="11" t="s">
        <v>380</v>
      </c>
    </row>
    <row r="142" spans="1:9" ht="45" x14ac:dyDescent="0.25">
      <c r="A142" s="8">
        <v>141</v>
      </c>
      <c r="B142" s="9" t="s">
        <v>381</v>
      </c>
      <c r="C142" s="10" t="s">
        <v>382</v>
      </c>
      <c r="D142" s="8">
        <v>50</v>
      </c>
      <c r="E142" s="8">
        <v>0</v>
      </c>
      <c r="F142" s="8">
        <v>50</v>
      </c>
      <c r="G142" s="13">
        <v>33.5</v>
      </c>
      <c r="H142" s="13">
        <v>1675</v>
      </c>
      <c r="I142" s="11" t="s">
        <v>380</v>
      </c>
    </row>
    <row r="143" spans="1:9" ht="30" x14ac:dyDescent="0.25">
      <c r="A143" s="8">
        <v>142</v>
      </c>
      <c r="B143" s="9" t="s">
        <v>383</v>
      </c>
      <c r="C143" s="10" t="s">
        <v>384</v>
      </c>
      <c r="D143" s="8">
        <v>2</v>
      </c>
      <c r="E143" s="8">
        <v>0</v>
      </c>
      <c r="F143" s="8">
        <v>2</v>
      </c>
      <c r="G143" s="13">
        <v>28000</v>
      </c>
      <c r="H143" s="13">
        <v>56000</v>
      </c>
      <c r="I143" s="11" t="s">
        <v>359</v>
      </c>
    </row>
    <row r="144" spans="1:9" ht="30" x14ac:dyDescent="0.25">
      <c r="A144" s="8">
        <v>143</v>
      </c>
      <c r="B144" s="9" t="s">
        <v>385</v>
      </c>
      <c r="C144" s="10" t="s">
        <v>386</v>
      </c>
      <c r="D144" s="8">
        <v>410</v>
      </c>
      <c r="E144" s="8">
        <v>0</v>
      </c>
      <c r="F144" s="8">
        <v>410</v>
      </c>
      <c r="G144" s="13">
        <v>15</v>
      </c>
      <c r="H144" s="13">
        <v>6150</v>
      </c>
      <c r="I144" s="11" t="s">
        <v>387</v>
      </c>
    </row>
    <row r="145" spans="1:9" ht="45" x14ac:dyDescent="0.25">
      <c r="A145" s="8">
        <v>144</v>
      </c>
      <c r="B145" s="9" t="s">
        <v>388</v>
      </c>
      <c r="C145" s="10" t="s">
        <v>389</v>
      </c>
      <c r="D145" s="8">
        <v>1</v>
      </c>
      <c r="E145" s="8">
        <v>0</v>
      </c>
      <c r="F145" s="8">
        <v>1</v>
      </c>
      <c r="G145" s="13">
        <v>27600</v>
      </c>
      <c r="H145" s="13">
        <v>27600</v>
      </c>
      <c r="I145" s="11" t="s">
        <v>12</v>
      </c>
    </row>
    <row r="146" spans="1:9" x14ac:dyDescent="0.25">
      <c r="A146" s="33" t="s">
        <v>390</v>
      </c>
      <c r="B146" s="33"/>
      <c r="C146" s="33"/>
      <c r="D146" s="33"/>
      <c r="E146" s="33"/>
      <c r="F146" s="33"/>
      <c r="G146" s="33"/>
      <c r="H146" s="6">
        <f>SUM(H3:H145)</f>
        <v>25006637.480000008</v>
      </c>
      <c r="I146" s="12"/>
    </row>
    <row r="147" spans="1:9" x14ac:dyDescent="0.25">
      <c r="H147" s="5"/>
    </row>
    <row r="148" spans="1:9" x14ac:dyDescent="0.25">
      <c r="H148" s="5"/>
    </row>
  </sheetData>
  <autoFilter ref="A2:I146" xr:uid="{C012D7C0-6A00-498C-B5FB-2CEAD4C601A3}"/>
  <mergeCells count="2">
    <mergeCell ref="A146:G146"/>
    <mergeCell ref="A1:I1"/>
  </mergeCells>
  <pageMargins left="0.25" right="0.25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8F53-5B06-4118-AF11-515554F211A9}">
  <dimension ref="A1:Z148"/>
  <sheetViews>
    <sheetView zoomScale="85" zoomScaleNormal="85" workbookViewId="0">
      <selection sqref="A1:Z146"/>
    </sheetView>
  </sheetViews>
  <sheetFormatPr defaultRowHeight="15" x14ac:dyDescent="0.25"/>
  <cols>
    <col min="1" max="1" width="7.7109375" style="4" customWidth="1"/>
    <col min="2" max="2" width="23" style="1" customWidth="1"/>
    <col min="3" max="3" width="20" style="1" customWidth="1"/>
    <col min="4" max="6" width="8.7109375" style="3" customWidth="1"/>
    <col min="7" max="7" width="13" style="2" bestFit="1" customWidth="1"/>
    <col min="8" max="8" width="15.5703125" style="2" bestFit="1" customWidth="1"/>
    <col min="9" max="9" width="27.140625" style="1" customWidth="1"/>
    <col min="10" max="10" width="9.28515625" style="4" customWidth="1"/>
    <col min="11" max="11" width="9.140625" style="4"/>
    <col min="12" max="12" width="9.28515625" style="4" bestFit="1" customWidth="1"/>
    <col min="13" max="14" width="9.140625" style="4"/>
    <col min="15" max="15" width="10.140625" style="1" bestFit="1" customWidth="1"/>
    <col min="16" max="17" width="9.140625" style="1"/>
    <col min="18" max="18" width="11.28515625" style="1" customWidth="1"/>
    <col min="19" max="19" width="11" style="1" customWidth="1"/>
    <col min="20" max="20" width="9.140625" style="1"/>
    <col min="21" max="21" width="10.85546875" style="1" bestFit="1" customWidth="1"/>
    <col min="22" max="24" width="9.140625" style="1"/>
    <col min="25" max="25" width="9.5703125" style="1" bestFit="1" customWidth="1"/>
    <col min="26" max="26" width="9.140625" style="4"/>
    <col min="27" max="16384" width="9.140625" style="1"/>
  </cols>
  <sheetData>
    <row r="1" spans="1:26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8"/>
    </row>
    <row r="2" spans="1:26" ht="51" customHeight="1" x14ac:dyDescent="0.2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7" t="s">
        <v>391</v>
      </c>
      <c r="K2" s="17" t="s">
        <v>392</v>
      </c>
      <c r="L2" s="17" t="s">
        <v>393</v>
      </c>
      <c r="M2" s="17" t="s">
        <v>394</v>
      </c>
      <c r="N2" s="17" t="s">
        <v>395</v>
      </c>
      <c r="O2" s="17" t="s">
        <v>396</v>
      </c>
      <c r="P2" s="17" t="s">
        <v>397</v>
      </c>
      <c r="Q2" s="17" t="s">
        <v>398</v>
      </c>
      <c r="R2" s="19" t="s">
        <v>399</v>
      </c>
      <c r="S2" s="19" t="s">
        <v>400</v>
      </c>
      <c r="T2" s="17" t="s">
        <v>401</v>
      </c>
      <c r="U2" s="17" t="s">
        <v>402</v>
      </c>
      <c r="V2" s="17" t="s">
        <v>403</v>
      </c>
      <c r="W2" s="17" t="s">
        <v>404</v>
      </c>
      <c r="X2" s="17" t="s">
        <v>405</v>
      </c>
      <c r="Y2" s="17" t="s">
        <v>406</v>
      </c>
      <c r="Z2" s="17" t="s">
        <v>407</v>
      </c>
    </row>
    <row r="3" spans="1:26" ht="45" x14ac:dyDescent="0.25">
      <c r="A3" s="20">
        <v>1</v>
      </c>
      <c r="B3" s="21" t="s">
        <v>10</v>
      </c>
      <c r="C3" s="22" t="s">
        <v>11</v>
      </c>
      <c r="D3" s="20">
        <v>260</v>
      </c>
      <c r="E3" s="20">
        <v>259</v>
      </c>
      <c r="F3" s="20">
        <v>1</v>
      </c>
      <c r="G3" s="23">
        <v>6901.15</v>
      </c>
      <c r="H3" s="23">
        <v>6901.15</v>
      </c>
      <c r="I3" s="24" t="s">
        <v>12</v>
      </c>
      <c r="J3" s="16">
        <f>IFERROR(VALUE(MID(I3, SEARCH("Sakar=", I3) + 6, SEARCH(",", I3 &amp; ",", SEARCH("Sakar=", I3) + 6) - SEARCH("Sakar=", I3) - 6)), 0)</f>
        <v>1</v>
      </c>
      <c r="K3" s="16">
        <f>IFERROR(VALUE(MID(I3, SEARCH("TS=", I3) + 3, SEARCH(",", I3 &amp; ",", SEARCH("TS=", I3) + 3) - SEARCH("TS=", I3) - 3)), 0)</f>
        <v>0</v>
      </c>
      <c r="L3" s="15">
        <f>IFERROR(VALUE(MID(I3, SEARCH("Sakar WH=", I3) + 9, SEARCH(",", I3 &amp; ",", SEARCH("Sakar WH=", I3) + 9) - SEARCH("Sakar WH=", I3) - 9)), 0)</f>
        <v>0</v>
      </c>
      <c r="M3" s="15">
        <f>IFERROR(VALUE(MID(I3, SEARCH("Themis=", I3) + 7, SEARCH(",", I3 &amp; ",", SEARCH("Themis=", I3) + 7) - SEARCH("Themis=", I3) - 7)), 0)</f>
        <v>0</v>
      </c>
      <c r="N3" s="15">
        <f>IFERROR(VALUE(MID(I3, SEARCH("Krishant=", I3) + 9, SEARCH(",", I3 &amp; ",", SEARCH("Krishant=", I3) + 9) - SEARCH("Krishant=", I3) - 9)), 0)</f>
        <v>0</v>
      </c>
      <c r="O3" s="16">
        <f>IFERROR(VALUE(MID(I3, SEARCH("Pirana=", I3) + 7, SEARCH(",", I3 &amp; ",", SEARCH("Pirana=", I3) + 7) - SEARCH("Pirana=", I3) - 7)), 0)</f>
        <v>0</v>
      </c>
      <c r="P3" s="15">
        <f>IFERROR(VALUE(MID(I3, SEARCH("Nextgen=", I3) + 8, SEARCH(",", I3 &amp; ",", SEARCH("Nextgen=", I3) + 8) - SEARCH("Nextgen=", I3) - 8)), 0)</f>
        <v>0</v>
      </c>
      <c r="Q3" s="15">
        <f>IFERROR(VALUE(MID(I3, SEARCH("Expo=", I3) + 5, SEARCH(",", I3 &amp; ",", SEARCH("Expo=", I3) + 5) - SEARCH("Expo=", I3) - 5)), 0)</f>
        <v>0</v>
      </c>
      <c r="R3" s="18">
        <f>IFERROR(VALUE(MID(I3, SEARCH("Fluid Control Lab=", I3) + 18, SEARCH(",", I3 &amp; ",", SEARCH("Fluid Control Lab=", I3) + 18) - SEARCH("Fluid Control Lab=", I3) - 18)), 0)</f>
        <v>0</v>
      </c>
      <c r="S3" s="18">
        <f>IFERROR(VALUE(MID(I3, SEARCH("Rishi Enterprise=", I3) + 17, SEARCH(",", I3 &amp; ",", SEARCH("Rishi Enterprise=", I3) + 17) - SEARCH("Rishi Enterprise=", I3) - 17)), 0)</f>
        <v>0</v>
      </c>
      <c r="T3" s="18">
        <f>IFERROR(VALUE(MID(I3, SEARCH("ITC=", I3) + 4, SEARCH(",", I3 &amp; ",", SEARCH("ITC=", I3) + 4) - SEARCH("ITC=", I3) - 4)), 0)</f>
        <v>0</v>
      </c>
      <c r="U3" s="18">
        <f>IFERROR(VALUE(MID(I3, SEARCH("Controlplus=", I3) + 11, SEARCH(",", I3 &amp; ",", SEARCH("Controlplus=", I3) + 11) - SEARCH("Controlplus=", I3) - 11)), 0)</f>
        <v>0</v>
      </c>
      <c r="V3" s="18">
        <f>IFERROR(VALUE(MID(I3, SEARCH("FCRI=", I3) + 5, SEARCH(",", I3 &amp; ",", SEARCH("FCRI=", I3) + 5) - SEARCH("FCRI=", I3) - 5)), 0)</f>
        <v>0</v>
      </c>
      <c r="W3" s="18">
        <f>IFERROR(VALUE(MID(I3, SEARCH("Jaunpur=", I3) + 8, SEARCH(",", I3 &amp; ",", SEARCH("Jaunpur=", I3) + 8) - SEARCH("Jaunpur=", I3) - 8)), 0)</f>
        <v>0</v>
      </c>
      <c r="X3" s="18">
        <f>IFERROR(VALUE(MID(I3, SEARCH("Baharich=", I3) + 9, SEARCH(",", I3 &amp; ",", SEARCH("Baharich=", I3) + 9) - SEARCH("Baharich=", I3) - 9)), 0)</f>
        <v>0</v>
      </c>
      <c r="Y3" s="18">
        <f>IFERROR(VALUE(MID(I3, SEARCH("Barabanki=", I3) + 10, SEARCH(",", I3 &amp; ",", SEARCH("Barabanki=", I3) + 10) - SEARCH("Barabanki=", I3) - 10)), 0)</f>
        <v>0</v>
      </c>
      <c r="Z3" s="15">
        <f>SUM(J3:Y3)</f>
        <v>1</v>
      </c>
    </row>
    <row r="4" spans="1:26" ht="30" x14ac:dyDescent="0.25">
      <c r="A4" s="20">
        <v>2</v>
      </c>
      <c r="B4" s="21" t="s">
        <v>13</v>
      </c>
      <c r="C4" s="22" t="s">
        <v>14</v>
      </c>
      <c r="D4" s="20">
        <v>20</v>
      </c>
      <c r="E4" s="20">
        <v>10</v>
      </c>
      <c r="F4" s="20">
        <v>10</v>
      </c>
      <c r="G4" s="23">
        <v>4553</v>
      </c>
      <c r="H4" s="23">
        <v>45530</v>
      </c>
      <c r="I4" s="24" t="s">
        <v>15</v>
      </c>
      <c r="J4" s="16">
        <f t="shared" ref="J4:J67" si="0">IFERROR(VALUE(MID(I4, SEARCH("Sakar=", I4) + 6, SEARCH(",", I4 &amp; ",", SEARCH("Sakar=", I4) + 6) - SEARCH("Sakar=", I4) - 6)), 0)</f>
        <v>10</v>
      </c>
      <c r="K4" s="16">
        <f t="shared" ref="K4:K67" si="1">IFERROR(VALUE(MID(I4, SEARCH("TS=", I4) + 3, SEARCH(",", I4 &amp; ",", SEARCH("TS=", I4) + 3) - SEARCH("TS=", I4) - 3)), 0)</f>
        <v>0</v>
      </c>
      <c r="L4" s="15">
        <f t="shared" ref="L4:L67" si="2">IFERROR(VALUE(MID(I4, SEARCH("Sakar WH=", I4) + 9, SEARCH(",", I4 &amp; ",", SEARCH("Sakar WH=", I4) + 9) - SEARCH("Sakar WH=", I4) - 9)), 0)</f>
        <v>0</v>
      </c>
      <c r="M4" s="15">
        <f t="shared" ref="M4:M67" si="3">IFERROR(VALUE(MID(I4, SEARCH("Themis=", I4) + 7, SEARCH(",", I4 &amp; ",", SEARCH("Themis=", I4) + 7) - SEARCH("Themis=", I4) - 7)), 0)</f>
        <v>0</v>
      </c>
      <c r="N4" s="15">
        <f t="shared" ref="N4:N67" si="4">IFERROR(VALUE(MID(I4, SEARCH("Krishant=", I4) + 9, SEARCH(",", I4 &amp; ",", SEARCH("Krishant=", I4) + 9) - SEARCH("Krishant=", I4) - 9)), 0)</f>
        <v>0</v>
      </c>
      <c r="O4" s="16">
        <f t="shared" ref="O4:O67" si="5">IFERROR(VALUE(MID(I4, SEARCH("Pirana=", I4) + 7, SEARCH(",", I4 &amp; ",", SEARCH("Pirana=", I4) + 7) - SEARCH("Pirana=", I4) - 7)), 0)</f>
        <v>0</v>
      </c>
      <c r="P4" s="15">
        <f t="shared" ref="P4:P67" si="6">IFERROR(VALUE(MID(I4, SEARCH("Nextgen=", I4) + 8, SEARCH(",", I4 &amp; ",", SEARCH("Nextgen=", I4) + 8) - SEARCH("Nextgen=", I4) - 8)), 0)</f>
        <v>0</v>
      </c>
      <c r="Q4" s="15">
        <f t="shared" ref="Q4:Q67" si="7">IFERROR(VALUE(MID(I4, SEARCH("Expo=", I4) + 5, SEARCH(",", I4 &amp; ",", SEARCH("Expo=", I4) + 5) - SEARCH("Expo=", I4) - 5)), 0)</f>
        <v>0</v>
      </c>
      <c r="R4" s="18">
        <f t="shared" ref="R4:R67" si="8">IFERROR(VALUE(MID(I4, SEARCH("Fluid Control Lab=", I4) + 18, SEARCH(",", I4 &amp; ",", SEARCH("Fluid Control Lab=", I4) + 18) - SEARCH("Fluid Control Lab=", I4) - 18)), 0)</f>
        <v>0</v>
      </c>
      <c r="S4" s="18">
        <f t="shared" ref="S4:S67" si="9">IFERROR(VALUE(MID(I4, SEARCH("Rishi Enterprise=", I4) + 17, SEARCH(",", I4 &amp; ",", SEARCH("Rishi Enterprise=", I4) + 17) - SEARCH("Rishi Enterprise=", I4) - 17)), 0)</f>
        <v>0</v>
      </c>
      <c r="T4" s="18">
        <f t="shared" ref="T4:T67" si="10">IFERROR(VALUE(MID(I4, SEARCH("ITC=", I4) + 4, SEARCH(",", I4 &amp; ",", SEARCH("ITC=", I4) + 4) - SEARCH("ITC=", I4) - 4)), 0)</f>
        <v>0</v>
      </c>
      <c r="U4" s="18">
        <f t="shared" ref="U4:U67" si="11">IFERROR(VALUE(MID(I4, SEARCH("Controlplus=", I4) + 11, SEARCH(",", I4 &amp; ",", SEARCH("Controlplus=", I4) + 11) - SEARCH("Controlplus=", I4) - 11)), 0)</f>
        <v>0</v>
      </c>
      <c r="V4" s="18">
        <f t="shared" ref="V4:V67" si="12">IFERROR(VALUE(MID(I4, SEARCH("FCRI=", I4) + 5, SEARCH(",", I4 &amp; ",", SEARCH("FCRI=", I4) + 5) - SEARCH("FCRI=", I4) - 5)), 0)</f>
        <v>0</v>
      </c>
      <c r="W4" s="18">
        <f t="shared" ref="W4:W67" si="13">IFERROR(VALUE(MID(I4, SEARCH("Jaunpur=", I4) + 8, SEARCH(",", I4 &amp; ",", SEARCH("Jaunpur=", I4) + 8) - SEARCH("Jaunpur=", I4) - 8)), 0)</f>
        <v>0</v>
      </c>
      <c r="X4" s="18">
        <f t="shared" ref="X4:X67" si="14">IFERROR(VALUE(MID(I4, SEARCH("Baharich=", I4) + 9, SEARCH(",", I4 &amp; ",", SEARCH("Baharich=", I4) + 9) - SEARCH("Baharich=", I4) - 9)), 0)</f>
        <v>0</v>
      </c>
      <c r="Y4" s="18">
        <f t="shared" ref="Y4:Y67" si="15">IFERROR(VALUE(MID(I4, SEARCH("Barabanki=", I4) + 10, SEARCH(",", I4 &amp; ",", SEARCH("Barabanki=", I4) + 10) - SEARCH("Barabanki=", I4) - 10)), 0)</f>
        <v>0</v>
      </c>
      <c r="Z4" s="15">
        <f t="shared" ref="Z4:Z67" si="16">SUM(J4:Y4)</f>
        <v>10</v>
      </c>
    </row>
    <row r="5" spans="1:26" x14ac:dyDescent="0.25">
      <c r="A5" s="20">
        <v>3</v>
      </c>
      <c r="B5" s="21" t="s">
        <v>16</v>
      </c>
      <c r="C5" s="22" t="s">
        <v>17</v>
      </c>
      <c r="D5" s="20">
        <v>445</v>
      </c>
      <c r="E5" s="20">
        <v>427</v>
      </c>
      <c r="F5" s="20">
        <v>18</v>
      </c>
      <c r="G5" s="23">
        <v>19800</v>
      </c>
      <c r="H5" s="23">
        <v>356400</v>
      </c>
      <c r="I5" s="24" t="s">
        <v>18</v>
      </c>
      <c r="J5" s="16">
        <f t="shared" si="0"/>
        <v>18</v>
      </c>
      <c r="K5" s="16">
        <f t="shared" si="1"/>
        <v>0</v>
      </c>
      <c r="L5" s="15">
        <f t="shared" si="2"/>
        <v>0</v>
      </c>
      <c r="M5" s="15">
        <f t="shared" si="3"/>
        <v>0</v>
      </c>
      <c r="N5" s="15">
        <f t="shared" si="4"/>
        <v>0</v>
      </c>
      <c r="O5" s="16">
        <f t="shared" si="5"/>
        <v>0</v>
      </c>
      <c r="P5" s="15">
        <f t="shared" si="6"/>
        <v>0</v>
      </c>
      <c r="Q5" s="15">
        <f t="shared" si="7"/>
        <v>0</v>
      </c>
      <c r="R5" s="18">
        <f t="shared" si="8"/>
        <v>0</v>
      </c>
      <c r="S5" s="18">
        <f t="shared" si="9"/>
        <v>0</v>
      </c>
      <c r="T5" s="18">
        <f t="shared" si="10"/>
        <v>0</v>
      </c>
      <c r="U5" s="18">
        <f t="shared" si="11"/>
        <v>0</v>
      </c>
      <c r="V5" s="18">
        <f t="shared" si="12"/>
        <v>0</v>
      </c>
      <c r="W5" s="18">
        <f t="shared" si="13"/>
        <v>0</v>
      </c>
      <c r="X5" s="18">
        <f t="shared" si="14"/>
        <v>0</v>
      </c>
      <c r="Y5" s="18">
        <f t="shared" si="15"/>
        <v>0</v>
      </c>
      <c r="Z5" s="15">
        <f t="shared" si="16"/>
        <v>18</v>
      </c>
    </row>
    <row r="6" spans="1:26" x14ac:dyDescent="0.25">
      <c r="A6" s="20">
        <v>4</v>
      </c>
      <c r="B6" s="21" t="s">
        <v>19</v>
      </c>
      <c r="C6" s="22" t="s">
        <v>20</v>
      </c>
      <c r="D6" s="20">
        <v>250</v>
      </c>
      <c r="E6" s="20">
        <v>243</v>
      </c>
      <c r="F6" s="20">
        <v>7</v>
      </c>
      <c r="G6" s="23">
        <v>3151</v>
      </c>
      <c r="H6" s="23">
        <v>22057</v>
      </c>
      <c r="I6" s="24" t="s">
        <v>21</v>
      </c>
      <c r="J6" s="16">
        <f t="shared" si="0"/>
        <v>5</v>
      </c>
      <c r="K6" s="16">
        <f t="shared" si="1"/>
        <v>2</v>
      </c>
      <c r="L6" s="15">
        <f t="shared" si="2"/>
        <v>0</v>
      </c>
      <c r="M6" s="15">
        <f t="shared" si="3"/>
        <v>0</v>
      </c>
      <c r="N6" s="15">
        <f t="shared" si="4"/>
        <v>0</v>
      </c>
      <c r="O6" s="16">
        <f t="shared" si="5"/>
        <v>0</v>
      </c>
      <c r="P6" s="15">
        <f t="shared" si="6"/>
        <v>0</v>
      </c>
      <c r="Q6" s="15">
        <f t="shared" si="7"/>
        <v>0</v>
      </c>
      <c r="R6" s="18">
        <f t="shared" si="8"/>
        <v>0</v>
      </c>
      <c r="S6" s="18">
        <f t="shared" si="9"/>
        <v>0</v>
      </c>
      <c r="T6" s="18">
        <f t="shared" si="10"/>
        <v>0</v>
      </c>
      <c r="U6" s="18">
        <f t="shared" si="11"/>
        <v>0</v>
      </c>
      <c r="V6" s="18">
        <f t="shared" si="12"/>
        <v>0</v>
      </c>
      <c r="W6" s="18">
        <f t="shared" si="13"/>
        <v>0</v>
      </c>
      <c r="X6" s="18">
        <f t="shared" si="14"/>
        <v>0</v>
      </c>
      <c r="Y6" s="18">
        <f t="shared" si="15"/>
        <v>0</v>
      </c>
      <c r="Z6" s="15">
        <f t="shared" si="16"/>
        <v>7</v>
      </c>
    </row>
    <row r="7" spans="1:26" ht="30" x14ac:dyDescent="0.25">
      <c r="A7" s="20">
        <v>5</v>
      </c>
      <c r="B7" s="21" t="s">
        <v>22</v>
      </c>
      <c r="C7" s="22" t="s">
        <v>23</v>
      </c>
      <c r="D7" s="20">
        <v>600</v>
      </c>
      <c r="E7" s="20">
        <v>413</v>
      </c>
      <c r="F7" s="20">
        <v>187</v>
      </c>
      <c r="G7" s="23">
        <v>7435.33</v>
      </c>
      <c r="H7" s="23">
        <v>1390407.33</v>
      </c>
      <c r="I7" s="24" t="s">
        <v>408</v>
      </c>
      <c r="J7" s="16">
        <f t="shared" si="0"/>
        <v>2</v>
      </c>
      <c r="K7" s="16">
        <f t="shared" si="1"/>
        <v>0</v>
      </c>
      <c r="L7" s="15">
        <f t="shared" si="2"/>
        <v>183</v>
      </c>
      <c r="M7" s="15">
        <f t="shared" si="3"/>
        <v>0</v>
      </c>
      <c r="N7" s="15">
        <f t="shared" si="4"/>
        <v>0</v>
      </c>
      <c r="O7" s="16">
        <f t="shared" si="5"/>
        <v>0</v>
      </c>
      <c r="P7" s="15">
        <f t="shared" si="6"/>
        <v>0</v>
      </c>
      <c r="Q7" s="15">
        <f t="shared" si="7"/>
        <v>2</v>
      </c>
      <c r="R7" s="18">
        <f t="shared" si="8"/>
        <v>0</v>
      </c>
      <c r="S7" s="18">
        <f t="shared" si="9"/>
        <v>0</v>
      </c>
      <c r="T7" s="18">
        <f t="shared" si="10"/>
        <v>0</v>
      </c>
      <c r="U7" s="18">
        <f t="shared" si="11"/>
        <v>0</v>
      </c>
      <c r="V7" s="18">
        <f t="shared" si="12"/>
        <v>0</v>
      </c>
      <c r="W7" s="18">
        <f t="shared" si="13"/>
        <v>0</v>
      </c>
      <c r="X7" s="18">
        <f t="shared" si="14"/>
        <v>0</v>
      </c>
      <c r="Y7" s="18">
        <f t="shared" si="15"/>
        <v>0</v>
      </c>
      <c r="Z7" s="15">
        <f t="shared" si="16"/>
        <v>187</v>
      </c>
    </row>
    <row r="8" spans="1:26" ht="45" x14ac:dyDescent="0.25">
      <c r="A8" s="20">
        <v>6</v>
      </c>
      <c r="B8" s="21" t="s">
        <v>25</v>
      </c>
      <c r="C8" s="22" t="s">
        <v>26</v>
      </c>
      <c r="D8" s="20">
        <v>171</v>
      </c>
      <c r="E8" s="20">
        <v>141</v>
      </c>
      <c r="F8" s="20">
        <v>30</v>
      </c>
      <c r="G8" s="23">
        <v>12228</v>
      </c>
      <c r="H8" s="23">
        <v>366840.11</v>
      </c>
      <c r="I8" s="24" t="s">
        <v>27</v>
      </c>
      <c r="J8" s="16">
        <f>IFERROR(VALUE(MID(I8, SEARCH("Sakar=", I8) + 6, SEARCH(",", I8 &amp; ",", SEARCH("Sakar=", I8) + 6) - SEARCH("Sakar=", I8) - 6)), 0)+6</f>
        <v>13</v>
      </c>
      <c r="K8" s="16">
        <f t="shared" si="1"/>
        <v>0</v>
      </c>
      <c r="L8" s="15">
        <f t="shared" si="2"/>
        <v>3</v>
      </c>
      <c r="M8" s="15">
        <f t="shared" si="3"/>
        <v>1</v>
      </c>
      <c r="N8" s="15">
        <f t="shared" si="4"/>
        <v>3</v>
      </c>
      <c r="O8" s="16">
        <f t="shared" si="5"/>
        <v>0</v>
      </c>
      <c r="P8" s="15">
        <f t="shared" si="6"/>
        <v>0</v>
      </c>
      <c r="Q8" s="15">
        <f t="shared" si="7"/>
        <v>0</v>
      </c>
      <c r="R8" s="18">
        <f t="shared" si="8"/>
        <v>0</v>
      </c>
      <c r="S8" s="18">
        <f t="shared" si="9"/>
        <v>0</v>
      </c>
      <c r="T8" s="18">
        <f t="shared" si="10"/>
        <v>0</v>
      </c>
      <c r="U8" s="18">
        <f t="shared" si="11"/>
        <v>0</v>
      </c>
      <c r="V8" s="18">
        <f t="shared" si="12"/>
        <v>0</v>
      </c>
      <c r="W8" s="18">
        <f t="shared" si="13"/>
        <v>0</v>
      </c>
      <c r="X8" s="18">
        <f t="shared" si="14"/>
        <v>10</v>
      </c>
      <c r="Y8" s="18">
        <f t="shared" si="15"/>
        <v>0</v>
      </c>
      <c r="Z8" s="15">
        <f t="shared" si="16"/>
        <v>30</v>
      </c>
    </row>
    <row r="9" spans="1:26" ht="45" x14ac:dyDescent="0.25">
      <c r="A9" s="20">
        <v>7</v>
      </c>
      <c r="B9" s="21" t="s">
        <v>28</v>
      </c>
      <c r="C9" s="22" t="s">
        <v>29</v>
      </c>
      <c r="D9" s="20">
        <v>391</v>
      </c>
      <c r="E9" s="20">
        <v>296</v>
      </c>
      <c r="F9" s="20">
        <v>95</v>
      </c>
      <c r="G9" s="23">
        <v>12438.99</v>
      </c>
      <c r="H9" s="23">
        <v>1181703.5900000001</v>
      </c>
      <c r="I9" s="24" t="s">
        <v>30</v>
      </c>
      <c r="J9" s="16">
        <f t="shared" si="0"/>
        <v>7</v>
      </c>
      <c r="K9" s="16">
        <f t="shared" si="1"/>
        <v>0</v>
      </c>
      <c r="L9" s="15">
        <f t="shared" si="2"/>
        <v>22</v>
      </c>
      <c r="M9" s="15">
        <f t="shared" si="3"/>
        <v>36</v>
      </c>
      <c r="N9" s="15">
        <f t="shared" si="4"/>
        <v>4</v>
      </c>
      <c r="O9" s="16">
        <f t="shared" si="5"/>
        <v>0</v>
      </c>
      <c r="P9" s="15">
        <f t="shared" si="6"/>
        <v>0</v>
      </c>
      <c r="Q9" s="15">
        <f t="shared" si="7"/>
        <v>0</v>
      </c>
      <c r="R9" s="18">
        <f t="shared" si="8"/>
        <v>0</v>
      </c>
      <c r="S9" s="18">
        <f t="shared" si="9"/>
        <v>0</v>
      </c>
      <c r="T9" s="18">
        <f t="shared" si="10"/>
        <v>0</v>
      </c>
      <c r="U9" s="18">
        <f t="shared" si="11"/>
        <v>0</v>
      </c>
      <c r="V9" s="18">
        <f t="shared" si="12"/>
        <v>0</v>
      </c>
      <c r="W9" s="18">
        <f t="shared" si="13"/>
        <v>0</v>
      </c>
      <c r="X9" s="18">
        <f t="shared" si="14"/>
        <v>26</v>
      </c>
      <c r="Y9" s="18">
        <f t="shared" si="15"/>
        <v>0</v>
      </c>
      <c r="Z9" s="15">
        <f t="shared" si="16"/>
        <v>95</v>
      </c>
    </row>
    <row r="10" spans="1:26" ht="60" x14ac:dyDescent="0.25">
      <c r="A10" s="20">
        <v>8</v>
      </c>
      <c r="B10" s="21" t="s">
        <v>31</v>
      </c>
      <c r="C10" s="22" t="s">
        <v>32</v>
      </c>
      <c r="D10" s="20">
        <v>139</v>
      </c>
      <c r="E10" s="20">
        <v>90</v>
      </c>
      <c r="F10" s="20">
        <v>49</v>
      </c>
      <c r="G10" s="23">
        <v>13333.54</v>
      </c>
      <c r="H10" s="23">
        <v>653343.30000000005</v>
      </c>
      <c r="I10" s="24" t="s">
        <v>409</v>
      </c>
      <c r="J10" s="16">
        <f t="shared" si="0"/>
        <v>8</v>
      </c>
      <c r="K10" s="16">
        <f t="shared" si="1"/>
        <v>0</v>
      </c>
      <c r="L10" s="15">
        <f>IFERROR(VALUE(MID(I10, SEARCH("Sakar WH=", I10) + 9, SEARCH(",", I10 &amp; ",", SEARCH("Sakar WH=", I10) + 9) - SEARCH("Sakar WH=", I10) - 9)), 0)+7</f>
        <v>9</v>
      </c>
      <c r="M10" s="15">
        <f t="shared" si="3"/>
        <v>22</v>
      </c>
      <c r="N10" s="15">
        <f>IFERROR(VALUE(MID(I10, SEARCH("Krishant=", I10) + 9, SEARCH(",", I10 &amp; ",", SEARCH("Krishant=", I10) + 9) - SEARCH("Krishant=", I10) - 9)), 0)+3</f>
        <v>4</v>
      </c>
      <c r="O10" s="16">
        <f t="shared" si="5"/>
        <v>0</v>
      </c>
      <c r="P10" s="15">
        <f t="shared" si="6"/>
        <v>0</v>
      </c>
      <c r="Q10" s="15">
        <f t="shared" si="7"/>
        <v>0</v>
      </c>
      <c r="R10" s="18">
        <f t="shared" si="8"/>
        <v>0</v>
      </c>
      <c r="S10" s="18">
        <f t="shared" si="9"/>
        <v>0</v>
      </c>
      <c r="T10" s="18">
        <f t="shared" si="10"/>
        <v>0</v>
      </c>
      <c r="U10" s="18">
        <f t="shared" si="11"/>
        <v>0</v>
      </c>
      <c r="V10" s="18">
        <f t="shared" si="12"/>
        <v>0</v>
      </c>
      <c r="W10" s="18">
        <f t="shared" si="13"/>
        <v>0</v>
      </c>
      <c r="X10" s="18">
        <f t="shared" si="14"/>
        <v>6</v>
      </c>
      <c r="Y10" s="18">
        <f t="shared" si="15"/>
        <v>0</v>
      </c>
      <c r="Z10" s="15">
        <f t="shared" si="16"/>
        <v>49</v>
      </c>
    </row>
    <row r="11" spans="1:26" ht="45" x14ac:dyDescent="0.25">
      <c r="A11" s="20">
        <v>9</v>
      </c>
      <c r="B11" s="21" t="s">
        <v>34</v>
      </c>
      <c r="C11" s="22" t="s">
        <v>35</v>
      </c>
      <c r="D11" s="20">
        <v>750</v>
      </c>
      <c r="E11" s="20">
        <v>471</v>
      </c>
      <c r="F11" s="20">
        <v>279</v>
      </c>
      <c r="G11" s="23">
        <v>1872</v>
      </c>
      <c r="H11" s="23">
        <v>522288</v>
      </c>
      <c r="I11" s="24" t="s">
        <v>36</v>
      </c>
      <c r="J11" s="16">
        <f>25+4+250</f>
        <v>279</v>
      </c>
      <c r="K11" s="16">
        <f t="shared" si="1"/>
        <v>0</v>
      </c>
      <c r="L11" s="15">
        <f t="shared" si="2"/>
        <v>0</v>
      </c>
      <c r="M11" s="15">
        <f t="shared" si="3"/>
        <v>0</v>
      </c>
      <c r="N11" s="15">
        <f t="shared" si="4"/>
        <v>0</v>
      </c>
      <c r="O11" s="16">
        <f t="shared" si="5"/>
        <v>0</v>
      </c>
      <c r="P11" s="15">
        <f t="shared" si="6"/>
        <v>0</v>
      </c>
      <c r="Q11" s="15">
        <f t="shared" si="7"/>
        <v>0</v>
      </c>
      <c r="R11" s="18">
        <f t="shared" si="8"/>
        <v>0</v>
      </c>
      <c r="S11" s="18">
        <f t="shared" si="9"/>
        <v>0</v>
      </c>
      <c r="T11" s="18">
        <f t="shared" si="10"/>
        <v>0</v>
      </c>
      <c r="U11" s="18">
        <f t="shared" si="11"/>
        <v>0</v>
      </c>
      <c r="V11" s="18">
        <f t="shared" si="12"/>
        <v>0</v>
      </c>
      <c r="W11" s="18">
        <f t="shared" si="13"/>
        <v>0</v>
      </c>
      <c r="X11" s="18">
        <f t="shared" si="14"/>
        <v>0</v>
      </c>
      <c r="Y11" s="18">
        <f t="shared" si="15"/>
        <v>0</v>
      </c>
      <c r="Z11" s="15">
        <f t="shared" si="16"/>
        <v>279</v>
      </c>
    </row>
    <row r="12" spans="1:26" ht="75" x14ac:dyDescent="0.25">
      <c r="A12" s="20">
        <v>10</v>
      </c>
      <c r="B12" s="21" t="s">
        <v>410</v>
      </c>
      <c r="C12" s="22" t="s">
        <v>38</v>
      </c>
      <c r="D12" s="20">
        <v>750</v>
      </c>
      <c r="E12" s="20">
        <v>643</v>
      </c>
      <c r="F12" s="20">
        <v>107</v>
      </c>
      <c r="G12" s="23">
        <v>16560</v>
      </c>
      <c r="H12" s="23">
        <v>1771920</v>
      </c>
      <c r="I12" s="24" t="s">
        <v>39</v>
      </c>
      <c r="J12" s="16">
        <f>IFERROR(VALUE(MID(I12, SEARCH("Sakar=", I12) + 6, SEARCH(",", I12 &amp; ",", SEARCH("Sakar=", I12) + 6) - SEARCH("Sakar=", I12) - 6)), 0)+15+2+9+30</f>
        <v>65</v>
      </c>
      <c r="K12" s="16">
        <f t="shared" si="1"/>
        <v>1</v>
      </c>
      <c r="L12" s="15">
        <f t="shared" si="2"/>
        <v>0</v>
      </c>
      <c r="M12" s="15">
        <f t="shared" si="3"/>
        <v>3</v>
      </c>
      <c r="N12" s="15">
        <f>IFERROR(VALUE(MID(I12, SEARCH("Krishant=", I12) + 9, SEARCH(",", I12 &amp; ",", SEARCH("Krishant=", I12) + 9) - SEARCH("Krishant=", I12) - 9)), 0)+5+4</f>
        <v>12</v>
      </c>
      <c r="O12" s="16">
        <f t="shared" si="5"/>
        <v>0</v>
      </c>
      <c r="P12" s="15">
        <f t="shared" si="6"/>
        <v>26</v>
      </c>
      <c r="Q12" s="15">
        <f t="shared" si="7"/>
        <v>0</v>
      </c>
      <c r="R12" s="18">
        <f t="shared" si="8"/>
        <v>0</v>
      </c>
      <c r="S12" s="18">
        <f t="shared" si="9"/>
        <v>0</v>
      </c>
      <c r="T12" s="18">
        <f t="shared" si="10"/>
        <v>0</v>
      </c>
      <c r="U12" s="18">
        <f t="shared" si="11"/>
        <v>0</v>
      </c>
      <c r="V12" s="18">
        <f t="shared" si="12"/>
        <v>0</v>
      </c>
      <c r="W12" s="18">
        <f t="shared" si="13"/>
        <v>0</v>
      </c>
      <c r="X12" s="18">
        <f t="shared" si="14"/>
        <v>0</v>
      </c>
      <c r="Y12" s="18">
        <f t="shared" si="15"/>
        <v>0</v>
      </c>
      <c r="Z12" s="15">
        <f t="shared" si="16"/>
        <v>107</v>
      </c>
    </row>
    <row r="13" spans="1:26" ht="60" x14ac:dyDescent="0.25">
      <c r="A13" s="20">
        <v>11</v>
      </c>
      <c r="B13" s="21" t="s">
        <v>411</v>
      </c>
      <c r="C13" s="22" t="s">
        <v>41</v>
      </c>
      <c r="D13" s="20">
        <v>778</v>
      </c>
      <c r="E13" s="20">
        <v>705</v>
      </c>
      <c r="F13" s="20">
        <v>73</v>
      </c>
      <c r="G13" s="23">
        <v>15649.36</v>
      </c>
      <c r="H13" s="23">
        <v>1142403.08</v>
      </c>
      <c r="I13" s="24" t="s">
        <v>42</v>
      </c>
      <c r="J13" s="16">
        <f>IFERROR(VALUE(MID(I13, SEARCH("Sakar=", I13) + 6, SEARCH(",", I13 &amp; ",", SEARCH("Sakar=", I13) + 6) - SEARCH("Sakar=", I13) - 6)), 0)+15+9</f>
        <v>30</v>
      </c>
      <c r="K13" s="16">
        <f>IFERROR(VALUE(MID(I13, SEARCH("TS=", I13) + 3, SEARCH(",", I13 &amp; ",", SEARCH("TS=", I13) + 3) - SEARCH("TS=", I13) - 3)), 0)+1</f>
        <v>2</v>
      </c>
      <c r="L13" s="15">
        <f t="shared" si="2"/>
        <v>0</v>
      </c>
      <c r="M13" s="15">
        <f t="shared" si="3"/>
        <v>3</v>
      </c>
      <c r="N13" s="15">
        <f>IFERROR(VALUE(MID(I13, SEARCH("Krishant=", I13) + 9, SEARCH(",", I13 &amp; ",", SEARCH("Krishant=", I13) + 9) - SEARCH("Krishant=", I13) - 9)), 0)+5+4</f>
        <v>12</v>
      </c>
      <c r="O13" s="16">
        <f t="shared" si="5"/>
        <v>0</v>
      </c>
      <c r="P13" s="15">
        <f t="shared" si="6"/>
        <v>26</v>
      </c>
      <c r="Q13" s="15">
        <f t="shared" si="7"/>
        <v>0</v>
      </c>
      <c r="R13" s="18">
        <f t="shared" si="8"/>
        <v>0</v>
      </c>
      <c r="S13" s="18">
        <f t="shared" si="9"/>
        <v>0</v>
      </c>
      <c r="T13" s="18">
        <f t="shared" si="10"/>
        <v>0</v>
      </c>
      <c r="U13" s="18">
        <f t="shared" si="11"/>
        <v>0</v>
      </c>
      <c r="V13" s="18">
        <f t="shared" si="12"/>
        <v>0</v>
      </c>
      <c r="W13" s="18">
        <f t="shared" si="13"/>
        <v>0</v>
      </c>
      <c r="X13" s="18">
        <f t="shared" si="14"/>
        <v>0</v>
      </c>
      <c r="Y13" s="18">
        <f t="shared" si="15"/>
        <v>0</v>
      </c>
      <c r="Z13" s="15">
        <f t="shared" si="16"/>
        <v>73</v>
      </c>
    </row>
    <row r="14" spans="1:26" x14ac:dyDescent="0.25">
      <c r="A14" s="20">
        <v>12</v>
      </c>
      <c r="B14" s="21" t="s">
        <v>43</v>
      </c>
      <c r="C14" s="22" t="s">
        <v>44</v>
      </c>
      <c r="D14" s="20">
        <v>1830</v>
      </c>
      <c r="E14" s="20">
        <v>1580</v>
      </c>
      <c r="F14" s="20">
        <v>250</v>
      </c>
      <c r="G14" s="23">
        <v>20.25</v>
      </c>
      <c r="H14" s="23">
        <v>5061.4799999999996</v>
      </c>
      <c r="I14" s="24" t="s">
        <v>412</v>
      </c>
      <c r="J14" s="16">
        <f t="shared" si="0"/>
        <v>250</v>
      </c>
      <c r="K14" s="16">
        <f t="shared" si="1"/>
        <v>0</v>
      </c>
      <c r="L14" s="15">
        <f t="shared" si="2"/>
        <v>0</v>
      </c>
      <c r="M14" s="15">
        <f t="shared" si="3"/>
        <v>0</v>
      </c>
      <c r="N14" s="15">
        <f t="shared" si="4"/>
        <v>0</v>
      </c>
      <c r="O14" s="16">
        <f t="shared" si="5"/>
        <v>0</v>
      </c>
      <c r="P14" s="15">
        <f t="shared" si="6"/>
        <v>0</v>
      </c>
      <c r="Q14" s="15">
        <f t="shared" si="7"/>
        <v>0</v>
      </c>
      <c r="R14" s="18">
        <f t="shared" si="8"/>
        <v>0</v>
      </c>
      <c r="S14" s="18">
        <f t="shared" si="9"/>
        <v>0</v>
      </c>
      <c r="T14" s="18">
        <f t="shared" si="10"/>
        <v>0</v>
      </c>
      <c r="U14" s="18">
        <f t="shared" si="11"/>
        <v>0</v>
      </c>
      <c r="V14" s="18">
        <f t="shared" si="12"/>
        <v>0</v>
      </c>
      <c r="W14" s="18">
        <f t="shared" si="13"/>
        <v>0</v>
      </c>
      <c r="X14" s="18">
        <f t="shared" si="14"/>
        <v>0</v>
      </c>
      <c r="Y14" s="18">
        <f t="shared" si="15"/>
        <v>0</v>
      </c>
      <c r="Z14" s="15">
        <f t="shared" si="16"/>
        <v>250</v>
      </c>
    </row>
    <row r="15" spans="1:26" ht="30" x14ac:dyDescent="0.25">
      <c r="A15" s="20">
        <v>13</v>
      </c>
      <c r="B15" s="21" t="s">
        <v>46</v>
      </c>
      <c r="C15" s="22" t="s">
        <v>47</v>
      </c>
      <c r="D15" s="20">
        <v>12</v>
      </c>
      <c r="E15" s="20">
        <v>3</v>
      </c>
      <c r="F15" s="20">
        <v>9</v>
      </c>
      <c r="G15" s="23">
        <v>29000</v>
      </c>
      <c r="H15" s="23">
        <v>261000</v>
      </c>
      <c r="I15" s="24" t="s">
        <v>48</v>
      </c>
      <c r="J15" s="16">
        <f t="shared" si="0"/>
        <v>1</v>
      </c>
      <c r="K15" s="16">
        <f t="shared" si="1"/>
        <v>0</v>
      </c>
      <c r="L15" s="15">
        <f t="shared" si="2"/>
        <v>8</v>
      </c>
      <c r="M15" s="15">
        <f t="shared" si="3"/>
        <v>0</v>
      </c>
      <c r="N15" s="15">
        <f t="shared" si="4"/>
        <v>0</v>
      </c>
      <c r="O15" s="16">
        <f t="shared" si="5"/>
        <v>0</v>
      </c>
      <c r="P15" s="15">
        <f t="shared" si="6"/>
        <v>0</v>
      </c>
      <c r="Q15" s="15">
        <f t="shared" si="7"/>
        <v>0</v>
      </c>
      <c r="R15" s="18">
        <f t="shared" si="8"/>
        <v>0</v>
      </c>
      <c r="S15" s="18">
        <f t="shared" si="9"/>
        <v>0</v>
      </c>
      <c r="T15" s="18">
        <f t="shared" si="10"/>
        <v>0</v>
      </c>
      <c r="U15" s="18">
        <f t="shared" si="11"/>
        <v>0</v>
      </c>
      <c r="V15" s="18">
        <f t="shared" si="12"/>
        <v>0</v>
      </c>
      <c r="W15" s="18">
        <f t="shared" si="13"/>
        <v>0</v>
      </c>
      <c r="X15" s="18">
        <f t="shared" si="14"/>
        <v>0</v>
      </c>
      <c r="Y15" s="18">
        <f t="shared" si="15"/>
        <v>0</v>
      </c>
      <c r="Z15" s="15">
        <f t="shared" si="16"/>
        <v>9</v>
      </c>
    </row>
    <row r="16" spans="1:26" x14ac:dyDescent="0.25">
      <c r="A16" s="20">
        <v>14</v>
      </c>
      <c r="B16" s="21" t="s">
        <v>49</v>
      </c>
      <c r="C16" s="22" t="s">
        <v>50</v>
      </c>
      <c r="D16" s="20">
        <v>5</v>
      </c>
      <c r="E16" s="20">
        <v>1</v>
      </c>
      <c r="F16" s="20">
        <v>4</v>
      </c>
      <c r="G16" s="23">
        <v>618</v>
      </c>
      <c r="H16" s="23">
        <v>2472</v>
      </c>
      <c r="I16" s="24" t="s">
        <v>51</v>
      </c>
      <c r="J16" s="16">
        <f t="shared" si="0"/>
        <v>4</v>
      </c>
      <c r="K16" s="16">
        <f t="shared" si="1"/>
        <v>0</v>
      </c>
      <c r="L16" s="15">
        <f t="shared" si="2"/>
        <v>0</v>
      </c>
      <c r="M16" s="15">
        <f t="shared" si="3"/>
        <v>0</v>
      </c>
      <c r="N16" s="15">
        <f t="shared" si="4"/>
        <v>0</v>
      </c>
      <c r="O16" s="16">
        <f t="shared" si="5"/>
        <v>0</v>
      </c>
      <c r="P16" s="15">
        <f t="shared" si="6"/>
        <v>0</v>
      </c>
      <c r="Q16" s="15">
        <f t="shared" si="7"/>
        <v>0</v>
      </c>
      <c r="R16" s="18">
        <f t="shared" si="8"/>
        <v>0</v>
      </c>
      <c r="S16" s="18">
        <f t="shared" si="9"/>
        <v>0</v>
      </c>
      <c r="T16" s="18">
        <f t="shared" si="10"/>
        <v>0</v>
      </c>
      <c r="U16" s="18">
        <f t="shared" si="11"/>
        <v>0</v>
      </c>
      <c r="V16" s="18">
        <f t="shared" si="12"/>
        <v>0</v>
      </c>
      <c r="W16" s="18">
        <f t="shared" si="13"/>
        <v>0</v>
      </c>
      <c r="X16" s="18">
        <f t="shared" si="14"/>
        <v>0</v>
      </c>
      <c r="Y16" s="18">
        <f t="shared" si="15"/>
        <v>0</v>
      </c>
      <c r="Z16" s="15">
        <f t="shared" si="16"/>
        <v>4</v>
      </c>
    </row>
    <row r="17" spans="1:26" ht="30" x14ac:dyDescent="0.25">
      <c r="A17" s="20">
        <v>15</v>
      </c>
      <c r="B17" s="21" t="s">
        <v>52</v>
      </c>
      <c r="C17" s="22" t="s">
        <v>53</v>
      </c>
      <c r="D17" s="20">
        <v>3</v>
      </c>
      <c r="E17" s="20">
        <v>2</v>
      </c>
      <c r="F17" s="20">
        <v>1</v>
      </c>
      <c r="G17" s="23">
        <v>40000</v>
      </c>
      <c r="H17" s="23">
        <v>40000</v>
      </c>
      <c r="I17" s="24" t="s">
        <v>54</v>
      </c>
      <c r="J17" s="16">
        <f t="shared" si="0"/>
        <v>0</v>
      </c>
      <c r="K17" s="16">
        <f t="shared" si="1"/>
        <v>0</v>
      </c>
      <c r="L17" s="15">
        <f t="shared" si="2"/>
        <v>0</v>
      </c>
      <c r="M17" s="15">
        <f t="shared" si="3"/>
        <v>0</v>
      </c>
      <c r="N17" s="15">
        <f t="shared" si="4"/>
        <v>0</v>
      </c>
      <c r="O17" s="16">
        <f t="shared" si="5"/>
        <v>1</v>
      </c>
      <c r="P17" s="15">
        <f t="shared" si="6"/>
        <v>0</v>
      </c>
      <c r="Q17" s="15">
        <f t="shared" si="7"/>
        <v>0</v>
      </c>
      <c r="R17" s="18">
        <f t="shared" si="8"/>
        <v>0</v>
      </c>
      <c r="S17" s="18">
        <f t="shared" si="9"/>
        <v>0</v>
      </c>
      <c r="T17" s="18">
        <f t="shared" si="10"/>
        <v>0</v>
      </c>
      <c r="U17" s="18">
        <f t="shared" si="11"/>
        <v>0</v>
      </c>
      <c r="V17" s="18">
        <f t="shared" si="12"/>
        <v>0</v>
      </c>
      <c r="W17" s="18">
        <f t="shared" si="13"/>
        <v>0</v>
      </c>
      <c r="X17" s="18">
        <f t="shared" si="14"/>
        <v>0</v>
      </c>
      <c r="Y17" s="18">
        <f t="shared" si="15"/>
        <v>0</v>
      </c>
      <c r="Z17" s="15">
        <f t="shared" si="16"/>
        <v>1</v>
      </c>
    </row>
    <row r="18" spans="1:26" ht="30" x14ac:dyDescent="0.25">
      <c r="A18" s="20">
        <v>16</v>
      </c>
      <c r="B18" s="21" t="s">
        <v>55</v>
      </c>
      <c r="C18" s="22" t="s">
        <v>56</v>
      </c>
      <c r="D18" s="20">
        <v>9992</v>
      </c>
      <c r="E18" s="20">
        <v>9842</v>
      </c>
      <c r="F18" s="20">
        <v>150</v>
      </c>
      <c r="G18" s="23">
        <v>15.22</v>
      </c>
      <c r="H18" s="23">
        <v>2283.1799999999998</v>
      </c>
      <c r="I18" s="24" t="s">
        <v>57</v>
      </c>
      <c r="J18" s="16">
        <f t="shared" si="0"/>
        <v>100</v>
      </c>
      <c r="K18" s="16">
        <f t="shared" si="1"/>
        <v>0</v>
      </c>
      <c r="L18" s="15">
        <f t="shared" si="2"/>
        <v>0</v>
      </c>
      <c r="M18" s="15">
        <f t="shared" si="3"/>
        <v>0</v>
      </c>
      <c r="N18" s="15">
        <f t="shared" si="4"/>
        <v>0</v>
      </c>
      <c r="O18" s="16">
        <f t="shared" si="5"/>
        <v>50</v>
      </c>
      <c r="P18" s="15">
        <f t="shared" si="6"/>
        <v>0</v>
      </c>
      <c r="Q18" s="15">
        <f t="shared" si="7"/>
        <v>0</v>
      </c>
      <c r="R18" s="18">
        <f t="shared" si="8"/>
        <v>0</v>
      </c>
      <c r="S18" s="18">
        <f t="shared" si="9"/>
        <v>0</v>
      </c>
      <c r="T18" s="18">
        <f t="shared" si="10"/>
        <v>0</v>
      </c>
      <c r="U18" s="18">
        <f t="shared" si="11"/>
        <v>0</v>
      </c>
      <c r="V18" s="18">
        <f t="shared" si="12"/>
        <v>0</v>
      </c>
      <c r="W18" s="18">
        <f t="shared" si="13"/>
        <v>0</v>
      </c>
      <c r="X18" s="18">
        <f t="shared" si="14"/>
        <v>0</v>
      </c>
      <c r="Y18" s="18">
        <f t="shared" si="15"/>
        <v>0</v>
      </c>
      <c r="Z18" s="15">
        <f t="shared" si="16"/>
        <v>150</v>
      </c>
    </row>
    <row r="19" spans="1:26" ht="30" x14ac:dyDescent="0.25">
      <c r="A19" s="20">
        <v>17</v>
      </c>
      <c r="B19" s="21" t="s">
        <v>58</v>
      </c>
      <c r="C19" s="22" t="s">
        <v>59</v>
      </c>
      <c r="D19" s="20">
        <v>310</v>
      </c>
      <c r="E19" s="20">
        <v>307</v>
      </c>
      <c r="F19" s="20">
        <v>3</v>
      </c>
      <c r="G19" s="23">
        <v>597.24</v>
      </c>
      <c r="H19" s="23">
        <v>1791.73</v>
      </c>
      <c r="I19" s="24" t="s">
        <v>60</v>
      </c>
      <c r="J19" s="16">
        <f t="shared" si="0"/>
        <v>3</v>
      </c>
      <c r="K19" s="16">
        <f t="shared" si="1"/>
        <v>0</v>
      </c>
      <c r="L19" s="15">
        <f t="shared" si="2"/>
        <v>0</v>
      </c>
      <c r="M19" s="15">
        <f t="shared" si="3"/>
        <v>0</v>
      </c>
      <c r="N19" s="15">
        <f t="shared" si="4"/>
        <v>0</v>
      </c>
      <c r="O19" s="16">
        <f t="shared" si="5"/>
        <v>0</v>
      </c>
      <c r="P19" s="15">
        <f t="shared" si="6"/>
        <v>0</v>
      </c>
      <c r="Q19" s="15">
        <f t="shared" si="7"/>
        <v>0</v>
      </c>
      <c r="R19" s="18">
        <f t="shared" si="8"/>
        <v>0</v>
      </c>
      <c r="S19" s="18">
        <f t="shared" si="9"/>
        <v>0</v>
      </c>
      <c r="T19" s="18">
        <f t="shared" si="10"/>
        <v>0</v>
      </c>
      <c r="U19" s="18">
        <f t="shared" si="11"/>
        <v>0</v>
      </c>
      <c r="V19" s="18">
        <f t="shared" si="12"/>
        <v>0</v>
      </c>
      <c r="W19" s="18">
        <f t="shared" si="13"/>
        <v>0</v>
      </c>
      <c r="X19" s="18">
        <f t="shared" si="14"/>
        <v>0</v>
      </c>
      <c r="Y19" s="18">
        <f t="shared" si="15"/>
        <v>0</v>
      </c>
      <c r="Z19" s="15">
        <f t="shared" si="16"/>
        <v>3</v>
      </c>
    </row>
    <row r="20" spans="1:26" x14ac:dyDescent="0.25">
      <c r="A20" s="20">
        <v>18</v>
      </c>
      <c r="B20" s="21" t="s">
        <v>61</v>
      </c>
      <c r="C20" s="22" t="s">
        <v>62</v>
      </c>
      <c r="D20" s="20">
        <v>321</v>
      </c>
      <c r="E20" s="20">
        <v>320</v>
      </c>
      <c r="F20" s="20">
        <v>1</v>
      </c>
      <c r="G20" s="23">
        <v>2002.49</v>
      </c>
      <c r="H20" s="23">
        <v>2002.49</v>
      </c>
      <c r="I20" s="24" t="s">
        <v>12</v>
      </c>
      <c r="J20" s="16">
        <f t="shared" si="0"/>
        <v>1</v>
      </c>
      <c r="K20" s="16">
        <f t="shared" si="1"/>
        <v>0</v>
      </c>
      <c r="L20" s="15">
        <f t="shared" si="2"/>
        <v>0</v>
      </c>
      <c r="M20" s="15">
        <f t="shared" si="3"/>
        <v>0</v>
      </c>
      <c r="N20" s="15">
        <f t="shared" si="4"/>
        <v>0</v>
      </c>
      <c r="O20" s="16">
        <f t="shared" si="5"/>
        <v>0</v>
      </c>
      <c r="P20" s="15">
        <f t="shared" si="6"/>
        <v>0</v>
      </c>
      <c r="Q20" s="15">
        <f t="shared" si="7"/>
        <v>0</v>
      </c>
      <c r="R20" s="18">
        <f t="shared" si="8"/>
        <v>0</v>
      </c>
      <c r="S20" s="18">
        <f t="shared" si="9"/>
        <v>0</v>
      </c>
      <c r="T20" s="18">
        <f t="shared" si="10"/>
        <v>0</v>
      </c>
      <c r="U20" s="18">
        <f t="shared" si="11"/>
        <v>0</v>
      </c>
      <c r="V20" s="18">
        <f t="shared" si="12"/>
        <v>0</v>
      </c>
      <c r="W20" s="18">
        <f t="shared" si="13"/>
        <v>0</v>
      </c>
      <c r="X20" s="18">
        <f t="shared" si="14"/>
        <v>0</v>
      </c>
      <c r="Y20" s="18">
        <f t="shared" si="15"/>
        <v>0</v>
      </c>
      <c r="Z20" s="15">
        <f t="shared" si="16"/>
        <v>1</v>
      </c>
    </row>
    <row r="21" spans="1:26" x14ac:dyDescent="0.25">
      <c r="A21" s="20">
        <v>19</v>
      </c>
      <c r="B21" s="21" t="s">
        <v>63</v>
      </c>
      <c r="C21" s="22" t="s">
        <v>64</v>
      </c>
      <c r="D21" s="20">
        <v>450</v>
      </c>
      <c r="E21" s="20">
        <v>163</v>
      </c>
      <c r="F21" s="20">
        <v>287</v>
      </c>
      <c r="G21" s="23">
        <v>245</v>
      </c>
      <c r="H21" s="23">
        <v>70315</v>
      </c>
      <c r="I21" s="24" t="s">
        <v>65</v>
      </c>
      <c r="J21" s="16">
        <f>200+87</f>
        <v>287</v>
      </c>
      <c r="K21" s="16">
        <f t="shared" si="1"/>
        <v>0</v>
      </c>
      <c r="L21" s="15">
        <f t="shared" si="2"/>
        <v>0</v>
      </c>
      <c r="M21" s="15">
        <f t="shared" si="3"/>
        <v>0</v>
      </c>
      <c r="N21" s="15">
        <f t="shared" si="4"/>
        <v>0</v>
      </c>
      <c r="O21" s="16">
        <f t="shared" si="5"/>
        <v>0</v>
      </c>
      <c r="P21" s="15">
        <f t="shared" si="6"/>
        <v>0</v>
      </c>
      <c r="Q21" s="15">
        <f t="shared" si="7"/>
        <v>0</v>
      </c>
      <c r="R21" s="18">
        <f t="shared" si="8"/>
        <v>0</v>
      </c>
      <c r="S21" s="18">
        <f t="shared" si="9"/>
        <v>0</v>
      </c>
      <c r="T21" s="18">
        <f t="shared" si="10"/>
        <v>0</v>
      </c>
      <c r="U21" s="18">
        <f t="shared" si="11"/>
        <v>0</v>
      </c>
      <c r="V21" s="18">
        <f t="shared" si="12"/>
        <v>0</v>
      </c>
      <c r="W21" s="18">
        <f t="shared" si="13"/>
        <v>0</v>
      </c>
      <c r="X21" s="18">
        <f t="shared" si="14"/>
        <v>0</v>
      </c>
      <c r="Y21" s="18">
        <f t="shared" si="15"/>
        <v>0</v>
      </c>
      <c r="Z21" s="15">
        <f t="shared" si="16"/>
        <v>287</v>
      </c>
    </row>
    <row r="22" spans="1:26" x14ac:dyDescent="0.25">
      <c r="A22" s="20">
        <v>20</v>
      </c>
      <c r="B22" s="21" t="s">
        <v>66</v>
      </c>
      <c r="C22" s="22" t="s">
        <v>67</v>
      </c>
      <c r="D22" s="20">
        <v>298</v>
      </c>
      <c r="E22" s="20">
        <v>296</v>
      </c>
      <c r="F22" s="20">
        <v>2</v>
      </c>
      <c r="G22" s="23">
        <v>2389.13</v>
      </c>
      <c r="H22" s="23">
        <v>4778.26</v>
      </c>
      <c r="I22" s="24" t="s">
        <v>68</v>
      </c>
      <c r="J22" s="16">
        <f t="shared" si="0"/>
        <v>1</v>
      </c>
      <c r="K22" s="16">
        <f t="shared" si="1"/>
        <v>0</v>
      </c>
      <c r="L22" s="15">
        <f t="shared" si="2"/>
        <v>0</v>
      </c>
      <c r="M22" s="15">
        <f t="shared" si="3"/>
        <v>0</v>
      </c>
      <c r="N22" s="15">
        <f t="shared" si="4"/>
        <v>1</v>
      </c>
      <c r="O22" s="16">
        <f t="shared" si="5"/>
        <v>0</v>
      </c>
      <c r="P22" s="15">
        <f t="shared" si="6"/>
        <v>0</v>
      </c>
      <c r="Q22" s="15">
        <f t="shared" si="7"/>
        <v>0</v>
      </c>
      <c r="R22" s="18">
        <f t="shared" si="8"/>
        <v>0</v>
      </c>
      <c r="S22" s="18">
        <f t="shared" si="9"/>
        <v>0</v>
      </c>
      <c r="T22" s="18">
        <f t="shared" si="10"/>
        <v>0</v>
      </c>
      <c r="U22" s="18">
        <f t="shared" si="11"/>
        <v>0</v>
      </c>
      <c r="V22" s="18">
        <f t="shared" si="12"/>
        <v>0</v>
      </c>
      <c r="W22" s="18">
        <f t="shared" si="13"/>
        <v>0</v>
      </c>
      <c r="X22" s="18">
        <f t="shared" si="14"/>
        <v>0</v>
      </c>
      <c r="Y22" s="18">
        <f t="shared" si="15"/>
        <v>0</v>
      </c>
      <c r="Z22" s="15">
        <f t="shared" si="16"/>
        <v>2</v>
      </c>
    </row>
    <row r="23" spans="1:26" ht="30" x14ac:dyDescent="0.25">
      <c r="A23" s="20">
        <v>21</v>
      </c>
      <c r="B23" s="21" t="s">
        <v>69</v>
      </c>
      <c r="C23" s="22" t="s">
        <v>70</v>
      </c>
      <c r="D23" s="20">
        <v>193</v>
      </c>
      <c r="E23" s="20">
        <v>190</v>
      </c>
      <c r="F23" s="20">
        <v>3</v>
      </c>
      <c r="G23" s="23">
        <v>2253.6799999999998</v>
      </c>
      <c r="H23" s="23">
        <v>6761.04</v>
      </c>
      <c r="I23" s="24" t="s">
        <v>60</v>
      </c>
      <c r="J23" s="16">
        <f t="shared" si="0"/>
        <v>3</v>
      </c>
      <c r="K23" s="16">
        <f t="shared" si="1"/>
        <v>0</v>
      </c>
      <c r="L23" s="15">
        <f t="shared" si="2"/>
        <v>0</v>
      </c>
      <c r="M23" s="15">
        <f t="shared" si="3"/>
        <v>0</v>
      </c>
      <c r="N23" s="15">
        <f t="shared" si="4"/>
        <v>0</v>
      </c>
      <c r="O23" s="16">
        <f t="shared" si="5"/>
        <v>0</v>
      </c>
      <c r="P23" s="15">
        <f t="shared" si="6"/>
        <v>0</v>
      </c>
      <c r="Q23" s="15">
        <f t="shared" si="7"/>
        <v>0</v>
      </c>
      <c r="R23" s="18">
        <f t="shared" si="8"/>
        <v>0</v>
      </c>
      <c r="S23" s="18">
        <f t="shared" si="9"/>
        <v>0</v>
      </c>
      <c r="T23" s="18">
        <f t="shared" si="10"/>
        <v>0</v>
      </c>
      <c r="U23" s="18">
        <f t="shared" si="11"/>
        <v>0</v>
      </c>
      <c r="V23" s="18">
        <f t="shared" si="12"/>
        <v>0</v>
      </c>
      <c r="W23" s="18">
        <f t="shared" si="13"/>
        <v>0</v>
      </c>
      <c r="X23" s="18">
        <f t="shared" si="14"/>
        <v>0</v>
      </c>
      <c r="Y23" s="18">
        <f t="shared" si="15"/>
        <v>0</v>
      </c>
      <c r="Z23" s="15">
        <f t="shared" si="16"/>
        <v>3</v>
      </c>
    </row>
    <row r="24" spans="1:26" ht="30" x14ac:dyDescent="0.25">
      <c r="A24" s="20">
        <v>22</v>
      </c>
      <c r="B24" s="21" t="s">
        <v>71</v>
      </c>
      <c r="C24" s="22" t="s">
        <v>72</v>
      </c>
      <c r="D24" s="20">
        <v>15</v>
      </c>
      <c r="E24" s="20">
        <v>7</v>
      </c>
      <c r="F24" s="20">
        <v>8</v>
      </c>
      <c r="G24" s="23">
        <v>11500</v>
      </c>
      <c r="H24" s="23">
        <v>92000</v>
      </c>
      <c r="I24" s="24" t="s">
        <v>73</v>
      </c>
      <c r="J24" s="16">
        <f t="shared" si="0"/>
        <v>8</v>
      </c>
      <c r="K24" s="16">
        <f t="shared" si="1"/>
        <v>0</v>
      </c>
      <c r="L24" s="15">
        <f t="shared" si="2"/>
        <v>0</v>
      </c>
      <c r="M24" s="15">
        <f t="shared" si="3"/>
        <v>0</v>
      </c>
      <c r="N24" s="15">
        <f t="shared" si="4"/>
        <v>0</v>
      </c>
      <c r="O24" s="16">
        <f t="shared" si="5"/>
        <v>0</v>
      </c>
      <c r="P24" s="15">
        <f t="shared" si="6"/>
        <v>0</v>
      </c>
      <c r="Q24" s="15">
        <f t="shared" si="7"/>
        <v>0</v>
      </c>
      <c r="R24" s="18">
        <f t="shared" si="8"/>
        <v>0</v>
      </c>
      <c r="S24" s="18">
        <f t="shared" si="9"/>
        <v>0</v>
      </c>
      <c r="T24" s="18">
        <f t="shared" si="10"/>
        <v>0</v>
      </c>
      <c r="U24" s="18">
        <f t="shared" si="11"/>
        <v>0</v>
      </c>
      <c r="V24" s="18">
        <f t="shared" si="12"/>
        <v>0</v>
      </c>
      <c r="W24" s="18">
        <f t="shared" si="13"/>
        <v>0</v>
      </c>
      <c r="X24" s="18">
        <f t="shared" si="14"/>
        <v>0</v>
      </c>
      <c r="Y24" s="18">
        <f t="shared" si="15"/>
        <v>0</v>
      </c>
      <c r="Z24" s="15">
        <f t="shared" si="16"/>
        <v>8</v>
      </c>
    </row>
    <row r="25" spans="1:26" x14ac:dyDescent="0.25">
      <c r="A25" s="20">
        <v>23</v>
      </c>
      <c r="B25" s="21" t="s">
        <v>74</v>
      </c>
      <c r="C25" s="22" t="s">
        <v>75</v>
      </c>
      <c r="D25" s="20">
        <v>6</v>
      </c>
      <c r="E25" s="20">
        <v>5</v>
      </c>
      <c r="F25" s="20">
        <v>1</v>
      </c>
      <c r="G25" s="23">
        <v>17000</v>
      </c>
      <c r="H25" s="23">
        <v>17000</v>
      </c>
      <c r="I25" s="24" t="s">
        <v>12</v>
      </c>
      <c r="J25" s="16">
        <f t="shared" si="0"/>
        <v>1</v>
      </c>
      <c r="K25" s="16">
        <f t="shared" si="1"/>
        <v>0</v>
      </c>
      <c r="L25" s="15">
        <f t="shared" si="2"/>
        <v>0</v>
      </c>
      <c r="M25" s="15">
        <f t="shared" si="3"/>
        <v>0</v>
      </c>
      <c r="N25" s="15">
        <f t="shared" si="4"/>
        <v>0</v>
      </c>
      <c r="O25" s="16">
        <f t="shared" si="5"/>
        <v>0</v>
      </c>
      <c r="P25" s="15">
        <f t="shared" si="6"/>
        <v>0</v>
      </c>
      <c r="Q25" s="15">
        <f t="shared" si="7"/>
        <v>0</v>
      </c>
      <c r="R25" s="18">
        <f t="shared" si="8"/>
        <v>0</v>
      </c>
      <c r="S25" s="18">
        <f t="shared" si="9"/>
        <v>0</v>
      </c>
      <c r="T25" s="18">
        <f t="shared" si="10"/>
        <v>0</v>
      </c>
      <c r="U25" s="18">
        <f t="shared" si="11"/>
        <v>0</v>
      </c>
      <c r="V25" s="18">
        <f t="shared" si="12"/>
        <v>0</v>
      </c>
      <c r="W25" s="18">
        <f t="shared" si="13"/>
        <v>0</v>
      </c>
      <c r="X25" s="18">
        <f t="shared" si="14"/>
        <v>0</v>
      </c>
      <c r="Y25" s="18">
        <f t="shared" si="15"/>
        <v>0</v>
      </c>
      <c r="Z25" s="15">
        <f t="shared" si="16"/>
        <v>1</v>
      </c>
    </row>
    <row r="26" spans="1:26" x14ac:dyDescent="0.25">
      <c r="A26" s="20">
        <v>24</v>
      </c>
      <c r="B26" s="21" t="s">
        <v>76</v>
      </c>
      <c r="C26" s="22" t="s">
        <v>77</v>
      </c>
      <c r="D26" s="20">
        <v>1</v>
      </c>
      <c r="E26" s="20">
        <v>0</v>
      </c>
      <c r="F26" s="20">
        <v>1</v>
      </c>
      <c r="G26" s="23">
        <v>29000</v>
      </c>
      <c r="H26" s="23">
        <v>29000</v>
      </c>
      <c r="I26" s="24" t="s">
        <v>78</v>
      </c>
      <c r="J26" s="16">
        <f t="shared" si="0"/>
        <v>1</v>
      </c>
      <c r="K26" s="16">
        <f t="shared" si="1"/>
        <v>0</v>
      </c>
      <c r="L26" s="15">
        <f t="shared" si="2"/>
        <v>0</v>
      </c>
      <c r="M26" s="15">
        <f t="shared" si="3"/>
        <v>0</v>
      </c>
      <c r="N26" s="15">
        <f t="shared" si="4"/>
        <v>0</v>
      </c>
      <c r="O26" s="16">
        <f t="shared" si="5"/>
        <v>0</v>
      </c>
      <c r="P26" s="15">
        <f t="shared" si="6"/>
        <v>0</v>
      </c>
      <c r="Q26" s="15">
        <f t="shared" si="7"/>
        <v>0</v>
      </c>
      <c r="R26" s="18">
        <f t="shared" si="8"/>
        <v>0</v>
      </c>
      <c r="S26" s="18">
        <f t="shared" si="9"/>
        <v>0</v>
      </c>
      <c r="T26" s="18">
        <f t="shared" si="10"/>
        <v>0</v>
      </c>
      <c r="U26" s="18">
        <f t="shared" si="11"/>
        <v>0</v>
      </c>
      <c r="V26" s="18">
        <f t="shared" si="12"/>
        <v>0</v>
      </c>
      <c r="W26" s="18">
        <f t="shared" si="13"/>
        <v>0</v>
      </c>
      <c r="X26" s="18">
        <f t="shared" si="14"/>
        <v>0</v>
      </c>
      <c r="Y26" s="18">
        <f t="shared" si="15"/>
        <v>0</v>
      </c>
      <c r="Z26" s="15">
        <f t="shared" si="16"/>
        <v>1</v>
      </c>
    </row>
    <row r="27" spans="1:26" ht="30" x14ac:dyDescent="0.25">
      <c r="A27" s="20">
        <v>25</v>
      </c>
      <c r="B27" s="21" t="s">
        <v>79</v>
      </c>
      <c r="C27" s="22" t="s">
        <v>80</v>
      </c>
      <c r="D27" s="20">
        <v>846</v>
      </c>
      <c r="E27" s="20">
        <v>739</v>
      </c>
      <c r="F27" s="20">
        <v>107</v>
      </c>
      <c r="G27" s="23">
        <v>2054.54</v>
      </c>
      <c r="H27" s="23">
        <v>219836.18</v>
      </c>
      <c r="I27" s="24" t="s">
        <v>81</v>
      </c>
      <c r="J27" s="16">
        <f>IFERROR(VALUE(MID(I27, SEARCH("Sakar=", I27) + 6, SEARCH(",", I27 &amp; ",", SEARCH("Sakar=", I27) + 6) - SEARCH("Sakar=", I27) - 6)), 0)+12+56</f>
        <v>81</v>
      </c>
      <c r="K27" s="16">
        <f t="shared" si="1"/>
        <v>0</v>
      </c>
      <c r="L27" s="15">
        <f t="shared" si="2"/>
        <v>0</v>
      </c>
      <c r="M27" s="15">
        <f t="shared" si="3"/>
        <v>0</v>
      </c>
      <c r="N27" s="15">
        <f t="shared" si="4"/>
        <v>0</v>
      </c>
      <c r="O27" s="16">
        <f t="shared" si="5"/>
        <v>0</v>
      </c>
      <c r="P27" s="15">
        <f t="shared" si="6"/>
        <v>26</v>
      </c>
      <c r="Q27" s="15">
        <f t="shared" si="7"/>
        <v>0</v>
      </c>
      <c r="R27" s="18">
        <f t="shared" si="8"/>
        <v>0</v>
      </c>
      <c r="S27" s="18">
        <f t="shared" si="9"/>
        <v>0</v>
      </c>
      <c r="T27" s="18">
        <f t="shared" si="10"/>
        <v>0</v>
      </c>
      <c r="U27" s="18">
        <f t="shared" si="11"/>
        <v>0</v>
      </c>
      <c r="V27" s="18">
        <f t="shared" si="12"/>
        <v>0</v>
      </c>
      <c r="W27" s="18">
        <f t="shared" si="13"/>
        <v>0</v>
      </c>
      <c r="X27" s="18">
        <f t="shared" si="14"/>
        <v>0</v>
      </c>
      <c r="Y27" s="18">
        <f t="shared" si="15"/>
        <v>0</v>
      </c>
      <c r="Z27" s="15">
        <f t="shared" si="16"/>
        <v>107</v>
      </c>
    </row>
    <row r="28" spans="1:26" ht="45" x14ac:dyDescent="0.25">
      <c r="A28" s="20">
        <v>26</v>
      </c>
      <c r="B28" s="21" t="s">
        <v>82</v>
      </c>
      <c r="C28" s="22" t="s">
        <v>83</v>
      </c>
      <c r="D28" s="20">
        <v>8</v>
      </c>
      <c r="E28" s="20">
        <v>2</v>
      </c>
      <c r="F28" s="20">
        <v>6</v>
      </c>
      <c r="G28" s="23">
        <v>14200</v>
      </c>
      <c r="H28" s="23">
        <v>85200</v>
      </c>
      <c r="I28" s="24" t="s">
        <v>84</v>
      </c>
      <c r="J28" s="16">
        <f t="shared" si="0"/>
        <v>0</v>
      </c>
      <c r="K28" s="16">
        <f t="shared" si="1"/>
        <v>0</v>
      </c>
      <c r="L28" s="15">
        <f t="shared" si="2"/>
        <v>6</v>
      </c>
      <c r="M28" s="15">
        <f t="shared" si="3"/>
        <v>0</v>
      </c>
      <c r="N28" s="15">
        <f t="shared" si="4"/>
        <v>0</v>
      </c>
      <c r="O28" s="16">
        <f t="shared" si="5"/>
        <v>0</v>
      </c>
      <c r="P28" s="15">
        <f t="shared" si="6"/>
        <v>0</v>
      </c>
      <c r="Q28" s="15">
        <f t="shared" si="7"/>
        <v>0</v>
      </c>
      <c r="R28" s="18">
        <f t="shared" si="8"/>
        <v>0</v>
      </c>
      <c r="S28" s="18">
        <f t="shared" si="9"/>
        <v>0</v>
      </c>
      <c r="T28" s="18">
        <f t="shared" si="10"/>
        <v>0</v>
      </c>
      <c r="U28" s="18">
        <f t="shared" si="11"/>
        <v>0</v>
      </c>
      <c r="V28" s="18">
        <f t="shared" si="12"/>
        <v>0</v>
      </c>
      <c r="W28" s="18">
        <f t="shared" si="13"/>
        <v>0</v>
      </c>
      <c r="X28" s="18">
        <f t="shared" si="14"/>
        <v>0</v>
      </c>
      <c r="Y28" s="18">
        <f t="shared" si="15"/>
        <v>0</v>
      </c>
      <c r="Z28" s="15">
        <f t="shared" si="16"/>
        <v>6</v>
      </c>
    </row>
    <row r="29" spans="1:26" x14ac:dyDescent="0.25">
      <c r="A29" s="20">
        <v>27</v>
      </c>
      <c r="B29" s="21" t="s">
        <v>85</v>
      </c>
      <c r="C29" s="22" t="s">
        <v>86</v>
      </c>
      <c r="D29" s="20">
        <v>5</v>
      </c>
      <c r="E29" s="20">
        <v>3</v>
      </c>
      <c r="F29" s="20">
        <v>2</v>
      </c>
      <c r="G29" s="23">
        <v>660</v>
      </c>
      <c r="H29" s="23">
        <v>1320</v>
      </c>
      <c r="I29" s="24" t="s">
        <v>87</v>
      </c>
      <c r="J29" s="16">
        <f t="shared" si="0"/>
        <v>2</v>
      </c>
      <c r="K29" s="16">
        <f t="shared" si="1"/>
        <v>0</v>
      </c>
      <c r="L29" s="15">
        <f t="shared" si="2"/>
        <v>0</v>
      </c>
      <c r="M29" s="15">
        <f t="shared" si="3"/>
        <v>0</v>
      </c>
      <c r="N29" s="15">
        <f t="shared" si="4"/>
        <v>0</v>
      </c>
      <c r="O29" s="16">
        <f t="shared" si="5"/>
        <v>0</v>
      </c>
      <c r="P29" s="15">
        <f t="shared" si="6"/>
        <v>0</v>
      </c>
      <c r="Q29" s="15">
        <f t="shared" si="7"/>
        <v>0</v>
      </c>
      <c r="R29" s="18">
        <f t="shared" si="8"/>
        <v>0</v>
      </c>
      <c r="S29" s="18">
        <f t="shared" si="9"/>
        <v>0</v>
      </c>
      <c r="T29" s="18">
        <f t="shared" si="10"/>
        <v>0</v>
      </c>
      <c r="U29" s="18">
        <f t="shared" si="11"/>
        <v>0</v>
      </c>
      <c r="V29" s="18">
        <f t="shared" si="12"/>
        <v>0</v>
      </c>
      <c r="W29" s="18">
        <f t="shared" si="13"/>
        <v>0</v>
      </c>
      <c r="X29" s="18">
        <f t="shared" si="14"/>
        <v>0</v>
      </c>
      <c r="Y29" s="18">
        <f t="shared" si="15"/>
        <v>0</v>
      </c>
      <c r="Z29" s="15">
        <f t="shared" si="16"/>
        <v>2</v>
      </c>
    </row>
    <row r="30" spans="1:26" ht="30" x14ac:dyDescent="0.25">
      <c r="A30" s="20">
        <v>28</v>
      </c>
      <c r="B30" s="21" t="s">
        <v>88</v>
      </c>
      <c r="C30" s="22" t="s">
        <v>89</v>
      </c>
      <c r="D30" s="20">
        <v>60</v>
      </c>
      <c r="E30" s="20">
        <v>35</v>
      </c>
      <c r="F30" s="20">
        <v>25</v>
      </c>
      <c r="G30" s="23">
        <v>105</v>
      </c>
      <c r="H30" s="23">
        <v>2625</v>
      </c>
      <c r="I30" s="24" t="s">
        <v>413</v>
      </c>
      <c r="J30" s="16">
        <f>IFERROR(VALUE(MID(I30, SEARCH("Sakar=", I30) + 6, SEARCH(",", I30 &amp; ",", SEARCH("Sakar=", I30) + 6) - SEARCH("Sakar=", I30) - 6)), 0)+3</f>
        <v>25</v>
      </c>
      <c r="K30" s="16">
        <f t="shared" si="1"/>
        <v>0</v>
      </c>
      <c r="L30" s="15">
        <f t="shared" si="2"/>
        <v>0</v>
      </c>
      <c r="M30" s="15">
        <f t="shared" si="3"/>
        <v>0</v>
      </c>
      <c r="N30" s="15">
        <f t="shared" si="4"/>
        <v>0</v>
      </c>
      <c r="O30" s="16">
        <f t="shared" si="5"/>
        <v>0</v>
      </c>
      <c r="P30" s="15">
        <f t="shared" si="6"/>
        <v>0</v>
      </c>
      <c r="Q30" s="15">
        <f t="shared" si="7"/>
        <v>0</v>
      </c>
      <c r="R30" s="18">
        <f t="shared" si="8"/>
        <v>0</v>
      </c>
      <c r="S30" s="18">
        <f t="shared" si="9"/>
        <v>0</v>
      </c>
      <c r="T30" s="18">
        <f t="shared" si="10"/>
        <v>0</v>
      </c>
      <c r="U30" s="18">
        <f t="shared" si="11"/>
        <v>0</v>
      </c>
      <c r="V30" s="18">
        <f t="shared" si="12"/>
        <v>0</v>
      </c>
      <c r="W30" s="18">
        <f t="shared" si="13"/>
        <v>0</v>
      </c>
      <c r="X30" s="18">
        <f t="shared" si="14"/>
        <v>0</v>
      </c>
      <c r="Y30" s="18">
        <f t="shared" si="15"/>
        <v>0</v>
      </c>
      <c r="Z30" s="15">
        <f t="shared" si="16"/>
        <v>25</v>
      </c>
    </row>
    <row r="31" spans="1:26" ht="30" x14ac:dyDescent="0.25">
      <c r="A31" s="20">
        <v>29</v>
      </c>
      <c r="B31" s="21" t="s">
        <v>91</v>
      </c>
      <c r="C31" s="22" t="s">
        <v>92</v>
      </c>
      <c r="D31" s="20">
        <v>65</v>
      </c>
      <c r="E31" s="20">
        <v>60</v>
      </c>
      <c r="F31" s="20">
        <v>5</v>
      </c>
      <c r="G31" s="23">
        <v>175</v>
      </c>
      <c r="H31" s="23">
        <v>875</v>
      </c>
      <c r="I31" s="24" t="s">
        <v>93</v>
      </c>
      <c r="J31" s="16">
        <f t="shared" si="0"/>
        <v>5</v>
      </c>
      <c r="K31" s="16">
        <f t="shared" si="1"/>
        <v>0</v>
      </c>
      <c r="L31" s="15">
        <f t="shared" si="2"/>
        <v>0</v>
      </c>
      <c r="M31" s="15">
        <f t="shared" si="3"/>
        <v>0</v>
      </c>
      <c r="N31" s="15">
        <f t="shared" si="4"/>
        <v>0</v>
      </c>
      <c r="O31" s="16">
        <f t="shared" si="5"/>
        <v>0</v>
      </c>
      <c r="P31" s="15">
        <f t="shared" si="6"/>
        <v>0</v>
      </c>
      <c r="Q31" s="15">
        <f t="shared" si="7"/>
        <v>0</v>
      </c>
      <c r="R31" s="18">
        <f t="shared" si="8"/>
        <v>0</v>
      </c>
      <c r="S31" s="18">
        <f t="shared" si="9"/>
        <v>0</v>
      </c>
      <c r="T31" s="18">
        <f t="shared" si="10"/>
        <v>0</v>
      </c>
      <c r="U31" s="18">
        <f t="shared" si="11"/>
        <v>0</v>
      </c>
      <c r="V31" s="18">
        <f t="shared" si="12"/>
        <v>0</v>
      </c>
      <c r="W31" s="18">
        <f t="shared" si="13"/>
        <v>0</v>
      </c>
      <c r="X31" s="18">
        <f t="shared" si="14"/>
        <v>0</v>
      </c>
      <c r="Y31" s="18">
        <f t="shared" si="15"/>
        <v>0</v>
      </c>
      <c r="Z31" s="15">
        <f t="shared" si="16"/>
        <v>5</v>
      </c>
    </row>
    <row r="32" spans="1:26" ht="30" x14ac:dyDescent="0.25">
      <c r="A32" s="20">
        <v>30</v>
      </c>
      <c r="B32" s="21" t="s">
        <v>94</v>
      </c>
      <c r="C32" s="22" t="s">
        <v>95</v>
      </c>
      <c r="D32" s="20">
        <v>3</v>
      </c>
      <c r="E32" s="20">
        <v>1</v>
      </c>
      <c r="F32" s="20">
        <v>2</v>
      </c>
      <c r="G32" s="23">
        <v>3800</v>
      </c>
      <c r="H32" s="23">
        <v>7600</v>
      </c>
      <c r="I32" s="24" t="s">
        <v>87</v>
      </c>
      <c r="J32" s="16">
        <f t="shared" si="0"/>
        <v>2</v>
      </c>
      <c r="K32" s="16">
        <f t="shared" si="1"/>
        <v>0</v>
      </c>
      <c r="L32" s="15">
        <f t="shared" si="2"/>
        <v>0</v>
      </c>
      <c r="M32" s="15">
        <f t="shared" si="3"/>
        <v>0</v>
      </c>
      <c r="N32" s="15">
        <f t="shared" si="4"/>
        <v>0</v>
      </c>
      <c r="O32" s="16">
        <f t="shared" si="5"/>
        <v>0</v>
      </c>
      <c r="P32" s="15">
        <f t="shared" si="6"/>
        <v>0</v>
      </c>
      <c r="Q32" s="15">
        <f t="shared" si="7"/>
        <v>0</v>
      </c>
      <c r="R32" s="18">
        <f t="shared" si="8"/>
        <v>0</v>
      </c>
      <c r="S32" s="18">
        <f t="shared" si="9"/>
        <v>0</v>
      </c>
      <c r="T32" s="18">
        <f t="shared" si="10"/>
        <v>0</v>
      </c>
      <c r="U32" s="18">
        <f t="shared" si="11"/>
        <v>0</v>
      </c>
      <c r="V32" s="18">
        <f t="shared" si="12"/>
        <v>0</v>
      </c>
      <c r="W32" s="18">
        <f t="shared" si="13"/>
        <v>0</v>
      </c>
      <c r="X32" s="18">
        <f t="shared" si="14"/>
        <v>0</v>
      </c>
      <c r="Y32" s="18">
        <f t="shared" si="15"/>
        <v>0</v>
      </c>
      <c r="Z32" s="15">
        <f t="shared" si="16"/>
        <v>2</v>
      </c>
    </row>
    <row r="33" spans="1:26" ht="60" x14ac:dyDescent="0.25">
      <c r="A33" s="20">
        <v>31</v>
      </c>
      <c r="B33" s="21" t="s">
        <v>96</v>
      </c>
      <c r="C33" s="22" t="s">
        <v>97</v>
      </c>
      <c r="D33" s="20">
        <v>14</v>
      </c>
      <c r="E33" s="20">
        <v>12</v>
      </c>
      <c r="F33" s="20">
        <v>2</v>
      </c>
      <c r="G33" s="23">
        <v>905.14</v>
      </c>
      <c r="H33" s="23">
        <v>1810.29</v>
      </c>
      <c r="I33" s="24" t="s">
        <v>98</v>
      </c>
      <c r="J33" s="16">
        <f t="shared" si="0"/>
        <v>2</v>
      </c>
      <c r="K33" s="16">
        <f t="shared" si="1"/>
        <v>0</v>
      </c>
      <c r="L33" s="15">
        <f t="shared" si="2"/>
        <v>0</v>
      </c>
      <c r="M33" s="15">
        <f t="shared" si="3"/>
        <v>0</v>
      </c>
      <c r="N33" s="15">
        <f t="shared" si="4"/>
        <v>0</v>
      </c>
      <c r="O33" s="16">
        <f t="shared" si="5"/>
        <v>0</v>
      </c>
      <c r="P33" s="15">
        <f t="shared" si="6"/>
        <v>0</v>
      </c>
      <c r="Q33" s="15">
        <f t="shared" si="7"/>
        <v>0</v>
      </c>
      <c r="R33" s="18">
        <f t="shared" si="8"/>
        <v>0</v>
      </c>
      <c r="S33" s="18">
        <f t="shared" si="9"/>
        <v>0</v>
      </c>
      <c r="T33" s="18">
        <f t="shared" si="10"/>
        <v>0</v>
      </c>
      <c r="U33" s="18">
        <f t="shared" si="11"/>
        <v>0</v>
      </c>
      <c r="V33" s="18">
        <f t="shared" si="12"/>
        <v>0</v>
      </c>
      <c r="W33" s="18">
        <f t="shared" si="13"/>
        <v>0</v>
      </c>
      <c r="X33" s="18">
        <f t="shared" si="14"/>
        <v>0</v>
      </c>
      <c r="Y33" s="18">
        <f t="shared" si="15"/>
        <v>0</v>
      </c>
      <c r="Z33" s="15">
        <f t="shared" si="16"/>
        <v>2</v>
      </c>
    </row>
    <row r="34" spans="1:26" ht="30" x14ac:dyDescent="0.25">
      <c r="A34" s="20">
        <v>32</v>
      </c>
      <c r="B34" s="21" t="s">
        <v>99</v>
      </c>
      <c r="C34" s="22" t="s">
        <v>100</v>
      </c>
      <c r="D34" s="20">
        <v>1000</v>
      </c>
      <c r="E34" s="20">
        <v>975</v>
      </c>
      <c r="F34" s="20">
        <v>25</v>
      </c>
      <c r="G34" s="23">
        <v>18.899999999999999</v>
      </c>
      <c r="H34" s="23">
        <v>472.5</v>
      </c>
      <c r="I34" s="24" t="s">
        <v>414</v>
      </c>
      <c r="J34" s="16">
        <f t="shared" si="0"/>
        <v>25</v>
      </c>
      <c r="K34" s="16">
        <f t="shared" si="1"/>
        <v>0</v>
      </c>
      <c r="L34" s="15">
        <f t="shared" si="2"/>
        <v>0</v>
      </c>
      <c r="M34" s="15">
        <f t="shared" si="3"/>
        <v>0</v>
      </c>
      <c r="N34" s="15">
        <f t="shared" si="4"/>
        <v>0</v>
      </c>
      <c r="O34" s="16">
        <f t="shared" si="5"/>
        <v>0</v>
      </c>
      <c r="P34" s="15">
        <f t="shared" si="6"/>
        <v>0</v>
      </c>
      <c r="Q34" s="15">
        <f t="shared" si="7"/>
        <v>0</v>
      </c>
      <c r="R34" s="18">
        <f t="shared" si="8"/>
        <v>0</v>
      </c>
      <c r="S34" s="18">
        <f t="shared" si="9"/>
        <v>0</v>
      </c>
      <c r="T34" s="18">
        <f t="shared" si="10"/>
        <v>0</v>
      </c>
      <c r="U34" s="18">
        <f t="shared" si="11"/>
        <v>0</v>
      </c>
      <c r="V34" s="18">
        <f t="shared" si="12"/>
        <v>0</v>
      </c>
      <c r="W34" s="18">
        <f t="shared" si="13"/>
        <v>0</v>
      </c>
      <c r="X34" s="18">
        <f t="shared" si="14"/>
        <v>0</v>
      </c>
      <c r="Y34" s="18">
        <f t="shared" si="15"/>
        <v>0</v>
      </c>
      <c r="Z34" s="15">
        <f t="shared" si="16"/>
        <v>25</v>
      </c>
    </row>
    <row r="35" spans="1:26" x14ac:dyDescent="0.25">
      <c r="A35" s="20">
        <v>34</v>
      </c>
      <c r="B35" s="21" t="s">
        <v>102</v>
      </c>
      <c r="C35" s="22" t="s">
        <v>103</v>
      </c>
      <c r="D35" s="20">
        <v>12</v>
      </c>
      <c r="E35" s="20">
        <v>10</v>
      </c>
      <c r="F35" s="20">
        <v>2</v>
      </c>
      <c r="G35" s="23">
        <v>110</v>
      </c>
      <c r="H35" s="23">
        <v>220</v>
      </c>
      <c r="I35" s="24" t="s">
        <v>87</v>
      </c>
      <c r="J35" s="16">
        <f t="shared" si="0"/>
        <v>2</v>
      </c>
      <c r="K35" s="16">
        <f t="shared" si="1"/>
        <v>0</v>
      </c>
      <c r="L35" s="15">
        <f t="shared" si="2"/>
        <v>0</v>
      </c>
      <c r="M35" s="15">
        <f t="shared" si="3"/>
        <v>0</v>
      </c>
      <c r="N35" s="15">
        <f t="shared" si="4"/>
        <v>0</v>
      </c>
      <c r="O35" s="16">
        <f t="shared" si="5"/>
        <v>0</v>
      </c>
      <c r="P35" s="15">
        <f t="shared" si="6"/>
        <v>0</v>
      </c>
      <c r="Q35" s="15">
        <f t="shared" si="7"/>
        <v>0</v>
      </c>
      <c r="R35" s="18">
        <f t="shared" si="8"/>
        <v>0</v>
      </c>
      <c r="S35" s="18">
        <f t="shared" si="9"/>
        <v>0</v>
      </c>
      <c r="T35" s="18">
        <f t="shared" si="10"/>
        <v>0</v>
      </c>
      <c r="U35" s="18">
        <f t="shared" si="11"/>
        <v>0</v>
      </c>
      <c r="V35" s="18">
        <f t="shared" si="12"/>
        <v>0</v>
      </c>
      <c r="W35" s="18">
        <f t="shared" si="13"/>
        <v>0</v>
      </c>
      <c r="X35" s="18">
        <f t="shared" si="14"/>
        <v>0</v>
      </c>
      <c r="Y35" s="18">
        <f t="shared" si="15"/>
        <v>0</v>
      </c>
      <c r="Z35" s="15">
        <f t="shared" si="16"/>
        <v>2</v>
      </c>
    </row>
    <row r="36" spans="1:26" x14ac:dyDescent="0.25">
      <c r="A36" s="20">
        <v>35</v>
      </c>
      <c r="B36" s="21" t="s">
        <v>104</v>
      </c>
      <c r="C36" s="22" t="s">
        <v>105</v>
      </c>
      <c r="D36" s="20">
        <v>2325</v>
      </c>
      <c r="E36" s="20">
        <v>2321</v>
      </c>
      <c r="F36" s="20">
        <v>4</v>
      </c>
      <c r="G36" s="23">
        <v>1050</v>
      </c>
      <c r="H36" s="23">
        <v>4200</v>
      </c>
      <c r="I36" s="24" t="s">
        <v>51</v>
      </c>
      <c r="J36" s="16">
        <f t="shared" si="0"/>
        <v>4</v>
      </c>
      <c r="K36" s="16">
        <f t="shared" si="1"/>
        <v>0</v>
      </c>
      <c r="L36" s="15">
        <f t="shared" si="2"/>
        <v>0</v>
      </c>
      <c r="M36" s="15">
        <f t="shared" si="3"/>
        <v>0</v>
      </c>
      <c r="N36" s="15">
        <f t="shared" si="4"/>
        <v>0</v>
      </c>
      <c r="O36" s="16">
        <f t="shared" si="5"/>
        <v>0</v>
      </c>
      <c r="P36" s="15">
        <f t="shared" si="6"/>
        <v>0</v>
      </c>
      <c r="Q36" s="15">
        <f t="shared" si="7"/>
        <v>0</v>
      </c>
      <c r="R36" s="18">
        <f t="shared" si="8"/>
        <v>0</v>
      </c>
      <c r="S36" s="18">
        <f t="shared" si="9"/>
        <v>0</v>
      </c>
      <c r="T36" s="18">
        <f t="shared" si="10"/>
        <v>0</v>
      </c>
      <c r="U36" s="18">
        <f t="shared" si="11"/>
        <v>0</v>
      </c>
      <c r="V36" s="18">
        <f t="shared" si="12"/>
        <v>0</v>
      </c>
      <c r="W36" s="18">
        <f t="shared" si="13"/>
        <v>0</v>
      </c>
      <c r="X36" s="18">
        <f t="shared" si="14"/>
        <v>0</v>
      </c>
      <c r="Y36" s="18">
        <f t="shared" si="15"/>
        <v>0</v>
      </c>
      <c r="Z36" s="15">
        <f t="shared" si="16"/>
        <v>4</v>
      </c>
    </row>
    <row r="37" spans="1:26" ht="30" x14ac:dyDescent="0.25">
      <c r="A37" s="20">
        <v>36</v>
      </c>
      <c r="B37" s="21" t="s">
        <v>106</v>
      </c>
      <c r="C37" s="22" t="s">
        <v>107</v>
      </c>
      <c r="D37" s="20">
        <v>23600</v>
      </c>
      <c r="E37" s="20">
        <v>20870</v>
      </c>
      <c r="F37" s="20">
        <v>2730</v>
      </c>
      <c r="G37" s="23">
        <v>109.73</v>
      </c>
      <c r="H37" s="23">
        <v>299569.26</v>
      </c>
      <c r="I37" s="24" t="s">
        <v>415</v>
      </c>
      <c r="J37" s="16">
        <f t="shared" si="0"/>
        <v>30</v>
      </c>
      <c r="K37" s="16">
        <f t="shared" si="1"/>
        <v>0</v>
      </c>
      <c r="L37" s="15">
        <f>IFERROR(VALUE(MID(I37, SEARCH("Sakar WH=", I37) + 9, SEARCH(",", I37 &amp; ",", SEARCH("Sakar WH=", I37) + 9) - SEARCH("Sakar WH=", I37) - 9)), 0)+700</f>
        <v>900</v>
      </c>
      <c r="M37" s="15">
        <f t="shared" si="3"/>
        <v>0</v>
      </c>
      <c r="N37" s="15">
        <f t="shared" si="4"/>
        <v>0</v>
      </c>
      <c r="O37" s="16">
        <f t="shared" si="5"/>
        <v>1800</v>
      </c>
      <c r="P37" s="15">
        <f t="shared" si="6"/>
        <v>0</v>
      </c>
      <c r="Q37" s="15">
        <f t="shared" si="7"/>
        <v>0</v>
      </c>
      <c r="R37" s="18">
        <f t="shared" si="8"/>
        <v>0</v>
      </c>
      <c r="S37" s="18">
        <f t="shared" si="9"/>
        <v>0</v>
      </c>
      <c r="T37" s="18">
        <f t="shared" si="10"/>
        <v>0</v>
      </c>
      <c r="U37" s="18">
        <f t="shared" si="11"/>
        <v>0</v>
      </c>
      <c r="V37" s="18">
        <f t="shared" si="12"/>
        <v>0</v>
      </c>
      <c r="W37" s="18">
        <f t="shared" si="13"/>
        <v>0</v>
      </c>
      <c r="X37" s="18">
        <f t="shared" si="14"/>
        <v>0</v>
      </c>
      <c r="Y37" s="18">
        <f t="shared" si="15"/>
        <v>0</v>
      </c>
      <c r="Z37" s="15">
        <f t="shared" si="16"/>
        <v>2730</v>
      </c>
    </row>
    <row r="38" spans="1:26" ht="30" x14ac:dyDescent="0.25">
      <c r="A38" s="20">
        <v>37</v>
      </c>
      <c r="B38" s="21" t="s">
        <v>109</v>
      </c>
      <c r="C38" s="22" t="s">
        <v>110</v>
      </c>
      <c r="D38" s="20">
        <v>26700</v>
      </c>
      <c r="E38" s="20">
        <v>26300</v>
      </c>
      <c r="F38" s="20">
        <v>400</v>
      </c>
      <c r="G38" s="23">
        <v>123.41</v>
      </c>
      <c r="H38" s="23">
        <v>49364.21</v>
      </c>
      <c r="I38" s="24" t="s">
        <v>111</v>
      </c>
      <c r="J38" s="16">
        <f t="shared" si="0"/>
        <v>400</v>
      </c>
      <c r="K38" s="16">
        <f t="shared" si="1"/>
        <v>0</v>
      </c>
      <c r="L38" s="15">
        <f t="shared" si="2"/>
        <v>0</v>
      </c>
      <c r="M38" s="15">
        <f t="shared" si="3"/>
        <v>0</v>
      </c>
      <c r="N38" s="15">
        <f t="shared" si="4"/>
        <v>0</v>
      </c>
      <c r="O38" s="16">
        <f t="shared" si="5"/>
        <v>0</v>
      </c>
      <c r="P38" s="15">
        <f t="shared" si="6"/>
        <v>0</v>
      </c>
      <c r="Q38" s="15">
        <f t="shared" si="7"/>
        <v>0</v>
      </c>
      <c r="R38" s="18">
        <f t="shared" si="8"/>
        <v>0</v>
      </c>
      <c r="S38" s="18">
        <f t="shared" si="9"/>
        <v>0</v>
      </c>
      <c r="T38" s="18">
        <f t="shared" si="10"/>
        <v>0</v>
      </c>
      <c r="U38" s="18">
        <f t="shared" si="11"/>
        <v>0</v>
      </c>
      <c r="V38" s="18">
        <f t="shared" si="12"/>
        <v>0</v>
      </c>
      <c r="W38" s="18">
        <f t="shared" si="13"/>
        <v>0</v>
      </c>
      <c r="X38" s="18">
        <f t="shared" si="14"/>
        <v>0</v>
      </c>
      <c r="Y38" s="18">
        <f t="shared" si="15"/>
        <v>0</v>
      </c>
      <c r="Z38" s="15">
        <f t="shared" si="16"/>
        <v>400</v>
      </c>
    </row>
    <row r="39" spans="1:26" x14ac:dyDescent="0.25">
      <c r="A39" s="20">
        <v>38</v>
      </c>
      <c r="B39" s="21" t="s">
        <v>416</v>
      </c>
      <c r="C39" s="22" t="s">
        <v>113</v>
      </c>
      <c r="D39" s="20">
        <v>2</v>
      </c>
      <c r="E39" s="20">
        <v>0</v>
      </c>
      <c r="F39" s="20">
        <v>2</v>
      </c>
      <c r="G39" s="23">
        <v>20136.5</v>
      </c>
      <c r="H39" s="23">
        <v>40273</v>
      </c>
      <c r="I39" s="24" t="s">
        <v>417</v>
      </c>
      <c r="J39" s="16">
        <f t="shared" si="0"/>
        <v>0</v>
      </c>
      <c r="K39" s="16">
        <f t="shared" si="1"/>
        <v>0</v>
      </c>
      <c r="L39" s="15">
        <f t="shared" si="2"/>
        <v>0</v>
      </c>
      <c r="M39" s="15">
        <f t="shared" si="3"/>
        <v>0</v>
      </c>
      <c r="N39" s="15">
        <f t="shared" si="4"/>
        <v>0</v>
      </c>
      <c r="O39" s="16">
        <f>IFERROR(VALUE(MID(I39, SEARCH("Pirana=", I39) + 7, SEARCH(",", I39 &amp; ",", SEARCH("Pirana=", I39) + 7) - SEARCH("Pirana=", I39) - 7)), 0)+1</f>
        <v>2</v>
      </c>
      <c r="P39" s="15">
        <f t="shared" si="6"/>
        <v>0</v>
      </c>
      <c r="Q39" s="15">
        <f t="shared" si="7"/>
        <v>0</v>
      </c>
      <c r="R39" s="18">
        <f t="shared" si="8"/>
        <v>0</v>
      </c>
      <c r="S39" s="18">
        <f t="shared" si="9"/>
        <v>0</v>
      </c>
      <c r="T39" s="18">
        <f t="shared" si="10"/>
        <v>0</v>
      </c>
      <c r="U39" s="18">
        <f t="shared" si="11"/>
        <v>0</v>
      </c>
      <c r="V39" s="18">
        <f t="shared" si="12"/>
        <v>0</v>
      </c>
      <c r="W39" s="18">
        <f t="shared" si="13"/>
        <v>0</v>
      </c>
      <c r="X39" s="18">
        <f t="shared" si="14"/>
        <v>0</v>
      </c>
      <c r="Y39" s="18">
        <f t="shared" si="15"/>
        <v>0</v>
      </c>
      <c r="Z39" s="15">
        <f t="shared" si="16"/>
        <v>2</v>
      </c>
    </row>
    <row r="40" spans="1:26" ht="30" x14ac:dyDescent="0.25">
      <c r="A40" s="20">
        <v>39</v>
      </c>
      <c r="B40" s="21" t="s">
        <v>115</v>
      </c>
      <c r="C40" s="22" t="s">
        <v>116</v>
      </c>
      <c r="D40" s="20">
        <v>1</v>
      </c>
      <c r="E40" s="20">
        <v>0</v>
      </c>
      <c r="F40" s="20">
        <v>1</v>
      </c>
      <c r="G40" s="23">
        <v>32934</v>
      </c>
      <c r="H40" s="23">
        <v>32934</v>
      </c>
      <c r="I40" s="24" t="s">
        <v>12</v>
      </c>
      <c r="J40" s="16">
        <f t="shared" si="0"/>
        <v>1</v>
      </c>
      <c r="K40" s="16">
        <f t="shared" si="1"/>
        <v>0</v>
      </c>
      <c r="L40" s="15">
        <f t="shared" si="2"/>
        <v>0</v>
      </c>
      <c r="M40" s="15">
        <f t="shared" si="3"/>
        <v>0</v>
      </c>
      <c r="N40" s="15">
        <f t="shared" si="4"/>
        <v>0</v>
      </c>
      <c r="O40" s="16">
        <f t="shared" si="5"/>
        <v>0</v>
      </c>
      <c r="P40" s="15">
        <f t="shared" si="6"/>
        <v>0</v>
      </c>
      <c r="Q40" s="15">
        <f t="shared" si="7"/>
        <v>0</v>
      </c>
      <c r="R40" s="18">
        <f t="shared" si="8"/>
        <v>0</v>
      </c>
      <c r="S40" s="18">
        <f t="shared" si="9"/>
        <v>0</v>
      </c>
      <c r="T40" s="18">
        <f t="shared" si="10"/>
        <v>0</v>
      </c>
      <c r="U40" s="18">
        <f t="shared" si="11"/>
        <v>0</v>
      </c>
      <c r="V40" s="18">
        <f t="shared" si="12"/>
        <v>0</v>
      </c>
      <c r="W40" s="18">
        <f t="shared" si="13"/>
        <v>0</v>
      </c>
      <c r="X40" s="18">
        <f t="shared" si="14"/>
        <v>0</v>
      </c>
      <c r="Y40" s="18">
        <f t="shared" si="15"/>
        <v>0</v>
      </c>
      <c r="Z40" s="15">
        <f t="shared" si="16"/>
        <v>1</v>
      </c>
    </row>
    <row r="41" spans="1:26" x14ac:dyDescent="0.25">
      <c r="A41" s="20">
        <v>40</v>
      </c>
      <c r="B41" s="21" t="s">
        <v>117</v>
      </c>
      <c r="C41" s="22" t="s">
        <v>118</v>
      </c>
      <c r="D41" s="20">
        <v>176</v>
      </c>
      <c r="E41" s="20">
        <v>167</v>
      </c>
      <c r="F41" s="20">
        <v>9</v>
      </c>
      <c r="G41" s="23">
        <v>22085.8</v>
      </c>
      <c r="H41" s="23">
        <v>198772.16</v>
      </c>
      <c r="I41" s="24" t="s">
        <v>418</v>
      </c>
      <c r="J41" s="16">
        <f t="shared" si="0"/>
        <v>0</v>
      </c>
      <c r="K41" s="16">
        <f t="shared" si="1"/>
        <v>1</v>
      </c>
      <c r="L41" s="15">
        <f t="shared" si="2"/>
        <v>0</v>
      </c>
      <c r="M41" s="15">
        <f t="shared" si="3"/>
        <v>0</v>
      </c>
      <c r="N41" s="15">
        <f t="shared" si="4"/>
        <v>0</v>
      </c>
      <c r="O41" s="16">
        <f t="shared" si="5"/>
        <v>8</v>
      </c>
      <c r="P41" s="15">
        <f t="shared" si="6"/>
        <v>0</v>
      </c>
      <c r="Q41" s="15">
        <f t="shared" si="7"/>
        <v>0</v>
      </c>
      <c r="R41" s="18">
        <f t="shared" si="8"/>
        <v>0</v>
      </c>
      <c r="S41" s="18">
        <f t="shared" si="9"/>
        <v>0</v>
      </c>
      <c r="T41" s="18">
        <f t="shared" si="10"/>
        <v>0</v>
      </c>
      <c r="U41" s="18">
        <f t="shared" si="11"/>
        <v>0</v>
      </c>
      <c r="V41" s="18">
        <f t="shared" si="12"/>
        <v>0</v>
      </c>
      <c r="W41" s="18">
        <f t="shared" si="13"/>
        <v>0</v>
      </c>
      <c r="X41" s="18">
        <f t="shared" si="14"/>
        <v>0</v>
      </c>
      <c r="Y41" s="18">
        <f t="shared" si="15"/>
        <v>0</v>
      </c>
      <c r="Z41" s="15">
        <f t="shared" si="16"/>
        <v>9</v>
      </c>
    </row>
    <row r="42" spans="1:26" ht="75" x14ac:dyDescent="0.25">
      <c r="A42" s="20">
        <v>41</v>
      </c>
      <c r="B42" s="21" t="s">
        <v>120</v>
      </c>
      <c r="C42" s="22" t="s">
        <v>121</v>
      </c>
      <c r="D42" s="20">
        <v>1100</v>
      </c>
      <c r="E42" s="20">
        <v>542</v>
      </c>
      <c r="F42" s="20">
        <v>558</v>
      </c>
      <c r="G42" s="23">
        <v>3990</v>
      </c>
      <c r="H42" s="23">
        <v>2226420</v>
      </c>
      <c r="I42" s="24" t="s">
        <v>419</v>
      </c>
      <c r="J42" s="16">
        <f t="shared" si="0"/>
        <v>69</v>
      </c>
      <c r="K42" s="16">
        <f t="shared" si="1"/>
        <v>0</v>
      </c>
      <c r="L42" s="15">
        <f t="shared" si="2"/>
        <v>0</v>
      </c>
      <c r="M42" s="15">
        <f>IFERROR(VALUE(MID(I42, SEARCH("Themis=", I42) + 7, SEARCH(",", I42 &amp; ",", SEARCH("Themis=", I42) + 7) - SEARCH("Themis=", I42) - 7)), 0)+19+115</f>
        <v>135</v>
      </c>
      <c r="N42" s="15">
        <f>IFERROR(VALUE(MID(I42, SEARCH("Krishant=", I42) + 9, SEARCH(",", I42 &amp; ",", SEARCH("Krishant=", I42) + 9) - SEARCH("Krishant=", I42) - 9)), 0)+66</f>
        <v>78</v>
      </c>
      <c r="O42" s="16">
        <f>IFERROR(VALUE(MID(I42, SEARCH("Pirana=", I42) + 7, SEARCH(",", I42 &amp; ",", SEARCH("Pirana=", I42) + 7) - SEARCH("Pirana=", I42) - 7)), 0)+250</f>
        <v>250</v>
      </c>
      <c r="P42" s="15">
        <f t="shared" si="6"/>
        <v>26</v>
      </c>
      <c r="Q42" s="15">
        <f t="shared" si="7"/>
        <v>0</v>
      </c>
      <c r="R42" s="18">
        <f t="shared" si="8"/>
        <v>0</v>
      </c>
      <c r="S42" s="18">
        <f t="shared" si="9"/>
        <v>0</v>
      </c>
      <c r="T42" s="18">
        <f t="shared" si="10"/>
        <v>0</v>
      </c>
      <c r="U42" s="18">
        <f t="shared" si="11"/>
        <v>0</v>
      </c>
      <c r="V42" s="18">
        <f t="shared" si="12"/>
        <v>0</v>
      </c>
      <c r="W42" s="18">
        <f t="shared" si="13"/>
        <v>0</v>
      </c>
      <c r="X42" s="18">
        <f t="shared" si="14"/>
        <v>0</v>
      </c>
      <c r="Y42" s="18">
        <f t="shared" si="15"/>
        <v>0</v>
      </c>
      <c r="Z42" s="15">
        <f t="shared" si="16"/>
        <v>558</v>
      </c>
    </row>
    <row r="43" spans="1:26" ht="30" x14ac:dyDescent="0.25">
      <c r="A43" s="20">
        <v>42</v>
      </c>
      <c r="B43" s="21" t="s">
        <v>123</v>
      </c>
      <c r="C43" s="22" t="s">
        <v>124</v>
      </c>
      <c r="D43" s="20">
        <v>729</v>
      </c>
      <c r="E43" s="20">
        <v>727</v>
      </c>
      <c r="F43" s="20">
        <v>2</v>
      </c>
      <c r="G43" s="23">
        <v>6443.52</v>
      </c>
      <c r="H43" s="23">
        <v>12887.05</v>
      </c>
      <c r="I43" s="24" t="s">
        <v>87</v>
      </c>
      <c r="J43" s="16">
        <f t="shared" si="0"/>
        <v>2</v>
      </c>
      <c r="K43" s="16">
        <f t="shared" si="1"/>
        <v>0</v>
      </c>
      <c r="L43" s="15">
        <f t="shared" si="2"/>
        <v>0</v>
      </c>
      <c r="M43" s="15">
        <f t="shared" si="3"/>
        <v>0</v>
      </c>
      <c r="N43" s="15">
        <f t="shared" si="4"/>
        <v>0</v>
      </c>
      <c r="O43" s="16">
        <f t="shared" si="5"/>
        <v>0</v>
      </c>
      <c r="P43" s="15">
        <f t="shared" si="6"/>
        <v>0</v>
      </c>
      <c r="Q43" s="15">
        <f t="shared" si="7"/>
        <v>0</v>
      </c>
      <c r="R43" s="18">
        <f t="shared" si="8"/>
        <v>0</v>
      </c>
      <c r="S43" s="18">
        <f t="shared" si="9"/>
        <v>0</v>
      </c>
      <c r="T43" s="18">
        <f t="shared" si="10"/>
        <v>0</v>
      </c>
      <c r="U43" s="18">
        <f t="shared" si="11"/>
        <v>0</v>
      </c>
      <c r="V43" s="18">
        <f t="shared" si="12"/>
        <v>0</v>
      </c>
      <c r="W43" s="18">
        <f t="shared" si="13"/>
        <v>0</v>
      </c>
      <c r="X43" s="18">
        <f t="shared" si="14"/>
        <v>0</v>
      </c>
      <c r="Y43" s="18">
        <f t="shared" si="15"/>
        <v>0</v>
      </c>
      <c r="Z43" s="15">
        <f t="shared" si="16"/>
        <v>2</v>
      </c>
    </row>
    <row r="44" spans="1:26" ht="30" x14ac:dyDescent="0.25">
      <c r="A44" s="20">
        <v>43</v>
      </c>
      <c r="B44" s="21" t="s">
        <v>125</v>
      </c>
      <c r="C44" s="22" t="s">
        <v>126</v>
      </c>
      <c r="D44" s="20">
        <v>1657</v>
      </c>
      <c r="E44" s="20">
        <v>1574</v>
      </c>
      <c r="F44" s="20">
        <v>83</v>
      </c>
      <c r="G44" s="23">
        <v>430.72</v>
      </c>
      <c r="H44" s="23">
        <v>35749.760000000002</v>
      </c>
      <c r="I44" s="24" t="s">
        <v>127</v>
      </c>
      <c r="J44" s="16">
        <f t="shared" si="0"/>
        <v>3</v>
      </c>
      <c r="K44" s="16">
        <f t="shared" si="1"/>
        <v>0</v>
      </c>
      <c r="L44" s="15">
        <f t="shared" si="2"/>
        <v>7</v>
      </c>
      <c r="M44" s="15">
        <f t="shared" si="3"/>
        <v>0</v>
      </c>
      <c r="N44" s="15">
        <f t="shared" si="4"/>
        <v>0</v>
      </c>
      <c r="O44" s="16">
        <f t="shared" si="5"/>
        <v>73</v>
      </c>
      <c r="P44" s="15">
        <f t="shared" si="6"/>
        <v>0</v>
      </c>
      <c r="Q44" s="15">
        <f t="shared" si="7"/>
        <v>0</v>
      </c>
      <c r="R44" s="18">
        <f t="shared" si="8"/>
        <v>0</v>
      </c>
      <c r="S44" s="18">
        <f t="shared" si="9"/>
        <v>0</v>
      </c>
      <c r="T44" s="18">
        <f t="shared" si="10"/>
        <v>0</v>
      </c>
      <c r="U44" s="18">
        <f t="shared" si="11"/>
        <v>0</v>
      </c>
      <c r="V44" s="18">
        <f t="shared" si="12"/>
        <v>0</v>
      </c>
      <c r="W44" s="18">
        <f t="shared" si="13"/>
        <v>0</v>
      </c>
      <c r="X44" s="18">
        <f t="shared" si="14"/>
        <v>0</v>
      </c>
      <c r="Y44" s="18">
        <f t="shared" si="15"/>
        <v>0</v>
      </c>
      <c r="Z44" s="15">
        <f t="shared" si="16"/>
        <v>83</v>
      </c>
    </row>
    <row r="45" spans="1:26" ht="30" x14ac:dyDescent="0.25">
      <c r="A45" s="20">
        <v>44</v>
      </c>
      <c r="B45" s="21" t="s">
        <v>128</v>
      </c>
      <c r="C45" s="22" t="s">
        <v>129</v>
      </c>
      <c r="D45" s="20">
        <v>57</v>
      </c>
      <c r="E45" s="20">
        <v>37</v>
      </c>
      <c r="F45" s="20">
        <v>20</v>
      </c>
      <c r="G45" s="23">
        <v>8089.68</v>
      </c>
      <c r="H45" s="23">
        <v>161793.68</v>
      </c>
      <c r="I45" s="24" t="s">
        <v>420</v>
      </c>
      <c r="J45" s="16">
        <f t="shared" si="0"/>
        <v>5</v>
      </c>
      <c r="K45" s="16">
        <f t="shared" si="1"/>
        <v>1</v>
      </c>
      <c r="L45" s="15">
        <f t="shared" si="2"/>
        <v>11</v>
      </c>
      <c r="M45" s="15">
        <f t="shared" si="3"/>
        <v>1</v>
      </c>
      <c r="N45" s="15">
        <f t="shared" si="4"/>
        <v>2</v>
      </c>
      <c r="O45" s="16">
        <f t="shared" si="5"/>
        <v>0</v>
      </c>
      <c r="P45" s="15">
        <f t="shared" si="6"/>
        <v>0</v>
      </c>
      <c r="Q45" s="15">
        <f t="shared" si="7"/>
        <v>0</v>
      </c>
      <c r="R45" s="18">
        <f t="shared" si="8"/>
        <v>0</v>
      </c>
      <c r="S45" s="18">
        <f t="shared" si="9"/>
        <v>0</v>
      </c>
      <c r="T45" s="18">
        <f t="shared" si="10"/>
        <v>0</v>
      </c>
      <c r="U45" s="18">
        <f t="shared" si="11"/>
        <v>0</v>
      </c>
      <c r="V45" s="18">
        <f t="shared" si="12"/>
        <v>0</v>
      </c>
      <c r="W45" s="18">
        <f t="shared" si="13"/>
        <v>0</v>
      </c>
      <c r="X45" s="18">
        <f t="shared" si="14"/>
        <v>0</v>
      </c>
      <c r="Y45" s="18">
        <f t="shared" si="15"/>
        <v>0</v>
      </c>
      <c r="Z45" s="15">
        <f t="shared" si="16"/>
        <v>20</v>
      </c>
    </row>
    <row r="46" spans="1:26" ht="30" x14ac:dyDescent="0.25">
      <c r="A46" s="20">
        <v>45</v>
      </c>
      <c r="B46" s="21" t="s">
        <v>131</v>
      </c>
      <c r="C46" s="22" t="s">
        <v>132</v>
      </c>
      <c r="D46" s="20">
        <v>47</v>
      </c>
      <c r="E46" s="20">
        <v>16</v>
      </c>
      <c r="F46" s="20">
        <v>31</v>
      </c>
      <c r="G46" s="23">
        <v>20890.07</v>
      </c>
      <c r="H46" s="23">
        <v>647592.24</v>
      </c>
      <c r="I46" s="24" t="s">
        <v>133</v>
      </c>
      <c r="J46" s="16">
        <f t="shared" si="0"/>
        <v>5</v>
      </c>
      <c r="K46" s="16">
        <f t="shared" si="1"/>
        <v>0</v>
      </c>
      <c r="L46" s="15">
        <f t="shared" si="2"/>
        <v>16</v>
      </c>
      <c r="M46" s="15">
        <f t="shared" si="3"/>
        <v>10</v>
      </c>
      <c r="N46" s="15">
        <f t="shared" si="4"/>
        <v>0</v>
      </c>
      <c r="O46" s="16">
        <f t="shared" si="5"/>
        <v>0</v>
      </c>
      <c r="P46" s="15">
        <f t="shared" si="6"/>
        <v>0</v>
      </c>
      <c r="Q46" s="15">
        <f t="shared" si="7"/>
        <v>0</v>
      </c>
      <c r="R46" s="18">
        <f t="shared" si="8"/>
        <v>0</v>
      </c>
      <c r="S46" s="18">
        <f t="shared" si="9"/>
        <v>0</v>
      </c>
      <c r="T46" s="18">
        <f t="shared" si="10"/>
        <v>0</v>
      </c>
      <c r="U46" s="18">
        <f t="shared" si="11"/>
        <v>0</v>
      </c>
      <c r="V46" s="18">
        <f t="shared" si="12"/>
        <v>0</v>
      </c>
      <c r="W46" s="18">
        <f t="shared" si="13"/>
        <v>0</v>
      </c>
      <c r="X46" s="18">
        <f t="shared" si="14"/>
        <v>0</v>
      </c>
      <c r="Y46" s="18">
        <f t="shared" si="15"/>
        <v>0</v>
      </c>
      <c r="Z46" s="15">
        <f t="shared" si="16"/>
        <v>31</v>
      </c>
    </row>
    <row r="47" spans="1:26" ht="30" x14ac:dyDescent="0.25">
      <c r="A47" s="20">
        <v>46</v>
      </c>
      <c r="B47" s="21" t="s">
        <v>134</v>
      </c>
      <c r="C47" s="22" t="s">
        <v>135</v>
      </c>
      <c r="D47" s="20">
        <v>1</v>
      </c>
      <c r="E47" s="20">
        <v>0</v>
      </c>
      <c r="F47" s="20">
        <v>1</v>
      </c>
      <c r="G47" s="23">
        <v>27024</v>
      </c>
      <c r="H47" s="23">
        <v>27024</v>
      </c>
      <c r="I47" s="24" t="s">
        <v>12</v>
      </c>
      <c r="J47" s="16">
        <f t="shared" si="0"/>
        <v>1</v>
      </c>
      <c r="K47" s="16">
        <f t="shared" si="1"/>
        <v>0</v>
      </c>
      <c r="L47" s="15">
        <f t="shared" si="2"/>
        <v>0</v>
      </c>
      <c r="M47" s="15">
        <f t="shared" si="3"/>
        <v>0</v>
      </c>
      <c r="N47" s="15">
        <f t="shared" si="4"/>
        <v>0</v>
      </c>
      <c r="O47" s="16">
        <f t="shared" si="5"/>
        <v>0</v>
      </c>
      <c r="P47" s="15">
        <f t="shared" si="6"/>
        <v>0</v>
      </c>
      <c r="Q47" s="15">
        <f t="shared" si="7"/>
        <v>0</v>
      </c>
      <c r="R47" s="18">
        <f t="shared" si="8"/>
        <v>0</v>
      </c>
      <c r="S47" s="18">
        <f t="shared" si="9"/>
        <v>0</v>
      </c>
      <c r="T47" s="18">
        <f t="shared" si="10"/>
        <v>0</v>
      </c>
      <c r="U47" s="18">
        <f t="shared" si="11"/>
        <v>0</v>
      </c>
      <c r="V47" s="18">
        <f t="shared" si="12"/>
        <v>0</v>
      </c>
      <c r="W47" s="18">
        <f t="shared" si="13"/>
        <v>0</v>
      </c>
      <c r="X47" s="18">
        <f t="shared" si="14"/>
        <v>0</v>
      </c>
      <c r="Y47" s="18">
        <f t="shared" si="15"/>
        <v>0</v>
      </c>
      <c r="Z47" s="15">
        <f t="shared" si="16"/>
        <v>1</v>
      </c>
    </row>
    <row r="48" spans="1:26" ht="30" x14ac:dyDescent="0.25">
      <c r="A48" s="20">
        <v>47</v>
      </c>
      <c r="B48" s="21" t="s">
        <v>136</v>
      </c>
      <c r="C48" s="22" t="s">
        <v>137</v>
      </c>
      <c r="D48" s="20">
        <v>2</v>
      </c>
      <c r="E48" s="20">
        <v>0</v>
      </c>
      <c r="F48" s="20">
        <v>2</v>
      </c>
      <c r="G48" s="23">
        <v>18372</v>
      </c>
      <c r="H48" s="23">
        <v>36744</v>
      </c>
      <c r="I48" s="24" t="s">
        <v>87</v>
      </c>
      <c r="J48" s="16">
        <f t="shared" si="0"/>
        <v>2</v>
      </c>
      <c r="K48" s="16">
        <f t="shared" si="1"/>
        <v>0</v>
      </c>
      <c r="L48" s="15">
        <f t="shared" si="2"/>
        <v>0</v>
      </c>
      <c r="M48" s="15">
        <f t="shared" si="3"/>
        <v>0</v>
      </c>
      <c r="N48" s="15">
        <f t="shared" si="4"/>
        <v>0</v>
      </c>
      <c r="O48" s="16">
        <f t="shared" si="5"/>
        <v>0</v>
      </c>
      <c r="P48" s="15">
        <f t="shared" si="6"/>
        <v>0</v>
      </c>
      <c r="Q48" s="15">
        <f t="shared" si="7"/>
        <v>0</v>
      </c>
      <c r="R48" s="18">
        <f t="shared" si="8"/>
        <v>0</v>
      </c>
      <c r="S48" s="18">
        <f t="shared" si="9"/>
        <v>0</v>
      </c>
      <c r="T48" s="18">
        <f t="shared" si="10"/>
        <v>0</v>
      </c>
      <c r="U48" s="18">
        <f t="shared" si="11"/>
        <v>0</v>
      </c>
      <c r="V48" s="18">
        <f t="shared" si="12"/>
        <v>0</v>
      </c>
      <c r="W48" s="18">
        <f t="shared" si="13"/>
        <v>0</v>
      </c>
      <c r="X48" s="18">
        <f t="shared" si="14"/>
        <v>0</v>
      </c>
      <c r="Y48" s="18">
        <f t="shared" si="15"/>
        <v>0</v>
      </c>
      <c r="Z48" s="15">
        <f t="shared" si="16"/>
        <v>2</v>
      </c>
    </row>
    <row r="49" spans="1:26" ht="30" x14ac:dyDescent="0.25">
      <c r="A49" s="20">
        <v>48</v>
      </c>
      <c r="B49" s="21" t="s">
        <v>134</v>
      </c>
      <c r="C49" s="22" t="s">
        <v>138</v>
      </c>
      <c r="D49" s="20">
        <v>1</v>
      </c>
      <c r="E49" s="20">
        <v>0</v>
      </c>
      <c r="F49" s="20">
        <v>1</v>
      </c>
      <c r="G49" s="23">
        <v>23940</v>
      </c>
      <c r="H49" s="23">
        <v>23940</v>
      </c>
      <c r="I49" s="24" t="s">
        <v>12</v>
      </c>
      <c r="J49" s="16">
        <f t="shared" si="0"/>
        <v>1</v>
      </c>
      <c r="K49" s="16">
        <f t="shared" si="1"/>
        <v>0</v>
      </c>
      <c r="L49" s="15">
        <f t="shared" si="2"/>
        <v>0</v>
      </c>
      <c r="M49" s="15">
        <f t="shared" si="3"/>
        <v>0</v>
      </c>
      <c r="N49" s="15">
        <f t="shared" si="4"/>
        <v>0</v>
      </c>
      <c r="O49" s="16">
        <f t="shared" si="5"/>
        <v>0</v>
      </c>
      <c r="P49" s="15">
        <f t="shared" si="6"/>
        <v>0</v>
      </c>
      <c r="Q49" s="15">
        <f t="shared" si="7"/>
        <v>0</v>
      </c>
      <c r="R49" s="18">
        <f t="shared" si="8"/>
        <v>0</v>
      </c>
      <c r="S49" s="18">
        <f t="shared" si="9"/>
        <v>0</v>
      </c>
      <c r="T49" s="18">
        <f t="shared" si="10"/>
        <v>0</v>
      </c>
      <c r="U49" s="18">
        <f t="shared" si="11"/>
        <v>0</v>
      </c>
      <c r="V49" s="18">
        <f t="shared" si="12"/>
        <v>0</v>
      </c>
      <c r="W49" s="18">
        <f t="shared" si="13"/>
        <v>0</v>
      </c>
      <c r="X49" s="18">
        <f t="shared" si="14"/>
        <v>0</v>
      </c>
      <c r="Y49" s="18">
        <f t="shared" si="15"/>
        <v>0</v>
      </c>
      <c r="Z49" s="15">
        <f t="shared" si="16"/>
        <v>1</v>
      </c>
    </row>
    <row r="50" spans="1:26" ht="30" x14ac:dyDescent="0.25">
      <c r="A50" s="20">
        <v>49</v>
      </c>
      <c r="B50" s="21" t="s">
        <v>139</v>
      </c>
      <c r="C50" s="22" t="s">
        <v>140</v>
      </c>
      <c r="D50" s="20">
        <v>228</v>
      </c>
      <c r="E50" s="20">
        <v>218</v>
      </c>
      <c r="F50" s="20">
        <v>10</v>
      </c>
      <c r="G50" s="23">
        <v>11079.41</v>
      </c>
      <c r="H50" s="23">
        <v>110794.12</v>
      </c>
      <c r="I50" s="24" t="s">
        <v>141</v>
      </c>
      <c r="J50" s="16">
        <f t="shared" si="0"/>
        <v>1</v>
      </c>
      <c r="K50" s="16">
        <f t="shared" si="1"/>
        <v>0</v>
      </c>
      <c r="L50" s="15">
        <f t="shared" si="2"/>
        <v>9</v>
      </c>
      <c r="M50" s="15">
        <f t="shared" si="3"/>
        <v>0</v>
      </c>
      <c r="N50" s="15">
        <f t="shared" si="4"/>
        <v>0</v>
      </c>
      <c r="O50" s="16">
        <f t="shared" si="5"/>
        <v>0</v>
      </c>
      <c r="P50" s="15">
        <f t="shared" si="6"/>
        <v>0</v>
      </c>
      <c r="Q50" s="15">
        <f t="shared" si="7"/>
        <v>0</v>
      </c>
      <c r="R50" s="18">
        <f t="shared" si="8"/>
        <v>0</v>
      </c>
      <c r="S50" s="18">
        <f t="shared" si="9"/>
        <v>0</v>
      </c>
      <c r="T50" s="18">
        <f t="shared" si="10"/>
        <v>0</v>
      </c>
      <c r="U50" s="18">
        <f t="shared" si="11"/>
        <v>0</v>
      </c>
      <c r="V50" s="18">
        <f t="shared" si="12"/>
        <v>0</v>
      </c>
      <c r="W50" s="18">
        <f t="shared" si="13"/>
        <v>0</v>
      </c>
      <c r="X50" s="18">
        <f t="shared" si="14"/>
        <v>0</v>
      </c>
      <c r="Y50" s="18">
        <f t="shared" si="15"/>
        <v>0</v>
      </c>
      <c r="Z50" s="15">
        <f t="shared" si="16"/>
        <v>10</v>
      </c>
    </row>
    <row r="51" spans="1:26" ht="30" x14ac:dyDescent="0.25">
      <c r="A51" s="20">
        <v>50</v>
      </c>
      <c r="B51" s="21" t="s">
        <v>142</v>
      </c>
      <c r="C51" s="22" t="s">
        <v>143</v>
      </c>
      <c r="D51" s="20">
        <v>1069</v>
      </c>
      <c r="E51" s="20">
        <v>1047</v>
      </c>
      <c r="F51" s="20">
        <v>22</v>
      </c>
      <c r="G51" s="23">
        <v>3871.7</v>
      </c>
      <c r="H51" s="23">
        <v>85177.46</v>
      </c>
      <c r="I51" s="24" t="s">
        <v>421</v>
      </c>
      <c r="J51" s="16">
        <f t="shared" si="0"/>
        <v>18</v>
      </c>
      <c r="K51" s="16">
        <f t="shared" si="1"/>
        <v>1</v>
      </c>
      <c r="L51" s="15">
        <f t="shared" si="2"/>
        <v>0</v>
      </c>
      <c r="M51" s="15">
        <f t="shared" si="3"/>
        <v>2</v>
      </c>
      <c r="N51" s="15">
        <f t="shared" si="4"/>
        <v>0</v>
      </c>
      <c r="O51" s="16">
        <f t="shared" si="5"/>
        <v>1</v>
      </c>
      <c r="P51" s="15">
        <f t="shared" si="6"/>
        <v>0</v>
      </c>
      <c r="Q51" s="15">
        <f t="shared" si="7"/>
        <v>0</v>
      </c>
      <c r="R51" s="18">
        <f t="shared" si="8"/>
        <v>0</v>
      </c>
      <c r="S51" s="18">
        <f t="shared" si="9"/>
        <v>0</v>
      </c>
      <c r="T51" s="18">
        <f t="shared" si="10"/>
        <v>0</v>
      </c>
      <c r="U51" s="18">
        <f t="shared" si="11"/>
        <v>0</v>
      </c>
      <c r="V51" s="18">
        <f t="shared" si="12"/>
        <v>0</v>
      </c>
      <c r="W51" s="18">
        <f t="shared" si="13"/>
        <v>0</v>
      </c>
      <c r="X51" s="18">
        <f t="shared" si="14"/>
        <v>0</v>
      </c>
      <c r="Y51" s="18">
        <f t="shared" si="15"/>
        <v>0</v>
      </c>
      <c r="Z51" s="15">
        <f t="shared" si="16"/>
        <v>22</v>
      </c>
    </row>
    <row r="52" spans="1:26" ht="45" x14ac:dyDescent="0.25">
      <c r="A52" s="20">
        <v>51</v>
      </c>
      <c r="B52" s="21" t="s">
        <v>145</v>
      </c>
      <c r="C52" s="22" t="s">
        <v>146</v>
      </c>
      <c r="D52" s="20">
        <v>3100</v>
      </c>
      <c r="E52" s="20">
        <v>500</v>
      </c>
      <c r="F52" s="20">
        <v>2600</v>
      </c>
      <c r="G52" s="23">
        <v>82.7</v>
      </c>
      <c r="H52" s="23">
        <v>215020</v>
      </c>
      <c r="I52" s="24" t="s">
        <v>147</v>
      </c>
      <c r="J52" s="16">
        <f t="shared" si="0"/>
        <v>0</v>
      </c>
      <c r="K52" s="16">
        <f t="shared" si="1"/>
        <v>0</v>
      </c>
      <c r="L52" s="15">
        <f t="shared" si="2"/>
        <v>0</v>
      </c>
      <c r="M52" s="15">
        <f t="shared" si="3"/>
        <v>0</v>
      </c>
      <c r="N52" s="15">
        <f t="shared" si="4"/>
        <v>0</v>
      </c>
      <c r="O52" s="16">
        <f>IFERROR(VALUE(MID(I52, SEARCH("Pirana=", I52) + 7, SEARCH(",", I52 &amp; ",", SEARCH("Pirana=", I52) + 7) - SEARCH("Pirana=", I52) - 7)), 0)+600</f>
        <v>2600</v>
      </c>
      <c r="P52" s="15">
        <f t="shared" si="6"/>
        <v>0</v>
      </c>
      <c r="Q52" s="15">
        <f t="shared" si="7"/>
        <v>0</v>
      </c>
      <c r="R52" s="18">
        <f t="shared" si="8"/>
        <v>0</v>
      </c>
      <c r="S52" s="18">
        <f t="shared" si="9"/>
        <v>0</v>
      </c>
      <c r="T52" s="18">
        <f t="shared" si="10"/>
        <v>0</v>
      </c>
      <c r="U52" s="18">
        <f t="shared" si="11"/>
        <v>0</v>
      </c>
      <c r="V52" s="18">
        <f t="shared" si="12"/>
        <v>0</v>
      </c>
      <c r="W52" s="18">
        <f t="shared" si="13"/>
        <v>0</v>
      </c>
      <c r="X52" s="18">
        <f t="shared" si="14"/>
        <v>0</v>
      </c>
      <c r="Y52" s="18">
        <f t="shared" si="15"/>
        <v>0</v>
      </c>
      <c r="Z52" s="15">
        <f t="shared" si="16"/>
        <v>2600</v>
      </c>
    </row>
    <row r="53" spans="1:26" ht="45" x14ac:dyDescent="0.25">
      <c r="A53" s="20">
        <v>52</v>
      </c>
      <c r="B53" s="21" t="s">
        <v>148</v>
      </c>
      <c r="C53" s="22" t="s">
        <v>149</v>
      </c>
      <c r="D53" s="20">
        <v>20300</v>
      </c>
      <c r="E53" s="20">
        <v>17700</v>
      </c>
      <c r="F53" s="20">
        <v>2600</v>
      </c>
      <c r="G53" s="23">
        <v>50.9</v>
      </c>
      <c r="H53" s="23">
        <v>132333.41</v>
      </c>
      <c r="I53" s="24" t="s">
        <v>422</v>
      </c>
      <c r="J53" s="16">
        <f>IFERROR(VALUE(MID(I53, SEARCH("Sakar=", I53) + 6, SEARCH(",", I53 &amp; ",", SEARCH("Sakar=", I53) + 6) - SEARCH("Sakar=", I53) - 6)), 0)</f>
        <v>500</v>
      </c>
      <c r="K53" s="16">
        <f t="shared" si="1"/>
        <v>0</v>
      </c>
      <c r="L53" s="15">
        <f>IFERROR(VALUE(MID(I53, SEARCH("Sakar WH=", I53) + 9, SEARCH(",", I53 &amp; ",", SEARCH("Sakar WH=", I53) + 9) - SEARCH("Sakar WH=", I53) - 9)), 0)</f>
        <v>2000</v>
      </c>
      <c r="M53" s="15">
        <f t="shared" si="3"/>
        <v>0</v>
      </c>
      <c r="N53" s="15">
        <f t="shared" si="4"/>
        <v>0</v>
      </c>
      <c r="O53" s="16">
        <f>IFERROR(VALUE(MID(I53, SEARCH("Pirana=", I53) + 7, SEARCH(",", I53 &amp; ",", SEARCH("Pirana=", I53) + 7) - SEARCH("Pirana=", I53) - 7)), 0)+100</f>
        <v>100</v>
      </c>
      <c r="P53" s="15">
        <f t="shared" si="6"/>
        <v>0</v>
      </c>
      <c r="Q53" s="15">
        <f t="shared" si="7"/>
        <v>0</v>
      </c>
      <c r="R53" s="18">
        <f t="shared" si="8"/>
        <v>0</v>
      </c>
      <c r="S53" s="18">
        <f t="shared" si="9"/>
        <v>0</v>
      </c>
      <c r="T53" s="18">
        <f t="shared" si="10"/>
        <v>0</v>
      </c>
      <c r="U53" s="18">
        <f t="shared" si="11"/>
        <v>0</v>
      </c>
      <c r="V53" s="18">
        <f t="shared" si="12"/>
        <v>0</v>
      </c>
      <c r="W53" s="18">
        <f t="shared" si="13"/>
        <v>0</v>
      </c>
      <c r="X53" s="18">
        <f t="shared" si="14"/>
        <v>0</v>
      </c>
      <c r="Y53" s="18">
        <f t="shared" si="15"/>
        <v>0</v>
      </c>
      <c r="Z53" s="15">
        <f>SUM(J53:Y53)</f>
        <v>2600</v>
      </c>
    </row>
    <row r="54" spans="1:26" ht="45" x14ac:dyDescent="0.25">
      <c r="A54" s="20">
        <v>53</v>
      </c>
      <c r="B54" s="21" t="s">
        <v>151</v>
      </c>
      <c r="C54" s="22" t="s">
        <v>152</v>
      </c>
      <c r="D54" s="20">
        <v>16000</v>
      </c>
      <c r="E54" s="20">
        <v>15700</v>
      </c>
      <c r="F54" s="20">
        <v>300</v>
      </c>
      <c r="G54" s="23">
        <v>107.57</v>
      </c>
      <c r="H54" s="23">
        <v>32271.68</v>
      </c>
      <c r="I54" s="24" t="s">
        <v>423</v>
      </c>
      <c r="J54" s="16">
        <f t="shared" si="0"/>
        <v>300</v>
      </c>
      <c r="K54" s="16">
        <f t="shared" si="1"/>
        <v>0</v>
      </c>
      <c r="L54" s="15">
        <f t="shared" si="2"/>
        <v>0</v>
      </c>
      <c r="M54" s="15">
        <f t="shared" si="3"/>
        <v>0</v>
      </c>
      <c r="N54" s="15">
        <f t="shared" si="4"/>
        <v>0</v>
      </c>
      <c r="O54" s="16">
        <f t="shared" si="5"/>
        <v>0</v>
      </c>
      <c r="P54" s="15">
        <f t="shared" si="6"/>
        <v>0</v>
      </c>
      <c r="Q54" s="15">
        <f t="shared" si="7"/>
        <v>0</v>
      </c>
      <c r="R54" s="18">
        <f t="shared" si="8"/>
        <v>0</v>
      </c>
      <c r="S54" s="18">
        <f t="shared" si="9"/>
        <v>0</v>
      </c>
      <c r="T54" s="18">
        <f t="shared" si="10"/>
        <v>0</v>
      </c>
      <c r="U54" s="18">
        <f t="shared" si="11"/>
        <v>0</v>
      </c>
      <c r="V54" s="18">
        <f t="shared" si="12"/>
        <v>0</v>
      </c>
      <c r="W54" s="18">
        <f t="shared" si="13"/>
        <v>0</v>
      </c>
      <c r="X54" s="18">
        <f t="shared" si="14"/>
        <v>0</v>
      </c>
      <c r="Y54" s="18">
        <f t="shared" si="15"/>
        <v>0</v>
      </c>
      <c r="Z54" s="15">
        <f t="shared" si="16"/>
        <v>300</v>
      </c>
    </row>
    <row r="55" spans="1:26" x14ac:dyDescent="0.25">
      <c r="A55" s="20">
        <v>54</v>
      </c>
      <c r="B55" s="21" t="s">
        <v>154</v>
      </c>
      <c r="C55" s="22" t="s">
        <v>155</v>
      </c>
      <c r="D55" s="20">
        <v>183</v>
      </c>
      <c r="E55" s="20">
        <v>169</v>
      </c>
      <c r="F55" s="20">
        <v>14</v>
      </c>
      <c r="G55" s="23">
        <v>8847.17</v>
      </c>
      <c r="H55" s="23">
        <v>123860.45</v>
      </c>
      <c r="I55" s="24" t="s">
        <v>156</v>
      </c>
      <c r="J55" s="16">
        <f t="shared" si="0"/>
        <v>14</v>
      </c>
      <c r="K55" s="16">
        <f t="shared" si="1"/>
        <v>0</v>
      </c>
      <c r="L55" s="15">
        <f t="shared" si="2"/>
        <v>0</v>
      </c>
      <c r="M55" s="15">
        <f t="shared" si="3"/>
        <v>0</v>
      </c>
      <c r="N55" s="15">
        <f t="shared" si="4"/>
        <v>0</v>
      </c>
      <c r="O55" s="16">
        <f t="shared" si="5"/>
        <v>0</v>
      </c>
      <c r="P55" s="15">
        <f t="shared" si="6"/>
        <v>0</v>
      </c>
      <c r="Q55" s="15">
        <f t="shared" si="7"/>
        <v>0</v>
      </c>
      <c r="R55" s="18">
        <f t="shared" si="8"/>
        <v>0</v>
      </c>
      <c r="S55" s="18">
        <f t="shared" si="9"/>
        <v>0</v>
      </c>
      <c r="T55" s="18">
        <f t="shared" si="10"/>
        <v>0</v>
      </c>
      <c r="U55" s="18">
        <f t="shared" si="11"/>
        <v>0</v>
      </c>
      <c r="V55" s="18">
        <f t="shared" si="12"/>
        <v>0</v>
      </c>
      <c r="W55" s="18">
        <f t="shared" si="13"/>
        <v>0</v>
      </c>
      <c r="X55" s="18">
        <f t="shared" si="14"/>
        <v>0</v>
      </c>
      <c r="Y55" s="18">
        <f t="shared" si="15"/>
        <v>0</v>
      </c>
      <c r="Z55" s="15">
        <f t="shared" si="16"/>
        <v>14</v>
      </c>
    </row>
    <row r="56" spans="1:26" ht="30" x14ac:dyDescent="0.25">
      <c r="A56" s="20">
        <v>55</v>
      </c>
      <c r="B56" s="21" t="s">
        <v>157</v>
      </c>
      <c r="C56" s="22" t="s">
        <v>158</v>
      </c>
      <c r="D56" s="20">
        <v>70</v>
      </c>
      <c r="E56" s="20">
        <v>50</v>
      </c>
      <c r="F56" s="20">
        <v>20</v>
      </c>
      <c r="G56" s="23">
        <v>60</v>
      </c>
      <c r="H56" s="23">
        <v>1200</v>
      </c>
      <c r="I56" s="24" t="s">
        <v>159</v>
      </c>
      <c r="J56" s="16">
        <f t="shared" si="0"/>
        <v>20</v>
      </c>
      <c r="K56" s="16">
        <f t="shared" si="1"/>
        <v>0</v>
      </c>
      <c r="L56" s="15">
        <f t="shared" si="2"/>
        <v>0</v>
      </c>
      <c r="M56" s="15">
        <f t="shared" si="3"/>
        <v>0</v>
      </c>
      <c r="N56" s="15">
        <f t="shared" si="4"/>
        <v>0</v>
      </c>
      <c r="O56" s="16">
        <f t="shared" si="5"/>
        <v>0</v>
      </c>
      <c r="P56" s="15">
        <f t="shared" si="6"/>
        <v>0</v>
      </c>
      <c r="Q56" s="15">
        <f t="shared" si="7"/>
        <v>0</v>
      </c>
      <c r="R56" s="18">
        <f t="shared" si="8"/>
        <v>0</v>
      </c>
      <c r="S56" s="18">
        <f t="shared" si="9"/>
        <v>0</v>
      </c>
      <c r="T56" s="18">
        <f t="shared" si="10"/>
        <v>0</v>
      </c>
      <c r="U56" s="18">
        <f t="shared" si="11"/>
        <v>0</v>
      </c>
      <c r="V56" s="18">
        <f t="shared" si="12"/>
        <v>0</v>
      </c>
      <c r="W56" s="18">
        <f t="shared" si="13"/>
        <v>0</v>
      </c>
      <c r="X56" s="18">
        <f t="shared" si="14"/>
        <v>0</v>
      </c>
      <c r="Y56" s="18">
        <f t="shared" si="15"/>
        <v>0</v>
      </c>
      <c r="Z56" s="15">
        <f t="shared" si="16"/>
        <v>20</v>
      </c>
    </row>
    <row r="57" spans="1:26" ht="30" x14ac:dyDescent="0.25">
      <c r="A57" s="20">
        <v>56</v>
      </c>
      <c r="B57" s="21" t="s">
        <v>160</v>
      </c>
      <c r="C57" s="22" t="s">
        <v>161</v>
      </c>
      <c r="D57" s="20">
        <v>70</v>
      </c>
      <c r="E57" s="20">
        <v>49</v>
      </c>
      <c r="F57" s="20">
        <v>21</v>
      </c>
      <c r="G57" s="23">
        <v>90</v>
      </c>
      <c r="H57" s="23">
        <v>1890</v>
      </c>
      <c r="I57" s="24" t="s">
        <v>162</v>
      </c>
      <c r="J57" s="16">
        <f t="shared" si="0"/>
        <v>0</v>
      </c>
      <c r="K57" s="16">
        <f t="shared" si="1"/>
        <v>0</v>
      </c>
      <c r="L57" s="15">
        <f>IFERROR(VALUE(MID(I57, SEARCH("Sakar WH=", I57) + 9, SEARCH(",", I57 &amp; ",", SEARCH("Sakar WH=", I57) + 9) - SEARCH("Sakar WH=", I57) - 9)), 0)+20</f>
        <v>21</v>
      </c>
      <c r="M57" s="15">
        <f t="shared" si="3"/>
        <v>0</v>
      </c>
      <c r="N57" s="15">
        <f t="shared" si="4"/>
        <v>0</v>
      </c>
      <c r="O57" s="16">
        <f t="shared" si="5"/>
        <v>0</v>
      </c>
      <c r="P57" s="15">
        <f t="shared" si="6"/>
        <v>0</v>
      </c>
      <c r="Q57" s="15">
        <f t="shared" si="7"/>
        <v>0</v>
      </c>
      <c r="R57" s="18">
        <f t="shared" si="8"/>
        <v>0</v>
      </c>
      <c r="S57" s="18">
        <f t="shared" si="9"/>
        <v>0</v>
      </c>
      <c r="T57" s="18">
        <f t="shared" si="10"/>
        <v>0</v>
      </c>
      <c r="U57" s="18">
        <f t="shared" si="11"/>
        <v>0</v>
      </c>
      <c r="V57" s="18">
        <f t="shared" si="12"/>
        <v>0</v>
      </c>
      <c r="W57" s="18">
        <f t="shared" si="13"/>
        <v>0</v>
      </c>
      <c r="X57" s="18">
        <f t="shared" si="14"/>
        <v>0</v>
      </c>
      <c r="Y57" s="18">
        <f t="shared" si="15"/>
        <v>0</v>
      </c>
      <c r="Z57" s="15">
        <f t="shared" si="16"/>
        <v>21</v>
      </c>
    </row>
    <row r="58" spans="1:26" ht="30" x14ac:dyDescent="0.25">
      <c r="A58" s="20">
        <v>57</v>
      </c>
      <c r="B58" s="21" t="s">
        <v>163</v>
      </c>
      <c r="C58" s="22" t="s">
        <v>164</v>
      </c>
      <c r="D58" s="20">
        <v>1</v>
      </c>
      <c r="E58" s="20">
        <v>0</v>
      </c>
      <c r="F58" s="20">
        <v>1</v>
      </c>
      <c r="G58" s="23">
        <v>7044</v>
      </c>
      <c r="H58" s="23">
        <v>7044</v>
      </c>
      <c r="I58" s="24" t="s">
        <v>165</v>
      </c>
      <c r="J58" s="16">
        <f t="shared" si="0"/>
        <v>0</v>
      </c>
      <c r="K58" s="16">
        <f t="shared" si="1"/>
        <v>0</v>
      </c>
      <c r="L58" s="15">
        <f t="shared" si="2"/>
        <v>0</v>
      </c>
      <c r="M58" s="15">
        <f t="shared" si="3"/>
        <v>0</v>
      </c>
      <c r="N58" s="15">
        <f t="shared" si="4"/>
        <v>0</v>
      </c>
      <c r="O58" s="16">
        <f t="shared" si="5"/>
        <v>0</v>
      </c>
      <c r="P58" s="15">
        <f t="shared" si="6"/>
        <v>0</v>
      </c>
      <c r="Q58" s="15">
        <f t="shared" si="7"/>
        <v>0</v>
      </c>
      <c r="R58" s="18">
        <f t="shared" si="8"/>
        <v>1</v>
      </c>
      <c r="S58" s="18">
        <f t="shared" si="9"/>
        <v>0</v>
      </c>
      <c r="T58" s="18">
        <f t="shared" si="10"/>
        <v>0</v>
      </c>
      <c r="U58" s="18">
        <f t="shared" si="11"/>
        <v>0</v>
      </c>
      <c r="V58" s="18">
        <f t="shared" si="12"/>
        <v>0</v>
      </c>
      <c r="W58" s="18">
        <f t="shared" si="13"/>
        <v>0</v>
      </c>
      <c r="X58" s="18">
        <f t="shared" si="14"/>
        <v>0</v>
      </c>
      <c r="Y58" s="18">
        <f t="shared" si="15"/>
        <v>0</v>
      </c>
      <c r="Z58" s="15">
        <f t="shared" si="16"/>
        <v>1</v>
      </c>
    </row>
    <row r="59" spans="1:26" ht="30" x14ac:dyDescent="0.25">
      <c r="A59" s="20">
        <v>58</v>
      </c>
      <c r="B59" s="21" t="s">
        <v>166</v>
      </c>
      <c r="C59" s="22" t="s">
        <v>167</v>
      </c>
      <c r="D59" s="20">
        <v>48</v>
      </c>
      <c r="E59" s="20">
        <v>25</v>
      </c>
      <c r="F59" s="20">
        <v>23</v>
      </c>
      <c r="G59" s="23">
        <v>5681</v>
      </c>
      <c r="H59" s="23">
        <v>130663</v>
      </c>
      <c r="I59" s="24" t="s">
        <v>168</v>
      </c>
      <c r="J59" s="16">
        <f t="shared" si="0"/>
        <v>0</v>
      </c>
      <c r="K59" s="16">
        <f t="shared" si="1"/>
        <v>0</v>
      </c>
      <c r="L59" s="15">
        <f t="shared" si="2"/>
        <v>23</v>
      </c>
      <c r="M59" s="15">
        <f t="shared" si="3"/>
        <v>0</v>
      </c>
      <c r="N59" s="15">
        <f t="shared" si="4"/>
        <v>0</v>
      </c>
      <c r="O59" s="16">
        <f t="shared" si="5"/>
        <v>0</v>
      </c>
      <c r="P59" s="15">
        <f t="shared" si="6"/>
        <v>0</v>
      </c>
      <c r="Q59" s="15">
        <f t="shared" si="7"/>
        <v>0</v>
      </c>
      <c r="R59" s="18">
        <f t="shared" si="8"/>
        <v>0</v>
      </c>
      <c r="S59" s="18">
        <f t="shared" si="9"/>
        <v>0</v>
      </c>
      <c r="T59" s="18">
        <f t="shared" si="10"/>
        <v>0</v>
      </c>
      <c r="U59" s="18">
        <f t="shared" si="11"/>
        <v>0</v>
      </c>
      <c r="V59" s="18">
        <f t="shared" si="12"/>
        <v>0</v>
      </c>
      <c r="W59" s="18">
        <f t="shared" si="13"/>
        <v>0</v>
      </c>
      <c r="X59" s="18">
        <f t="shared" si="14"/>
        <v>0</v>
      </c>
      <c r="Y59" s="18">
        <f t="shared" si="15"/>
        <v>0</v>
      </c>
      <c r="Z59" s="15">
        <f t="shared" si="16"/>
        <v>23</v>
      </c>
    </row>
    <row r="60" spans="1:26" ht="30" x14ac:dyDescent="0.25">
      <c r="A60" s="20">
        <v>59</v>
      </c>
      <c r="B60" s="21" t="s">
        <v>169</v>
      </c>
      <c r="C60" s="22" t="s">
        <v>170</v>
      </c>
      <c r="D60" s="20">
        <v>439</v>
      </c>
      <c r="E60" s="20">
        <v>430</v>
      </c>
      <c r="F60" s="20">
        <v>9</v>
      </c>
      <c r="G60" s="23">
        <v>6839.49</v>
      </c>
      <c r="H60" s="23">
        <v>61555.41</v>
      </c>
      <c r="I60" s="24" t="s">
        <v>424</v>
      </c>
      <c r="J60" s="16">
        <f t="shared" si="0"/>
        <v>0</v>
      </c>
      <c r="K60" s="16">
        <f t="shared" si="1"/>
        <v>0</v>
      </c>
      <c r="L60" s="15">
        <f t="shared" si="2"/>
        <v>9</v>
      </c>
      <c r="M60" s="15">
        <f t="shared" si="3"/>
        <v>0</v>
      </c>
      <c r="N60" s="15">
        <f t="shared" si="4"/>
        <v>0</v>
      </c>
      <c r="O60" s="16">
        <f t="shared" si="5"/>
        <v>0</v>
      </c>
      <c r="P60" s="15">
        <f t="shared" si="6"/>
        <v>0</v>
      </c>
      <c r="Q60" s="15">
        <f t="shared" si="7"/>
        <v>0</v>
      </c>
      <c r="R60" s="18">
        <f t="shared" si="8"/>
        <v>0</v>
      </c>
      <c r="S60" s="18">
        <f t="shared" si="9"/>
        <v>0</v>
      </c>
      <c r="T60" s="18">
        <f t="shared" si="10"/>
        <v>0</v>
      </c>
      <c r="U60" s="18">
        <f t="shared" si="11"/>
        <v>0</v>
      </c>
      <c r="V60" s="18">
        <f t="shared" si="12"/>
        <v>0</v>
      </c>
      <c r="W60" s="18">
        <f t="shared" si="13"/>
        <v>0</v>
      </c>
      <c r="X60" s="18">
        <f t="shared" si="14"/>
        <v>0</v>
      </c>
      <c r="Y60" s="18">
        <f t="shared" si="15"/>
        <v>0</v>
      </c>
      <c r="Z60" s="15">
        <f t="shared" si="16"/>
        <v>9</v>
      </c>
    </row>
    <row r="61" spans="1:26" ht="30" x14ac:dyDescent="0.25">
      <c r="A61" s="20">
        <v>60</v>
      </c>
      <c r="B61" s="21" t="s">
        <v>172</v>
      </c>
      <c r="C61" s="22" t="s">
        <v>173</v>
      </c>
      <c r="D61" s="20">
        <v>38</v>
      </c>
      <c r="E61" s="20">
        <v>37</v>
      </c>
      <c r="F61" s="20">
        <v>1</v>
      </c>
      <c r="G61" s="23">
        <v>14079.58</v>
      </c>
      <c r="H61" s="23">
        <v>14079.58</v>
      </c>
      <c r="I61" s="24" t="s">
        <v>174</v>
      </c>
      <c r="J61" s="16">
        <f t="shared" si="0"/>
        <v>0</v>
      </c>
      <c r="K61" s="16">
        <f t="shared" si="1"/>
        <v>0</v>
      </c>
      <c r="L61" s="15">
        <f t="shared" si="2"/>
        <v>1</v>
      </c>
      <c r="M61" s="15">
        <f t="shared" si="3"/>
        <v>0</v>
      </c>
      <c r="N61" s="15">
        <f t="shared" si="4"/>
        <v>0</v>
      </c>
      <c r="O61" s="16">
        <f t="shared" si="5"/>
        <v>0</v>
      </c>
      <c r="P61" s="15">
        <f t="shared" si="6"/>
        <v>0</v>
      </c>
      <c r="Q61" s="15">
        <f t="shared" si="7"/>
        <v>0</v>
      </c>
      <c r="R61" s="18">
        <f t="shared" si="8"/>
        <v>0</v>
      </c>
      <c r="S61" s="18">
        <f t="shared" si="9"/>
        <v>0</v>
      </c>
      <c r="T61" s="18">
        <f t="shared" si="10"/>
        <v>0</v>
      </c>
      <c r="U61" s="18">
        <f t="shared" si="11"/>
        <v>0</v>
      </c>
      <c r="V61" s="18">
        <f t="shared" si="12"/>
        <v>0</v>
      </c>
      <c r="W61" s="18">
        <f t="shared" si="13"/>
        <v>0</v>
      </c>
      <c r="X61" s="18">
        <f t="shared" si="14"/>
        <v>0</v>
      </c>
      <c r="Y61" s="18">
        <f t="shared" si="15"/>
        <v>0</v>
      </c>
      <c r="Z61" s="15">
        <f t="shared" si="16"/>
        <v>1</v>
      </c>
    </row>
    <row r="62" spans="1:26" ht="30" x14ac:dyDescent="0.25">
      <c r="A62" s="20">
        <v>61</v>
      </c>
      <c r="B62" s="21" t="s">
        <v>175</v>
      </c>
      <c r="C62" s="22" t="s">
        <v>176</v>
      </c>
      <c r="D62" s="20">
        <v>6</v>
      </c>
      <c r="E62" s="20">
        <v>2</v>
      </c>
      <c r="F62" s="20">
        <v>4</v>
      </c>
      <c r="G62" s="23">
        <v>18395</v>
      </c>
      <c r="H62" s="23">
        <v>73580</v>
      </c>
      <c r="I62" s="24" t="s">
        <v>425</v>
      </c>
      <c r="J62" s="16">
        <f t="shared" si="0"/>
        <v>0</v>
      </c>
      <c r="K62" s="16">
        <f t="shared" si="1"/>
        <v>0</v>
      </c>
      <c r="L62" s="15">
        <f t="shared" si="2"/>
        <v>0</v>
      </c>
      <c r="M62" s="15">
        <f t="shared" si="3"/>
        <v>0</v>
      </c>
      <c r="N62" s="15">
        <f t="shared" si="4"/>
        <v>0</v>
      </c>
      <c r="O62" s="16">
        <f t="shared" si="5"/>
        <v>4</v>
      </c>
      <c r="P62" s="15">
        <f t="shared" si="6"/>
        <v>0</v>
      </c>
      <c r="Q62" s="15">
        <f t="shared" si="7"/>
        <v>0</v>
      </c>
      <c r="R62" s="18">
        <f t="shared" si="8"/>
        <v>0</v>
      </c>
      <c r="S62" s="18">
        <f t="shared" si="9"/>
        <v>0</v>
      </c>
      <c r="T62" s="18">
        <f t="shared" si="10"/>
        <v>0</v>
      </c>
      <c r="U62" s="18">
        <f t="shared" si="11"/>
        <v>0</v>
      </c>
      <c r="V62" s="18">
        <f t="shared" si="12"/>
        <v>0</v>
      </c>
      <c r="W62" s="18">
        <f t="shared" si="13"/>
        <v>0</v>
      </c>
      <c r="X62" s="18">
        <f t="shared" si="14"/>
        <v>0</v>
      </c>
      <c r="Y62" s="18">
        <f t="shared" si="15"/>
        <v>0</v>
      </c>
      <c r="Z62" s="15">
        <f t="shared" si="16"/>
        <v>4</v>
      </c>
    </row>
    <row r="63" spans="1:26" ht="30" x14ac:dyDescent="0.25">
      <c r="A63" s="20">
        <v>62</v>
      </c>
      <c r="B63" s="21" t="s">
        <v>178</v>
      </c>
      <c r="C63" s="22" t="s">
        <v>179</v>
      </c>
      <c r="D63" s="20">
        <v>2</v>
      </c>
      <c r="E63" s="20">
        <v>0</v>
      </c>
      <c r="F63" s="20">
        <v>2</v>
      </c>
      <c r="G63" s="23">
        <v>153024.5</v>
      </c>
      <c r="H63" s="23">
        <v>306049</v>
      </c>
      <c r="I63" s="24" t="s">
        <v>426</v>
      </c>
      <c r="J63" s="16">
        <f>IFERROR(VALUE(MID(I63, SEARCH("Sakar=", I63) + 6, SEARCH(",", I63 &amp; ",", SEARCH("Sakar=", I63) + 6) - SEARCH("Sakar=", I63) - 6)), 0)</f>
        <v>0</v>
      </c>
      <c r="K63" s="16">
        <f t="shared" si="1"/>
        <v>0</v>
      </c>
      <c r="L63" s="15">
        <f>IFERROR(VALUE(MID(I63, SEARCH("Sakar WH=", I63) + 9, SEARCH(",", I63 &amp; ",", SEARCH("Sakar WH=", I63) + 9) - SEARCH("Sakar WH=", I63) - 9)), 0)+1</f>
        <v>2</v>
      </c>
      <c r="M63" s="15">
        <f t="shared" si="3"/>
        <v>0</v>
      </c>
      <c r="N63" s="15">
        <f t="shared" si="4"/>
        <v>0</v>
      </c>
      <c r="O63" s="16">
        <f t="shared" si="5"/>
        <v>0</v>
      </c>
      <c r="P63" s="15">
        <f t="shared" si="6"/>
        <v>0</v>
      </c>
      <c r="Q63" s="15">
        <f t="shared" si="7"/>
        <v>0</v>
      </c>
      <c r="R63" s="18">
        <f t="shared" si="8"/>
        <v>0</v>
      </c>
      <c r="S63" s="18">
        <f t="shared" si="9"/>
        <v>0</v>
      </c>
      <c r="T63" s="18">
        <f t="shared" si="10"/>
        <v>0</v>
      </c>
      <c r="U63" s="18">
        <f t="shared" si="11"/>
        <v>0</v>
      </c>
      <c r="V63" s="18">
        <f t="shared" si="12"/>
        <v>0</v>
      </c>
      <c r="W63" s="18">
        <f t="shared" si="13"/>
        <v>0</v>
      </c>
      <c r="X63" s="18">
        <f t="shared" si="14"/>
        <v>0</v>
      </c>
      <c r="Y63" s="18">
        <f t="shared" si="15"/>
        <v>0</v>
      </c>
      <c r="Z63" s="15">
        <f t="shared" si="16"/>
        <v>2</v>
      </c>
    </row>
    <row r="64" spans="1:26" ht="30" x14ac:dyDescent="0.25">
      <c r="A64" s="20">
        <v>63</v>
      </c>
      <c r="B64" s="21" t="s">
        <v>181</v>
      </c>
      <c r="C64" s="22" t="s">
        <v>182</v>
      </c>
      <c r="D64" s="20">
        <v>1010</v>
      </c>
      <c r="E64" s="20">
        <v>736</v>
      </c>
      <c r="F64" s="20">
        <v>274</v>
      </c>
      <c r="G64" s="23">
        <v>1224</v>
      </c>
      <c r="H64" s="23">
        <v>335376</v>
      </c>
      <c r="I64" s="24" t="s">
        <v>427</v>
      </c>
      <c r="J64" s="16">
        <f>IFERROR(VALUE(MID(I64, SEARCH("Sakar=", I64) + 6, SEARCH(",", I64 &amp; ",", SEARCH("Sakar=", I64) + 6) - SEARCH("Sakar=", I64) - 6)), 0)+100</f>
        <v>273</v>
      </c>
      <c r="K64" s="16">
        <f t="shared" si="1"/>
        <v>0</v>
      </c>
      <c r="L64" s="15">
        <f t="shared" si="2"/>
        <v>0</v>
      </c>
      <c r="M64" s="15">
        <f t="shared" si="3"/>
        <v>0</v>
      </c>
      <c r="N64" s="15">
        <f t="shared" si="4"/>
        <v>0</v>
      </c>
      <c r="O64" s="16">
        <f t="shared" si="5"/>
        <v>1</v>
      </c>
      <c r="P64" s="15">
        <f t="shared" si="6"/>
        <v>0</v>
      </c>
      <c r="Q64" s="15">
        <f t="shared" si="7"/>
        <v>0</v>
      </c>
      <c r="R64" s="18">
        <f t="shared" si="8"/>
        <v>0</v>
      </c>
      <c r="S64" s="18">
        <f t="shared" si="9"/>
        <v>0</v>
      </c>
      <c r="T64" s="18">
        <f t="shared" si="10"/>
        <v>0</v>
      </c>
      <c r="U64" s="18">
        <f t="shared" si="11"/>
        <v>0</v>
      </c>
      <c r="V64" s="18">
        <f t="shared" si="12"/>
        <v>0</v>
      </c>
      <c r="W64" s="18">
        <f t="shared" si="13"/>
        <v>0</v>
      </c>
      <c r="X64" s="18">
        <f t="shared" si="14"/>
        <v>0</v>
      </c>
      <c r="Y64" s="18">
        <f t="shared" si="15"/>
        <v>0</v>
      </c>
      <c r="Z64" s="15">
        <f t="shared" si="16"/>
        <v>274</v>
      </c>
    </row>
    <row r="65" spans="1:26" ht="30" x14ac:dyDescent="0.25">
      <c r="A65" s="20">
        <v>64</v>
      </c>
      <c r="B65" s="21" t="s">
        <v>184</v>
      </c>
      <c r="C65" s="22" t="s">
        <v>185</v>
      </c>
      <c r="D65" s="20">
        <v>28</v>
      </c>
      <c r="E65" s="20">
        <v>23</v>
      </c>
      <c r="F65" s="20">
        <v>5</v>
      </c>
      <c r="G65" s="23">
        <v>1341</v>
      </c>
      <c r="H65" s="23">
        <v>6705</v>
      </c>
      <c r="I65" s="24" t="s">
        <v>93</v>
      </c>
      <c r="J65" s="16">
        <f t="shared" si="0"/>
        <v>5</v>
      </c>
      <c r="K65" s="16">
        <f t="shared" si="1"/>
        <v>0</v>
      </c>
      <c r="L65" s="15">
        <f t="shared" si="2"/>
        <v>0</v>
      </c>
      <c r="M65" s="15">
        <f t="shared" si="3"/>
        <v>0</v>
      </c>
      <c r="N65" s="15">
        <f t="shared" si="4"/>
        <v>0</v>
      </c>
      <c r="O65" s="16">
        <f t="shared" si="5"/>
        <v>0</v>
      </c>
      <c r="P65" s="15">
        <f t="shared" si="6"/>
        <v>0</v>
      </c>
      <c r="Q65" s="15">
        <f t="shared" si="7"/>
        <v>0</v>
      </c>
      <c r="R65" s="18">
        <f t="shared" si="8"/>
        <v>0</v>
      </c>
      <c r="S65" s="18">
        <f t="shared" si="9"/>
        <v>0</v>
      </c>
      <c r="T65" s="18">
        <f t="shared" si="10"/>
        <v>0</v>
      </c>
      <c r="U65" s="18">
        <f t="shared" si="11"/>
        <v>0</v>
      </c>
      <c r="V65" s="18">
        <f t="shared" si="12"/>
        <v>0</v>
      </c>
      <c r="W65" s="18">
        <f t="shared" si="13"/>
        <v>0</v>
      </c>
      <c r="X65" s="18">
        <f t="shared" si="14"/>
        <v>0</v>
      </c>
      <c r="Y65" s="18">
        <f t="shared" si="15"/>
        <v>0</v>
      </c>
      <c r="Z65" s="15">
        <f t="shared" si="16"/>
        <v>5</v>
      </c>
    </row>
    <row r="66" spans="1:26" ht="45" x14ac:dyDescent="0.25">
      <c r="A66" s="20">
        <v>65</v>
      </c>
      <c r="B66" s="21" t="s">
        <v>186</v>
      </c>
      <c r="C66" s="22" t="s">
        <v>187</v>
      </c>
      <c r="D66" s="20">
        <v>451</v>
      </c>
      <c r="E66" s="20">
        <v>251</v>
      </c>
      <c r="F66" s="20">
        <v>200</v>
      </c>
      <c r="G66" s="23">
        <v>878</v>
      </c>
      <c r="H66" s="23">
        <v>175600</v>
      </c>
      <c r="I66" s="24" t="s">
        <v>188</v>
      </c>
      <c r="J66" s="16">
        <f>IFERROR(VALUE(MID(I66, SEARCH("Sakar=", I66) + 6, SEARCH(",", I66 &amp; ",", SEARCH("Sakar=", I66) + 6) - SEARCH("Sakar=", I66) - 6)), 0)+15</f>
        <v>27</v>
      </c>
      <c r="K66" s="16">
        <f t="shared" si="1"/>
        <v>0</v>
      </c>
      <c r="L66" s="15">
        <f t="shared" si="2"/>
        <v>23</v>
      </c>
      <c r="M66" s="15">
        <f>IFERROR(VALUE(MID(I66, SEARCH("Themis=", I66) + 7, SEARCH(",", I66 &amp; ",", SEARCH("Themis=", I66) + 7) - SEARCH("Themis=", I66) - 7)), 0)+17+120</f>
        <v>138</v>
      </c>
      <c r="N66" s="15">
        <f t="shared" si="4"/>
        <v>12</v>
      </c>
      <c r="O66" s="16">
        <f t="shared" si="5"/>
        <v>0</v>
      </c>
      <c r="P66" s="15">
        <f t="shared" si="6"/>
        <v>0</v>
      </c>
      <c r="Q66" s="15">
        <f t="shared" si="7"/>
        <v>0</v>
      </c>
      <c r="R66" s="18">
        <f t="shared" si="8"/>
        <v>0</v>
      </c>
      <c r="S66" s="18">
        <f t="shared" si="9"/>
        <v>0</v>
      </c>
      <c r="T66" s="18">
        <f t="shared" si="10"/>
        <v>0</v>
      </c>
      <c r="U66" s="18">
        <f t="shared" si="11"/>
        <v>0</v>
      </c>
      <c r="V66" s="18">
        <f t="shared" si="12"/>
        <v>0</v>
      </c>
      <c r="W66" s="18">
        <f t="shared" si="13"/>
        <v>0</v>
      </c>
      <c r="X66" s="18">
        <f t="shared" si="14"/>
        <v>0</v>
      </c>
      <c r="Y66" s="18">
        <f t="shared" si="15"/>
        <v>0</v>
      </c>
      <c r="Z66" s="15">
        <f t="shared" si="16"/>
        <v>200</v>
      </c>
    </row>
    <row r="67" spans="1:26" ht="45" x14ac:dyDescent="0.25">
      <c r="A67" s="20">
        <v>66</v>
      </c>
      <c r="B67" s="21" t="s">
        <v>189</v>
      </c>
      <c r="C67" s="22" t="s">
        <v>190</v>
      </c>
      <c r="D67" s="20">
        <v>75</v>
      </c>
      <c r="E67" s="20">
        <v>73</v>
      </c>
      <c r="F67" s="20">
        <f>2+5</f>
        <v>7</v>
      </c>
      <c r="G67" s="23">
        <v>18240</v>
      </c>
      <c r="H67" s="23">
        <f>G67*F67</f>
        <v>127680</v>
      </c>
      <c r="I67" s="24" t="s">
        <v>428</v>
      </c>
      <c r="J67" s="16">
        <f t="shared" si="0"/>
        <v>0</v>
      </c>
      <c r="K67" s="16">
        <f t="shared" si="1"/>
        <v>0</v>
      </c>
      <c r="L67" s="15">
        <f t="shared" si="2"/>
        <v>0</v>
      </c>
      <c r="M67" s="15">
        <f t="shared" si="3"/>
        <v>0</v>
      </c>
      <c r="N67" s="15">
        <f t="shared" si="4"/>
        <v>0</v>
      </c>
      <c r="O67" s="16">
        <f t="shared" si="5"/>
        <v>2</v>
      </c>
      <c r="P67" s="15">
        <f t="shared" si="6"/>
        <v>0</v>
      </c>
      <c r="Q67" s="15">
        <f t="shared" si="7"/>
        <v>0</v>
      </c>
      <c r="R67" s="18">
        <f t="shared" si="8"/>
        <v>0</v>
      </c>
      <c r="S67" s="18">
        <f t="shared" si="9"/>
        <v>0</v>
      </c>
      <c r="T67" s="18">
        <f t="shared" si="10"/>
        <v>0</v>
      </c>
      <c r="U67" s="18">
        <f t="shared" si="11"/>
        <v>0</v>
      </c>
      <c r="V67" s="18">
        <f t="shared" si="12"/>
        <v>0</v>
      </c>
      <c r="W67" s="18">
        <f t="shared" si="13"/>
        <v>5</v>
      </c>
      <c r="X67" s="18">
        <f t="shared" si="14"/>
        <v>0</v>
      </c>
      <c r="Y67" s="18">
        <f t="shared" si="15"/>
        <v>0</v>
      </c>
      <c r="Z67" s="15">
        <f t="shared" si="16"/>
        <v>7</v>
      </c>
    </row>
    <row r="68" spans="1:26" x14ac:dyDescent="0.25">
      <c r="A68" s="20">
        <v>67</v>
      </c>
      <c r="B68" s="21" t="s">
        <v>192</v>
      </c>
      <c r="C68" s="22" t="s">
        <v>193</v>
      </c>
      <c r="D68" s="20">
        <v>85</v>
      </c>
      <c r="E68" s="20">
        <v>84</v>
      </c>
      <c r="F68" s="20">
        <v>1</v>
      </c>
      <c r="G68" s="23">
        <v>25872</v>
      </c>
      <c r="H68" s="23">
        <v>25872</v>
      </c>
      <c r="I68" s="24" t="s">
        <v>257</v>
      </c>
      <c r="J68" s="16">
        <f t="shared" ref="J68:J131" si="17">IFERROR(VALUE(MID(I68, SEARCH("Sakar=", I68) + 6, SEARCH(",", I68 &amp; ",", SEARCH("Sakar=", I68) + 6) - SEARCH("Sakar=", I68) - 6)), 0)</f>
        <v>0</v>
      </c>
      <c r="K68" s="16">
        <f t="shared" ref="K68:K131" si="18">IFERROR(VALUE(MID(I68, SEARCH("TS=", I68) + 3, SEARCH(",", I68 &amp; ",", SEARCH("TS=", I68) + 3) - SEARCH("TS=", I68) - 3)), 0)</f>
        <v>0</v>
      </c>
      <c r="L68" s="15">
        <f t="shared" ref="L68:L131" si="19">IFERROR(VALUE(MID(I68, SEARCH("Sakar WH=", I68) + 9, SEARCH(",", I68 &amp; ",", SEARCH("Sakar WH=", I68) + 9) - SEARCH("Sakar WH=", I68) - 9)), 0)</f>
        <v>0</v>
      </c>
      <c r="M68" s="15">
        <f t="shared" ref="M68:M131" si="20">IFERROR(VALUE(MID(I68, SEARCH("Themis=", I68) + 7, SEARCH(",", I68 &amp; ",", SEARCH("Themis=", I68) + 7) - SEARCH("Themis=", I68) - 7)), 0)</f>
        <v>0</v>
      </c>
      <c r="N68" s="15">
        <f t="shared" ref="N68:N131" si="21">IFERROR(VALUE(MID(I68, SEARCH("Krishant=", I68) + 9, SEARCH(",", I68 &amp; ",", SEARCH("Krishant=", I68) + 9) - SEARCH("Krishant=", I68) - 9)), 0)</f>
        <v>0</v>
      </c>
      <c r="O68" s="16">
        <f t="shared" ref="O68:O131" si="22">IFERROR(VALUE(MID(I68, SEARCH("Pirana=", I68) + 7, SEARCH(",", I68 &amp; ",", SEARCH("Pirana=", I68) + 7) - SEARCH("Pirana=", I68) - 7)), 0)</f>
        <v>1</v>
      </c>
      <c r="P68" s="15">
        <f t="shared" ref="P68:P131" si="23">IFERROR(VALUE(MID(I68, SEARCH("Nextgen=", I68) + 8, SEARCH(",", I68 &amp; ",", SEARCH("Nextgen=", I68) + 8) - SEARCH("Nextgen=", I68) - 8)), 0)</f>
        <v>0</v>
      </c>
      <c r="Q68" s="15">
        <f t="shared" ref="Q68:Q131" si="24">IFERROR(VALUE(MID(I68, SEARCH("Expo=", I68) + 5, SEARCH(",", I68 &amp; ",", SEARCH("Expo=", I68) + 5) - SEARCH("Expo=", I68) - 5)), 0)</f>
        <v>0</v>
      </c>
      <c r="R68" s="18">
        <f t="shared" ref="R68:R131" si="25">IFERROR(VALUE(MID(I68, SEARCH("Fluid Control Lab=", I68) + 18, SEARCH(",", I68 &amp; ",", SEARCH("Fluid Control Lab=", I68) + 18) - SEARCH("Fluid Control Lab=", I68) - 18)), 0)</f>
        <v>0</v>
      </c>
      <c r="S68" s="18">
        <f t="shared" ref="S68:S131" si="26">IFERROR(VALUE(MID(I68, SEARCH("Rishi Enterprise=", I68) + 17, SEARCH(",", I68 &amp; ",", SEARCH("Rishi Enterprise=", I68) + 17) - SEARCH("Rishi Enterprise=", I68) - 17)), 0)</f>
        <v>0</v>
      </c>
      <c r="T68" s="18">
        <f t="shared" ref="T68:T131" si="27">IFERROR(VALUE(MID(I68, SEARCH("ITC=", I68) + 4, SEARCH(",", I68 &amp; ",", SEARCH("ITC=", I68) + 4) - SEARCH("ITC=", I68) - 4)), 0)</f>
        <v>0</v>
      </c>
      <c r="U68" s="18">
        <f t="shared" ref="U68:U131" si="28">IFERROR(VALUE(MID(I68, SEARCH("Controlplus=", I68) + 11, SEARCH(",", I68 &amp; ",", SEARCH("Controlplus=", I68) + 11) - SEARCH("Controlplus=", I68) - 11)), 0)</f>
        <v>0</v>
      </c>
      <c r="V68" s="18">
        <f t="shared" ref="V68:V131" si="29">IFERROR(VALUE(MID(I68, SEARCH("FCRI=", I68) + 5, SEARCH(",", I68 &amp; ",", SEARCH("FCRI=", I68) + 5) - SEARCH("FCRI=", I68) - 5)), 0)</f>
        <v>0</v>
      </c>
      <c r="W68" s="18">
        <f t="shared" ref="W68:W131" si="30">IFERROR(VALUE(MID(I68, SEARCH("Jaunpur=", I68) + 8, SEARCH(",", I68 &amp; ",", SEARCH("Jaunpur=", I68) + 8) - SEARCH("Jaunpur=", I68) - 8)), 0)</f>
        <v>0</v>
      </c>
      <c r="X68" s="18">
        <f t="shared" ref="X68:X131" si="31">IFERROR(VALUE(MID(I68, SEARCH("Baharich=", I68) + 9, SEARCH(",", I68 &amp; ",", SEARCH("Baharich=", I68) + 9) - SEARCH("Baharich=", I68) - 9)), 0)</f>
        <v>0</v>
      </c>
      <c r="Y68" s="18">
        <f t="shared" ref="Y68:Y131" si="32">IFERROR(VALUE(MID(I68, SEARCH("Barabanki=", I68) + 10, SEARCH(",", I68 &amp; ",", SEARCH("Barabanki=", I68) + 10) - SEARCH("Barabanki=", I68) - 10)), 0)</f>
        <v>0</v>
      </c>
      <c r="Z68" s="15">
        <f t="shared" ref="Z68:Z131" si="33">SUM(J68:Y68)</f>
        <v>1</v>
      </c>
    </row>
    <row r="69" spans="1:26" ht="30" x14ac:dyDescent="0.25">
      <c r="A69" s="20">
        <v>68</v>
      </c>
      <c r="B69" s="21" t="s">
        <v>195</v>
      </c>
      <c r="C69" s="22" t="s">
        <v>196</v>
      </c>
      <c r="D69" s="20">
        <v>19</v>
      </c>
      <c r="E69" s="20">
        <v>17</v>
      </c>
      <c r="F69" s="20">
        <v>2</v>
      </c>
      <c r="G69" s="23">
        <v>18000</v>
      </c>
      <c r="H69" s="23">
        <v>36000</v>
      </c>
      <c r="I69" s="24" t="s">
        <v>87</v>
      </c>
      <c r="J69" s="16">
        <f t="shared" si="17"/>
        <v>2</v>
      </c>
      <c r="K69" s="16">
        <f t="shared" si="18"/>
        <v>0</v>
      </c>
      <c r="L69" s="15">
        <f t="shared" si="19"/>
        <v>0</v>
      </c>
      <c r="M69" s="15">
        <f t="shared" si="20"/>
        <v>0</v>
      </c>
      <c r="N69" s="15">
        <f t="shared" si="21"/>
        <v>0</v>
      </c>
      <c r="O69" s="16">
        <f t="shared" si="22"/>
        <v>0</v>
      </c>
      <c r="P69" s="15">
        <f t="shared" si="23"/>
        <v>0</v>
      </c>
      <c r="Q69" s="15">
        <f t="shared" si="24"/>
        <v>0</v>
      </c>
      <c r="R69" s="18">
        <f t="shared" si="25"/>
        <v>0</v>
      </c>
      <c r="S69" s="18">
        <f t="shared" si="26"/>
        <v>0</v>
      </c>
      <c r="T69" s="18">
        <f t="shared" si="27"/>
        <v>0</v>
      </c>
      <c r="U69" s="18">
        <f t="shared" si="28"/>
        <v>0</v>
      </c>
      <c r="V69" s="18">
        <f t="shared" si="29"/>
        <v>0</v>
      </c>
      <c r="W69" s="18">
        <f t="shared" si="30"/>
        <v>0</v>
      </c>
      <c r="X69" s="18">
        <f t="shared" si="31"/>
        <v>0</v>
      </c>
      <c r="Y69" s="18">
        <f t="shared" si="32"/>
        <v>0</v>
      </c>
      <c r="Z69" s="15">
        <f t="shared" si="33"/>
        <v>2</v>
      </c>
    </row>
    <row r="70" spans="1:26" ht="30" x14ac:dyDescent="0.25">
      <c r="A70" s="20">
        <v>69</v>
      </c>
      <c r="B70" s="21" t="s">
        <v>197</v>
      </c>
      <c r="C70" s="22" t="s">
        <v>198</v>
      </c>
      <c r="D70" s="20">
        <v>2</v>
      </c>
      <c r="E70" s="20">
        <v>1</v>
      </c>
      <c r="F70" s="20">
        <v>1</v>
      </c>
      <c r="G70" s="23">
        <v>4322.0200000000004</v>
      </c>
      <c r="H70" s="23">
        <v>4322.0200000000004</v>
      </c>
      <c r="I70" s="24" t="s">
        <v>12</v>
      </c>
      <c r="J70" s="16">
        <f t="shared" si="17"/>
        <v>1</v>
      </c>
      <c r="K70" s="16">
        <f t="shared" si="18"/>
        <v>0</v>
      </c>
      <c r="L70" s="15">
        <f t="shared" si="19"/>
        <v>0</v>
      </c>
      <c r="M70" s="15">
        <f t="shared" si="20"/>
        <v>0</v>
      </c>
      <c r="N70" s="15">
        <f t="shared" si="21"/>
        <v>0</v>
      </c>
      <c r="O70" s="16">
        <f t="shared" si="22"/>
        <v>0</v>
      </c>
      <c r="P70" s="15">
        <f t="shared" si="23"/>
        <v>0</v>
      </c>
      <c r="Q70" s="15">
        <f t="shared" si="24"/>
        <v>0</v>
      </c>
      <c r="R70" s="18">
        <f t="shared" si="25"/>
        <v>0</v>
      </c>
      <c r="S70" s="18">
        <f t="shared" si="26"/>
        <v>0</v>
      </c>
      <c r="T70" s="18">
        <f t="shared" si="27"/>
        <v>0</v>
      </c>
      <c r="U70" s="18">
        <f t="shared" si="28"/>
        <v>0</v>
      </c>
      <c r="V70" s="18">
        <f t="shared" si="29"/>
        <v>0</v>
      </c>
      <c r="W70" s="18">
        <f t="shared" si="30"/>
        <v>0</v>
      </c>
      <c r="X70" s="18">
        <f t="shared" si="31"/>
        <v>0</v>
      </c>
      <c r="Y70" s="18">
        <f t="shared" si="32"/>
        <v>0</v>
      </c>
      <c r="Z70" s="15">
        <f t="shared" si="33"/>
        <v>1</v>
      </c>
    </row>
    <row r="71" spans="1:26" x14ac:dyDescent="0.25">
      <c r="A71" s="20">
        <v>70</v>
      </c>
      <c r="B71" s="21" t="s">
        <v>199</v>
      </c>
      <c r="C71" s="22" t="s">
        <v>200</v>
      </c>
      <c r="D71" s="20">
        <v>944</v>
      </c>
      <c r="E71" s="20">
        <v>926</v>
      </c>
      <c r="F71" s="20">
        <v>18</v>
      </c>
      <c r="G71" s="23">
        <v>2723.31</v>
      </c>
      <c r="H71" s="23">
        <v>49019.49</v>
      </c>
      <c r="I71" s="24" t="s">
        <v>201</v>
      </c>
      <c r="J71" s="16">
        <f>IFERROR(VALUE(MID(I71, SEARCH("Sakar=", I71) + 6, SEARCH(",", I71 &amp; ",", SEARCH("Sakar=", I71) + 6) - SEARCH("Sakar=", I71) - 6)), 0)+15</f>
        <v>18</v>
      </c>
      <c r="K71" s="16">
        <f t="shared" si="18"/>
        <v>0</v>
      </c>
      <c r="L71" s="15">
        <f t="shared" si="19"/>
        <v>0</v>
      </c>
      <c r="M71" s="15">
        <f t="shared" si="20"/>
        <v>0</v>
      </c>
      <c r="N71" s="15">
        <f t="shared" si="21"/>
        <v>0</v>
      </c>
      <c r="O71" s="16">
        <f t="shared" si="22"/>
        <v>0</v>
      </c>
      <c r="P71" s="15">
        <f t="shared" si="23"/>
        <v>0</v>
      </c>
      <c r="Q71" s="15">
        <f t="shared" si="24"/>
        <v>0</v>
      </c>
      <c r="R71" s="18">
        <f t="shared" si="25"/>
        <v>0</v>
      </c>
      <c r="S71" s="18">
        <f t="shared" si="26"/>
        <v>0</v>
      </c>
      <c r="T71" s="18">
        <f t="shared" si="27"/>
        <v>0</v>
      </c>
      <c r="U71" s="18">
        <f t="shared" si="28"/>
        <v>0</v>
      </c>
      <c r="V71" s="18">
        <f t="shared" si="29"/>
        <v>0</v>
      </c>
      <c r="W71" s="18">
        <f t="shared" si="30"/>
        <v>0</v>
      </c>
      <c r="X71" s="18">
        <f t="shared" si="31"/>
        <v>0</v>
      </c>
      <c r="Y71" s="18">
        <f t="shared" si="32"/>
        <v>0</v>
      </c>
      <c r="Z71" s="15">
        <f t="shared" si="33"/>
        <v>18</v>
      </c>
    </row>
    <row r="72" spans="1:26" ht="30" x14ac:dyDescent="0.25">
      <c r="A72" s="20">
        <v>71</v>
      </c>
      <c r="B72" s="21" t="s">
        <v>202</v>
      </c>
      <c r="C72" s="22" t="s">
        <v>203</v>
      </c>
      <c r="D72" s="20">
        <v>150</v>
      </c>
      <c r="E72" s="20">
        <v>137</v>
      </c>
      <c r="F72" s="20">
        <v>13</v>
      </c>
      <c r="G72" s="23">
        <v>7080</v>
      </c>
      <c r="H72" s="23">
        <v>92040</v>
      </c>
      <c r="I72" s="24" t="s">
        <v>204</v>
      </c>
      <c r="J72" s="16">
        <f t="shared" si="17"/>
        <v>11</v>
      </c>
      <c r="K72" s="16">
        <f t="shared" si="18"/>
        <v>0</v>
      </c>
      <c r="L72" s="15">
        <f t="shared" si="19"/>
        <v>0</v>
      </c>
      <c r="M72" s="15">
        <f t="shared" si="20"/>
        <v>0</v>
      </c>
      <c r="N72" s="15">
        <f t="shared" si="21"/>
        <v>0</v>
      </c>
      <c r="O72" s="16">
        <f t="shared" si="22"/>
        <v>0</v>
      </c>
      <c r="P72" s="15">
        <f t="shared" si="23"/>
        <v>0</v>
      </c>
      <c r="Q72" s="15">
        <f t="shared" si="24"/>
        <v>2</v>
      </c>
      <c r="R72" s="18">
        <f t="shared" si="25"/>
        <v>0</v>
      </c>
      <c r="S72" s="18">
        <f t="shared" si="26"/>
        <v>0</v>
      </c>
      <c r="T72" s="18">
        <f t="shared" si="27"/>
        <v>0</v>
      </c>
      <c r="U72" s="18">
        <f t="shared" si="28"/>
        <v>0</v>
      </c>
      <c r="V72" s="18">
        <f t="shared" si="29"/>
        <v>0</v>
      </c>
      <c r="W72" s="18">
        <f t="shared" si="30"/>
        <v>0</v>
      </c>
      <c r="X72" s="18">
        <f t="shared" si="31"/>
        <v>0</v>
      </c>
      <c r="Y72" s="18">
        <f t="shared" si="32"/>
        <v>0</v>
      </c>
      <c r="Z72" s="15">
        <f t="shared" si="33"/>
        <v>13</v>
      </c>
    </row>
    <row r="73" spans="1:26" ht="30" x14ac:dyDescent="0.25">
      <c r="A73" s="20">
        <v>72</v>
      </c>
      <c r="B73" s="21" t="s">
        <v>205</v>
      </c>
      <c r="C73" s="22" t="s">
        <v>206</v>
      </c>
      <c r="D73" s="20">
        <v>54</v>
      </c>
      <c r="E73" s="20">
        <v>44</v>
      </c>
      <c r="F73" s="20">
        <v>10</v>
      </c>
      <c r="G73" s="23">
        <v>65.650000000000006</v>
      </c>
      <c r="H73" s="23">
        <v>656.48</v>
      </c>
      <c r="I73" s="24" t="s">
        <v>15</v>
      </c>
      <c r="J73" s="16">
        <f t="shared" si="17"/>
        <v>10</v>
      </c>
      <c r="K73" s="16">
        <f t="shared" si="18"/>
        <v>0</v>
      </c>
      <c r="L73" s="15">
        <f t="shared" si="19"/>
        <v>0</v>
      </c>
      <c r="M73" s="15">
        <f t="shared" si="20"/>
        <v>0</v>
      </c>
      <c r="N73" s="15">
        <f t="shared" si="21"/>
        <v>0</v>
      </c>
      <c r="O73" s="16">
        <f t="shared" si="22"/>
        <v>0</v>
      </c>
      <c r="P73" s="15">
        <f t="shared" si="23"/>
        <v>0</v>
      </c>
      <c r="Q73" s="15">
        <f t="shared" si="24"/>
        <v>0</v>
      </c>
      <c r="R73" s="18">
        <f t="shared" si="25"/>
        <v>0</v>
      </c>
      <c r="S73" s="18">
        <f t="shared" si="26"/>
        <v>0</v>
      </c>
      <c r="T73" s="18">
        <f t="shared" si="27"/>
        <v>0</v>
      </c>
      <c r="U73" s="18">
        <f t="shared" si="28"/>
        <v>0</v>
      </c>
      <c r="V73" s="18">
        <f t="shared" si="29"/>
        <v>0</v>
      </c>
      <c r="W73" s="18">
        <f t="shared" si="30"/>
        <v>0</v>
      </c>
      <c r="X73" s="18">
        <f t="shared" si="31"/>
        <v>0</v>
      </c>
      <c r="Y73" s="18">
        <f t="shared" si="32"/>
        <v>0</v>
      </c>
      <c r="Z73" s="15">
        <f t="shared" si="33"/>
        <v>10</v>
      </c>
    </row>
    <row r="74" spans="1:26" x14ac:dyDescent="0.25">
      <c r="A74" s="20">
        <v>73</v>
      </c>
      <c r="B74" s="21" t="s">
        <v>207</v>
      </c>
      <c r="C74" s="22" t="s">
        <v>208</v>
      </c>
      <c r="D74" s="20">
        <v>4</v>
      </c>
      <c r="E74" s="20">
        <v>3</v>
      </c>
      <c r="F74" s="20">
        <v>1</v>
      </c>
      <c r="G74" s="23">
        <v>17503</v>
      </c>
      <c r="H74" s="23">
        <v>17503</v>
      </c>
      <c r="I74" s="24" t="s">
        <v>12</v>
      </c>
      <c r="J74" s="16">
        <f t="shared" si="17"/>
        <v>1</v>
      </c>
      <c r="K74" s="16">
        <f t="shared" si="18"/>
        <v>0</v>
      </c>
      <c r="L74" s="15">
        <f t="shared" si="19"/>
        <v>0</v>
      </c>
      <c r="M74" s="15">
        <f t="shared" si="20"/>
        <v>0</v>
      </c>
      <c r="N74" s="15">
        <f t="shared" si="21"/>
        <v>0</v>
      </c>
      <c r="O74" s="16">
        <f t="shared" si="22"/>
        <v>0</v>
      </c>
      <c r="P74" s="15">
        <f t="shared" si="23"/>
        <v>0</v>
      </c>
      <c r="Q74" s="15">
        <f t="shared" si="24"/>
        <v>0</v>
      </c>
      <c r="R74" s="18">
        <f t="shared" si="25"/>
        <v>0</v>
      </c>
      <c r="S74" s="18">
        <f t="shared" si="26"/>
        <v>0</v>
      </c>
      <c r="T74" s="18">
        <f t="shared" si="27"/>
        <v>0</v>
      </c>
      <c r="U74" s="18">
        <f t="shared" si="28"/>
        <v>0</v>
      </c>
      <c r="V74" s="18">
        <f t="shared" si="29"/>
        <v>0</v>
      </c>
      <c r="W74" s="18">
        <f t="shared" si="30"/>
        <v>0</v>
      </c>
      <c r="X74" s="18">
        <f t="shared" si="31"/>
        <v>0</v>
      </c>
      <c r="Y74" s="18">
        <f t="shared" si="32"/>
        <v>0</v>
      </c>
      <c r="Z74" s="15">
        <f t="shared" si="33"/>
        <v>1</v>
      </c>
    </row>
    <row r="75" spans="1:26" ht="30" x14ac:dyDescent="0.25">
      <c r="A75" s="20">
        <v>74</v>
      </c>
      <c r="B75" s="21" t="s">
        <v>209</v>
      </c>
      <c r="C75" s="22" t="s">
        <v>210</v>
      </c>
      <c r="D75" s="20">
        <v>460</v>
      </c>
      <c r="E75" s="20">
        <v>458</v>
      </c>
      <c r="F75" s="20">
        <v>2</v>
      </c>
      <c r="G75" s="23">
        <v>8364.3700000000008</v>
      </c>
      <c r="H75" s="23">
        <v>16728.73</v>
      </c>
      <c r="I75" s="24" t="s">
        <v>429</v>
      </c>
      <c r="J75" s="16">
        <f t="shared" si="17"/>
        <v>0</v>
      </c>
      <c r="K75" s="16">
        <f t="shared" si="18"/>
        <v>1</v>
      </c>
      <c r="L75" s="15">
        <f t="shared" si="19"/>
        <v>0</v>
      </c>
      <c r="M75" s="15">
        <f t="shared" si="20"/>
        <v>0</v>
      </c>
      <c r="N75" s="15">
        <f t="shared" si="21"/>
        <v>0</v>
      </c>
      <c r="O75" s="16">
        <f t="shared" si="22"/>
        <v>1</v>
      </c>
      <c r="P75" s="15">
        <f t="shared" si="23"/>
        <v>0</v>
      </c>
      <c r="Q75" s="15">
        <f t="shared" si="24"/>
        <v>0</v>
      </c>
      <c r="R75" s="18">
        <f t="shared" si="25"/>
        <v>0</v>
      </c>
      <c r="S75" s="18">
        <f t="shared" si="26"/>
        <v>0</v>
      </c>
      <c r="T75" s="18">
        <f t="shared" si="27"/>
        <v>0</v>
      </c>
      <c r="U75" s="18">
        <f t="shared" si="28"/>
        <v>0</v>
      </c>
      <c r="V75" s="18">
        <f t="shared" si="29"/>
        <v>0</v>
      </c>
      <c r="W75" s="18">
        <f t="shared" si="30"/>
        <v>0</v>
      </c>
      <c r="X75" s="18">
        <f t="shared" si="31"/>
        <v>0</v>
      </c>
      <c r="Y75" s="18">
        <f t="shared" si="32"/>
        <v>0</v>
      </c>
      <c r="Z75" s="15">
        <f t="shared" si="33"/>
        <v>2</v>
      </c>
    </row>
    <row r="76" spans="1:26" ht="30" x14ac:dyDescent="0.25">
      <c r="A76" s="20">
        <v>75</v>
      </c>
      <c r="B76" s="21" t="s">
        <v>212</v>
      </c>
      <c r="C76" s="22" t="s">
        <v>213</v>
      </c>
      <c r="D76" s="20">
        <v>23</v>
      </c>
      <c r="E76" s="20">
        <v>20</v>
      </c>
      <c r="F76" s="20">
        <v>3</v>
      </c>
      <c r="G76" s="23">
        <v>2630.43</v>
      </c>
      <c r="H76" s="23">
        <v>7891.3</v>
      </c>
      <c r="I76" s="24" t="s">
        <v>214</v>
      </c>
      <c r="J76" s="16">
        <f t="shared" si="17"/>
        <v>0</v>
      </c>
      <c r="K76" s="16">
        <f t="shared" si="18"/>
        <v>3</v>
      </c>
      <c r="L76" s="15">
        <f t="shared" si="19"/>
        <v>0</v>
      </c>
      <c r="M76" s="15">
        <f t="shared" si="20"/>
        <v>0</v>
      </c>
      <c r="N76" s="15">
        <f t="shared" si="21"/>
        <v>0</v>
      </c>
      <c r="O76" s="16">
        <f t="shared" si="22"/>
        <v>0</v>
      </c>
      <c r="P76" s="15">
        <f t="shared" si="23"/>
        <v>0</v>
      </c>
      <c r="Q76" s="15">
        <f t="shared" si="24"/>
        <v>0</v>
      </c>
      <c r="R76" s="18">
        <f t="shared" si="25"/>
        <v>0</v>
      </c>
      <c r="S76" s="18">
        <f t="shared" si="26"/>
        <v>0</v>
      </c>
      <c r="T76" s="18">
        <f t="shared" si="27"/>
        <v>0</v>
      </c>
      <c r="U76" s="18">
        <f t="shared" si="28"/>
        <v>0</v>
      </c>
      <c r="V76" s="18">
        <f t="shared" si="29"/>
        <v>0</v>
      </c>
      <c r="W76" s="18">
        <f t="shared" si="30"/>
        <v>0</v>
      </c>
      <c r="X76" s="18">
        <f t="shared" si="31"/>
        <v>0</v>
      </c>
      <c r="Y76" s="18">
        <f t="shared" si="32"/>
        <v>0</v>
      </c>
      <c r="Z76" s="15">
        <f t="shared" si="33"/>
        <v>3</v>
      </c>
    </row>
    <row r="77" spans="1:26" ht="45" x14ac:dyDescent="0.25">
      <c r="A77" s="20">
        <v>76</v>
      </c>
      <c r="B77" s="21" t="s">
        <v>215</v>
      </c>
      <c r="C77" s="22" t="s">
        <v>216</v>
      </c>
      <c r="D77" s="20">
        <v>500</v>
      </c>
      <c r="E77" s="20">
        <v>300</v>
      </c>
      <c r="F77" s="20">
        <v>200</v>
      </c>
      <c r="G77" s="23">
        <v>65.23</v>
      </c>
      <c r="H77" s="23">
        <v>13046</v>
      </c>
      <c r="I77" s="24" t="s">
        <v>217</v>
      </c>
      <c r="J77" s="16">
        <f t="shared" si="17"/>
        <v>0</v>
      </c>
      <c r="K77" s="16">
        <f t="shared" si="18"/>
        <v>0</v>
      </c>
      <c r="L77" s="15">
        <f t="shared" si="19"/>
        <v>200</v>
      </c>
      <c r="M77" s="15">
        <f t="shared" si="20"/>
        <v>0</v>
      </c>
      <c r="N77" s="15">
        <f t="shared" si="21"/>
        <v>0</v>
      </c>
      <c r="O77" s="16">
        <f t="shared" si="22"/>
        <v>0</v>
      </c>
      <c r="P77" s="15">
        <f t="shared" si="23"/>
        <v>0</v>
      </c>
      <c r="Q77" s="15">
        <f t="shared" si="24"/>
        <v>0</v>
      </c>
      <c r="R77" s="18">
        <f t="shared" si="25"/>
        <v>0</v>
      </c>
      <c r="S77" s="18">
        <f t="shared" si="26"/>
        <v>0</v>
      </c>
      <c r="T77" s="18">
        <f t="shared" si="27"/>
        <v>0</v>
      </c>
      <c r="U77" s="18">
        <f t="shared" si="28"/>
        <v>0</v>
      </c>
      <c r="V77" s="18">
        <f t="shared" si="29"/>
        <v>0</v>
      </c>
      <c r="W77" s="18">
        <f t="shared" si="30"/>
        <v>0</v>
      </c>
      <c r="X77" s="18">
        <f t="shared" si="31"/>
        <v>0</v>
      </c>
      <c r="Y77" s="18">
        <f t="shared" si="32"/>
        <v>0</v>
      </c>
      <c r="Z77" s="15">
        <f t="shared" si="33"/>
        <v>200</v>
      </c>
    </row>
    <row r="78" spans="1:26" ht="30" x14ac:dyDescent="0.25">
      <c r="A78" s="20">
        <v>77</v>
      </c>
      <c r="B78" s="21" t="s">
        <v>218</v>
      </c>
      <c r="C78" s="22" t="s">
        <v>219</v>
      </c>
      <c r="D78" s="20">
        <v>1854</v>
      </c>
      <c r="E78" s="20">
        <v>1852</v>
      </c>
      <c r="F78" s="20">
        <v>2</v>
      </c>
      <c r="G78" s="23">
        <v>5195.6499999999996</v>
      </c>
      <c r="H78" s="23">
        <v>10391.290000000001</v>
      </c>
      <c r="I78" s="24" t="s">
        <v>87</v>
      </c>
      <c r="J78" s="16">
        <f t="shared" si="17"/>
        <v>2</v>
      </c>
      <c r="K78" s="16">
        <f t="shared" si="18"/>
        <v>0</v>
      </c>
      <c r="L78" s="15">
        <f t="shared" si="19"/>
        <v>0</v>
      </c>
      <c r="M78" s="15">
        <f t="shared" si="20"/>
        <v>0</v>
      </c>
      <c r="N78" s="15">
        <f t="shared" si="21"/>
        <v>0</v>
      </c>
      <c r="O78" s="16">
        <f t="shared" si="22"/>
        <v>0</v>
      </c>
      <c r="P78" s="15">
        <f t="shared" si="23"/>
        <v>0</v>
      </c>
      <c r="Q78" s="15">
        <f t="shared" si="24"/>
        <v>0</v>
      </c>
      <c r="R78" s="18">
        <f t="shared" si="25"/>
        <v>0</v>
      </c>
      <c r="S78" s="18">
        <f t="shared" si="26"/>
        <v>0</v>
      </c>
      <c r="T78" s="18">
        <f t="shared" si="27"/>
        <v>0</v>
      </c>
      <c r="U78" s="18">
        <f t="shared" si="28"/>
        <v>0</v>
      </c>
      <c r="V78" s="18">
        <f t="shared" si="29"/>
        <v>0</v>
      </c>
      <c r="W78" s="18">
        <f t="shared" si="30"/>
        <v>0</v>
      </c>
      <c r="X78" s="18">
        <f t="shared" si="31"/>
        <v>0</v>
      </c>
      <c r="Y78" s="18">
        <f t="shared" si="32"/>
        <v>0</v>
      </c>
      <c r="Z78" s="15">
        <f t="shared" si="33"/>
        <v>2</v>
      </c>
    </row>
    <row r="79" spans="1:26" x14ac:dyDescent="0.25">
      <c r="A79" s="20">
        <v>78</v>
      </c>
      <c r="B79" s="21" t="s">
        <v>220</v>
      </c>
      <c r="C79" s="22" t="s">
        <v>221</v>
      </c>
      <c r="D79" s="20">
        <v>42</v>
      </c>
      <c r="E79" s="20">
        <v>40</v>
      </c>
      <c r="F79" s="20">
        <v>2</v>
      </c>
      <c r="G79" s="23">
        <v>11244</v>
      </c>
      <c r="H79" s="23">
        <v>22488</v>
      </c>
      <c r="I79" s="24" t="s">
        <v>87</v>
      </c>
      <c r="J79" s="16">
        <f t="shared" si="17"/>
        <v>2</v>
      </c>
      <c r="K79" s="16">
        <f t="shared" si="18"/>
        <v>0</v>
      </c>
      <c r="L79" s="15">
        <f t="shared" si="19"/>
        <v>0</v>
      </c>
      <c r="M79" s="15">
        <f t="shared" si="20"/>
        <v>0</v>
      </c>
      <c r="N79" s="15">
        <f t="shared" si="21"/>
        <v>0</v>
      </c>
      <c r="O79" s="16">
        <f t="shared" si="22"/>
        <v>0</v>
      </c>
      <c r="P79" s="15">
        <f t="shared" si="23"/>
        <v>0</v>
      </c>
      <c r="Q79" s="15">
        <f t="shared" si="24"/>
        <v>0</v>
      </c>
      <c r="R79" s="18">
        <f t="shared" si="25"/>
        <v>0</v>
      </c>
      <c r="S79" s="18">
        <f t="shared" si="26"/>
        <v>0</v>
      </c>
      <c r="T79" s="18">
        <f t="shared" si="27"/>
        <v>0</v>
      </c>
      <c r="U79" s="18">
        <f t="shared" si="28"/>
        <v>0</v>
      </c>
      <c r="V79" s="18">
        <f t="shared" si="29"/>
        <v>0</v>
      </c>
      <c r="W79" s="18">
        <f t="shared" si="30"/>
        <v>0</v>
      </c>
      <c r="X79" s="18">
        <f t="shared" si="31"/>
        <v>0</v>
      </c>
      <c r="Y79" s="18">
        <f t="shared" si="32"/>
        <v>0</v>
      </c>
      <c r="Z79" s="15">
        <f t="shared" si="33"/>
        <v>2</v>
      </c>
    </row>
    <row r="80" spans="1:26" x14ac:dyDescent="0.25">
      <c r="A80" s="20">
        <v>79</v>
      </c>
      <c r="B80" s="21" t="s">
        <v>222</v>
      </c>
      <c r="C80" s="22" t="s">
        <v>223</v>
      </c>
      <c r="D80" s="20">
        <v>4</v>
      </c>
      <c r="E80" s="20">
        <v>0</v>
      </c>
      <c r="F80" s="20">
        <v>4</v>
      </c>
      <c r="G80" s="23">
        <v>15372</v>
      </c>
      <c r="H80" s="23">
        <v>61488</v>
      </c>
      <c r="I80" s="24" t="s">
        <v>51</v>
      </c>
      <c r="J80" s="16">
        <f t="shared" si="17"/>
        <v>4</v>
      </c>
      <c r="K80" s="16">
        <f t="shared" si="18"/>
        <v>0</v>
      </c>
      <c r="L80" s="15">
        <f t="shared" si="19"/>
        <v>0</v>
      </c>
      <c r="M80" s="15">
        <f t="shared" si="20"/>
        <v>0</v>
      </c>
      <c r="N80" s="15">
        <f t="shared" si="21"/>
        <v>0</v>
      </c>
      <c r="O80" s="16">
        <f t="shared" si="22"/>
        <v>0</v>
      </c>
      <c r="P80" s="15">
        <f t="shared" si="23"/>
        <v>0</v>
      </c>
      <c r="Q80" s="15">
        <f t="shared" si="24"/>
        <v>0</v>
      </c>
      <c r="R80" s="18">
        <f t="shared" si="25"/>
        <v>0</v>
      </c>
      <c r="S80" s="18">
        <f t="shared" si="26"/>
        <v>0</v>
      </c>
      <c r="T80" s="18">
        <f t="shared" si="27"/>
        <v>0</v>
      </c>
      <c r="U80" s="18">
        <f t="shared" si="28"/>
        <v>0</v>
      </c>
      <c r="V80" s="18">
        <f t="shared" si="29"/>
        <v>0</v>
      </c>
      <c r="W80" s="18">
        <f t="shared" si="30"/>
        <v>0</v>
      </c>
      <c r="X80" s="18">
        <f t="shared" si="31"/>
        <v>0</v>
      </c>
      <c r="Y80" s="18">
        <f t="shared" si="32"/>
        <v>0</v>
      </c>
      <c r="Z80" s="15">
        <f t="shared" si="33"/>
        <v>4</v>
      </c>
    </row>
    <row r="81" spans="1:26" ht="30" x14ac:dyDescent="0.25">
      <c r="A81" s="20">
        <v>80</v>
      </c>
      <c r="B81" s="21" t="s">
        <v>224</v>
      </c>
      <c r="C81" s="22" t="s">
        <v>225</v>
      </c>
      <c r="D81" s="20">
        <v>30</v>
      </c>
      <c r="E81" s="20">
        <v>26</v>
      </c>
      <c r="F81" s="20">
        <v>4</v>
      </c>
      <c r="G81" s="23">
        <v>2148</v>
      </c>
      <c r="H81" s="23">
        <v>8592</v>
      </c>
      <c r="I81" s="24" t="s">
        <v>51</v>
      </c>
      <c r="J81" s="16">
        <f t="shared" si="17"/>
        <v>4</v>
      </c>
      <c r="K81" s="16">
        <f t="shared" si="18"/>
        <v>0</v>
      </c>
      <c r="L81" s="15">
        <f t="shared" si="19"/>
        <v>0</v>
      </c>
      <c r="M81" s="15">
        <f t="shared" si="20"/>
        <v>0</v>
      </c>
      <c r="N81" s="15">
        <f t="shared" si="21"/>
        <v>0</v>
      </c>
      <c r="O81" s="16">
        <f t="shared" si="22"/>
        <v>0</v>
      </c>
      <c r="P81" s="15">
        <f t="shared" si="23"/>
        <v>0</v>
      </c>
      <c r="Q81" s="15">
        <f t="shared" si="24"/>
        <v>0</v>
      </c>
      <c r="R81" s="18">
        <f t="shared" si="25"/>
        <v>0</v>
      </c>
      <c r="S81" s="18">
        <f t="shared" si="26"/>
        <v>0</v>
      </c>
      <c r="T81" s="18">
        <f t="shared" si="27"/>
        <v>0</v>
      </c>
      <c r="U81" s="18">
        <f t="shared" si="28"/>
        <v>0</v>
      </c>
      <c r="V81" s="18">
        <f t="shared" si="29"/>
        <v>0</v>
      </c>
      <c r="W81" s="18">
        <f t="shared" si="30"/>
        <v>0</v>
      </c>
      <c r="X81" s="18">
        <f t="shared" si="31"/>
        <v>0</v>
      </c>
      <c r="Y81" s="18">
        <f t="shared" si="32"/>
        <v>0</v>
      </c>
      <c r="Z81" s="15">
        <f t="shared" si="33"/>
        <v>4</v>
      </c>
    </row>
    <row r="82" spans="1:26" ht="30" x14ac:dyDescent="0.25">
      <c r="A82" s="20">
        <v>81</v>
      </c>
      <c r="B82" s="21" t="s">
        <v>226</v>
      </c>
      <c r="C82" s="22" t="s">
        <v>227</v>
      </c>
      <c r="D82" s="20">
        <v>5</v>
      </c>
      <c r="E82" s="20">
        <v>4</v>
      </c>
      <c r="F82" s="20">
        <v>1</v>
      </c>
      <c r="G82" s="23">
        <v>2148</v>
      </c>
      <c r="H82" s="23">
        <v>2148</v>
      </c>
      <c r="I82" s="24" t="s">
        <v>228</v>
      </c>
      <c r="J82" s="16">
        <f t="shared" si="17"/>
        <v>1</v>
      </c>
      <c r="K82" s="16">
        <f t="shared" si="18"/>
        <v>0</v>
      </c>
      <c r="L82" s="15">
        <f t="shared" si="19"/>
        <v>0</v>
      </c>
      <c r="M82" s="15">
        <f t="shared" si="20"/>
        <v>0</v>
      </c>
      <c r="N82" s="15">
        <f t="shared" si="21"/>
        <v>0</v>
      </c>
      <c r="O82" s="16">
        <f t="shared" si="22"/>
        <v>0</v>
      </c>
      <c r="P82" s="15">
        <f t="shared" si="23"/>
        <v>0</v>
      </c>
      <c r="Q82" s="15">
        <f t="shared" si="24"/>
        <v>0</v>
      </c>
      <c r="R82" s="18">
        <f t="shared" si="25"/>
        <v>0</v>
      </c>
      <c r="S82" s="18">
        <f t="shared" si="26"/>
        <v>0</v>
      </c>
      <c r="T82" s="18">
        <f t="shared" si="27"/>
        <v>0</v>
      </c>
      <c r="U82" s="18">
        <f t="shared" si="28"/>
        <v>0</v>
      </c>
      <c r="V82" s="18">
        <f t="shared" si="29"/>
        <v>0</v>
      </c>
      <c r="W82" s="18">
        <f t="shared" si="30"/>
        <v>0</v>
      </c>
      <c r="X82" s="18">
        <f t="shared" si="31"/>
        <v>0</v>
      </c>
      <c r="Y82" s="18">
        <f t="shared" si="32"/>
        <v>0</v>
      </c>
      <c r="Z82" s="15">
        <f t="shared" si="33"/>
        <v>1</v>
      </c>
    </row>
    <row r="83" spans="1:26" ht="30" x14ac:dyDescent="0.25">
      <c r="A83" s="20">
        <v>82</v>
      </c>
      <c r="B83" s="21" t="s">
        <v>229</v>
      </c>
      <c r="C83" s="22" t="s">
        <v>230</v>
      </c>
      <c r="D83" s="20">
        <v>80</v>
      </c>
      <c r="E83" s="20">
        <v>20</v>
      </c>
      <c r="F83" s="20">
        <v>60</v>
      </c>
      <c r="G83" s="23">
        <v>39</v>
      </c>
      <c r="H83" s="23">
        <v>2340</v>
      </c>
      <c r="I83" s="24" t="s">
        <v>231</v>
      </c>
      <c r="J83" s="16">
        <f t="shared" si="17"/>
        <v>60</v>
      </c>
      <c r="K83" s="16">
        <f t="shared" si="18"/>
        <v>0</v>
      </c>
      <c r="L83" s="15">
        <f t="shared" si="19"/>
        <v>0</v>
      </c>
      <c r="M83" s="15">
        <f t="shared" si="20"/>
        <v>0</v>
      </c>
      <c r="N83" s="15">
        <f t="shared" si="21"/>
        <v>0</v>
      </c>
      <c r="O83" s="16">
        <f t="shared" si="22"/>
        <v>0</v>
      </c>
      <c r="P83" s="15">
        <f t="shared" si="23"/>
        <v>0</v>
      </c>
      <c r="Q83" s="15">
        <f t="shared" si="24"/>
        <v>0</v>
      </c>
      <c r="R83" s="18">
        <f t="shared" si="25"/>
        <v>0</v>
      </c>
      <c r="S83" s="18">
        <f t="shared" si="26"/>
        <v>0</v>
      </c>
      <c r="T83" s="18">
        <f t="shared" si="27"/>
        <v>0</v>
      </c>
      <c r="U83" s="18">
        <f t="shared" si="28"/>
        <v>0</v>
      </c>
      <c r="V83" s="18">
        <f t="shared" si="29"/>
        <v>0</v>
      </c>
      <c r="W83" s="18">
        <f t="shared" si="30"/>
        <v>0</v>
      </c>
      <c r="X83" s="18">
        <f t="shared" si="31"/>
        <v>0</v>
      </c>
      <c r="Y83" s="18">
        <f t="shared" si="32"/>
        <v>0</v>
      </c>
      <c r="Z83" s="15">
        <f t="shared" si="33"/>
        <v>60</v>
      </c>
    </row>
    <row r="84" spans="1:26" ht="30" x14ac:dyDescent="0.25">
      <c r="A84" s="20">
        <v>83</v>
      </c>
      <c r="B84" s="21" t="s">
        <v>232</v>
      </c>
      <c r="C84" s="22" t="s">
        <v>233</v>
      </c>
      <c r="D84" s="20">
        <v>444</v>
      </c>
      <c r="E84" s="20">
        <v>270</v>
      </c>
      <c r="F84" s="20">
        <v>174</v>
      </c>
      <c r="G84" s="23">
        <v>6002.99</v>
      </c>
      <c r="H84" s="23">
        <v>1044519.41</v>
      </c>
      <c r="I84" s="24" t="s">
        <v>234</v>
      </c>
      <c r="J84" s="16">
        <f>IFERROR(VALUE(MID(I84, SEARCH("Sakar=", I84) + 6, SEARCH(",", I84 &amp; ",", SEARCH("Sakar=", I84) + 6) - SEARCH("Sakar=", I84) - 6)), 0)+20</f>
        <v>27</v>
      </c>
      <c r="K84" s="16">
        <f t="shared" si="18"/>
        <v>0</v>
      </c>
      <c r="L84" s="15">
        <f t="shared" si="19"/>
        <v>0</v>
      </c>
      <c r="M84" s="15">
        <f>IFERROR(VALUE(MID(I84, SEARCH("Themis=", I84) + 7, SEARCH(",", I84 &amp; ",", SEARCH("Themis=", I84) + 7) - SEARCH("Themis=", I84) - 7)), 0)+118</f>
        <v>146</v>
      </c>
      <c r="N84" s="15">
        <f t="shared" si="21"/>
        <v>0</v>
      </c>
      <c r="O84" s="16">
        <f t="shared" si="22"/>
        <v>0</v>
      </c>
      <c r="P84" s="15">
        <f t="shared" si="23"/>
        <v>0</v>
      </c>
      <c r="Q84" s="15">
        <f t="shared" si="24"/>
        <v>1</v>
      </c>
      <c r="R84" s="18">
        <f t="shared" si="25"/>
        <v>0</v>
      </c>
      <c r="S84" s="18">
        <f t="shared" si="26"/>
        <v>0</v>
      </c>
      <c r="T84" s="18">
        <f t="shared" si="27"/>
        <v>0</v>
      </c>
      <c r="U84" s="18">
        <f t="shared" si="28"/>
        <v>0</v>
      </c>
      <c r="V84" s="18">
        <f t="shared" si="29"/>
        <v>0</v>
      </c>
      <c r="W84" s="18">
        <f t="shared" si="30"/>
        <v>0</v>
      </c>
      <c r="X84" s="18">
        <f t="shared" si="31"/>
        <v>0</v>
      </c>
      <c r="Y84" s="18">
        <f t="shared" si="32"/>
        <v>0</v>
      </c>
      <c r="Z84" s="15">
        <f t="shared" si="33"/>
        <v>174</v>
      </c>
    </row>
    <row r="85" spans="1:26" ht="30" x14ac:dyDescent="0.25">
      <c r="A85" s="20">
        <v>84</v>
      </c>
      <c r="B85" s="21" t="s">
        <v>235</v>
      </c>
      <c r="C85" s="22" t="s">
        <v>236</v>
      </c>
      <c r="D85" s="20">
        <v>23</v>
      </c>
      <c r="E85" s="20">
        <v>2</v>
      </c>
      <c r="F85" s="20">
        <v>21</v>
      </c>
      <c r="G85" s="23">
        <v>21432.34</v>
      </c>
      <c r="H85" s="23">
        <v>450079.23</v>
      </c>
      <c r="I85" s="24" t="s">
        <v>237</v>
      </c>
      <c r="J85" s="16">
        <f>IFERROR(VALUE(MID(I85, SEARCH("Sakar=", I85) + 6, SEARCH(",", I85 &amp; ",", SEARCH("Sakar=", I85) + 6) - SEARCH("Sakar=", I85) - 6)), 0)+2</f>
        <v>4</v>
      </c>
      <c r="K85" s="16">
        <f t="shared" si="18"/>
        <v>0</v>
      </c>
      <c r="L85" s="15">
        <f t="shared" si="19"/>
        <v>16</v>
      </c>
      <c r="M85" s="15">
        <f t="shared" si="20"/>
        <v>1</v>
      </c>
      <c r="N85" s="15">
        <f t="shared" si="21"/>
        <v>0</v>
      </c>
      <c r="O85" s="16">
        <f t="shared" si="22"/>
        <v>0</v>
      </c>
      <c r="P85" s="15">
        <f t="shared" si="23"/>
        <v>0</v>
      </c>
      <c r="Q85" s="15">
        <f t="shared" si="24"/>
        <v>0</v>
      </c>
      <c r="R85" s="18">
        <f t="shared" si="25"/>
        <v>0</v>
      </c>
      <c r="S85" s="18">
        <f t="shared" si="26"/>
        <v>0</v>
      </c>
      <c r="T85" s="18">
        <f t="shared" si="27"/>
        <v>0</v>
      </c>
      <c r="U85" s="18">
        <f t="shared" si="28"/>
        <v>0</v>
      </c>
      <c r="V85" s="18">
        <f t="shared" si="29"/>
        <v>0</v>
      </c>
      <c r="W85" s="18">
        <f t="shared" si="30"/>
        <v>0</v>
      </c>
      <c r="X85" s="18">
        <f t="shared" si="31"/>
        <v>0</v>
      </c>
      <c r="Y85" s="18">
        <f t="shared" si="32"/>
        <v>0</v>
      </c>
      <c r="Z85" s="15">
        <f t="shared" si="33"/>
        <v>21</v>
      </c>
    </row>
    <row r="86" spans="1:26" x14ac:dyDescent="0.25">
      <c r="A86" s="20">
        <v>85</v>
      </c>
      <c r="B86" s="21" t="s">
        <v>238</v>
      </c>
      <c r="C86" s="22" t="s">
        <v>239</v>
      </c>
      <c r="D86" s="20">
        <v>12</v>
      </c>
      <c r="E86" s="20">
        <v>10</v>
      </c>
      <c r="F86" s="20">
        <v>2</v>
      </c>
      <c r="G86" s="23">
        <v>156.66999999999999</v>
      </c>
      <c r="H86" s="23">
        <v>313.33</v>
      </c>
      <c r="I86" s="24" t="s">
        <v>87</v>
      </c>
      <c r="J86" s="16">
        <f t="shared" si="17"/>
        <v>2</v>
      </c>
      <c r="K86" s="16">
        <f t="shared" si="18"/>
        <v>0</v>
      </c>
      <c r="L86" s="15">
        <f t="shared" si="19"/>
        <v>0</v>
      </c>
      <c r="M86" s="15">
        <f t="shared" si="20"/>
        <v>0</v>
      </c>
      <c r="N86" s="15">
        <f t="shared" si="21"/>
        <v>0</v>
      </c>
      <c r="O86" s="16">
        <f t="shared" si="22"/>
        <v>0</v>
      </c>
      <c r="P86" s="15">
        <f t="shared" si="23"/>
        <v>0</v>
      </c>
      <c r="Q86" s="15">
        <f t="shared" si="24"/>
        <v>0</v>
      </c>
      <c r="R86" s="18">
        <f t="shared" si="25"/>
        <v>0</v>
      </c>
      <c r="S86" s="18">
        <f t="shared" si="26"/>
        <v>0</v>
      </c>
      <c r="T86" s="18">
        <f t="shared" si="27"/>
        <v>0</v>
      </c>
      <c r="U86" s="18">
        <f t="shared" si="28"/>
        <v>0</v>
      </c>
      <c r="V86" s="18">
        <f t="shared" si="29"/>
        <v>0</v>
      </c>
      <c r="W86" s="18">
        <f t="shared" si="30"/>
        <v>0</v>
      </c>
      <c r="X86" s="18">
        <f t="shared" si="31"/>
        <v>0</v>
      </c>
      <c r="Y86" s="18">
        <f t="shared" si="32"/>
        <v>0</v>
      </c>
      <c r="Z86" s="15">
        <f t="shared" si="33"/>
        <v>2</v>
      </c>
    </row>
    <row r="87" spans="1:26" x14ac:dyDescent="0.25">
      <c r="A87" s="20">
        <v>86</v>
      </c>
      <c r="B87" s="21" t="s">
        <v>240</v>
      </c>
      <c r="C87" s="22" t="s">
        <v>241</v>
      </c>
      <c r="D87" s="20">
        <v>10</v>
      </c>
      <c r="E87" s="20">
        <v>3</v>
      </c>
      <c r="F87" s="20">
        <v>7</v>
      </c>
      <c r="G87" s="23">
        <v>30960</v>
      </c>
      <c r="H87" s="23">
        <v>216720</v>
      </c>
      <c r="I87" s="24" t="s">
        <v>430</v>
      </c>
      <c r="J87" s="16">
        <f t="shared" si="17"/>
        <v>1</v>
      </c>
      <c r="K87" s="16">
        <f t="shared" si="18"/>
        <v>0</v>
      </c>
      <c r="L87" s="15">
        <f t="shared" si="19"/>
        <v>0</v>
      </c>
      <c r="M87" s="15">
        <f t="shared" si="20"/>
        <v>0</v>
      </c>
      <c r="N87" s="15">
        <f t="shared" si="21"/>
        <v>0</v>
      </c>
      <c r="O87" s="16">
        <f t="shared" si="22"/>
        <v>6</v>
      </c>
      <c r="P87" s="15">
        <f t="shared" si="23"/>
        <v>0</v>
      </c>
      <c r="Q87" s="15">
        <f t="shared" si="24"/>
        <v>0</v>
      </c>
      <c r="R87" s="18">
        <f t="shared" si="25"/>
        <v>0</v>
      </c>
      <c r="S87" s="18">
        <f t="shared" si="26"/>
        <v>0</v>
      </c>
      <c r="T87" s="18">
        <f t="shared" si="27"/>
        <v>0</v>
      </c>
      <c r="U87" s="18">
        <f t="shared" si="28"/>
        <v>0</v>
      </c>
      <c r="V87" s="18">
        <f t="shared" si="29"/>
        <v>0</v>
      </c>
      <c r="W87" s="18">
        <f t="shared" si="30"/>
        <v>0</v>
      </c>
      <c r="X87" s="18">
        <f t="shared" si="31"/>
        <v>0</v>
      </c>
      <c r="Y87" s="18">
        <f t="shared" si="32"/>
        <v>0</v>
      </c>
      <c r="Z87" s="15">
        <f t="shared" si="33"/>
        <v>7</v>
      </c>
    </row>
    <row r="88" spans="1:26" x14ac:dyDescent="0.25">
      <c r="A88" s="20">
        <v>87</v>
      </c>
      <c r="B88" s="21" t="s">
        <v>243</v>
      </c>
      <c r="C88" s="22" t="s">
        <v>244</v>
      </c>
      <c r="D88" s="20">
        <v>10</v>
      </c>
      <c r="E88" s="20">
        <v>2</v>
      </c>
      <c r="F88" s="20">
        <v>8</v>
      </c>
      <c r="G88" s="23">
        <v>37560</v>
      </c>
      <c r="H88" s="23">
        <v>300480</v>
      </c>
      <c r="I88" s="24" t="s">
        <v>431</v>
      </c>
      <c r="J88" s="16">
        <f t="shared" si="17"/>
        <v>0</v>
      </c>
      <c r="K88" s="16">
        <f t="shared" si="18"/>
        <v>0</v>
      </c>
      <c r="L88" s="15">
        <f t="shared" si="19"/>
        <v>0</v>
      </c>
      <c r="M88" s="15">
        <f t="shared" si="20"/>
        <v>0</v>
      </c>
      <c r="N88" s="15">
        <f t="shared" si="21"/>
        <v>0</v>
      </c>
      <c r="O88" s="16">
        <f t="shared" si="22"/>
        <v>8</v>
      </c>
      <c r="P88" s="15">
        <f t="shared" si="23"/>
        <v>0</v>
      </c>
      <c r="Q88" s="15">
        <f t="shared" si="24"/>
        <v>0</v>
      </c>
      <c r="R88" s="18">
        <f t="shared" si="25"/>
        <v>0</v>
      </c>
      <c r="S88" s="18">
        <f t="shared" si="26"/>
        <v>0</v>
      </c>
      <c r="T88" s="18">
        <f t="shared" si="27"/>
        <v>0</v>
      </c>
      <c r="U88" s="18">
        <f t="shared" si="28"/>
        <v>0</v>
      </c>
      <c r="V88" s="18">
        <f t="shared" si="29"/>
        <v>0</v>
      </c>
      <c r="W88" s="18">
        <f t="shared" si="30"/>
        <v>0</v>
      </c>
      <c r="X88" s="18">
        <f t="shared" si="31"/>
        <v>0</v>
      </c>
      <c r="Y88" s="18">
        <f t="shared" si="32"/>
        <v>0</v>
      </c>
      <c r="Z88" s="15">
        <f t="shared" si="33"/>
        <v>8</v>
      </c>
    </row>
    <row r="89" spans="1:26" x14ac:dyDescent="0.25">
      <c r="A89" s="20">
        <v>88</v>
      </c>
      <c r="B89" s="21" t="s">
        <v>246</v>
      </c>
      <c r="C89" s="22" t="s">
        <v>247</v>
      </c>
      <c r="D89" s="20">
        <v>8</v>
      </c>
      <c r="E89" s="20">
        <v>3</v>
      </c>
      <c r="F89" s="20">
        <v>5</v>
      </c>
      <c r="G89" s="23">
        <v>44676</v>
      </c>
      <c r="H89" s="23">
        <v>223380</v>
      </c>
      <c r="I89" s="24" t="s">
        <v>432</v>
      </c>
      <c r="J89" s="16">
        <f t="shared" si="17"/>
        <v>0</v>
      </c>
      <c r="K89" s="16">
        <f t="shared" si="18"/>
        <v>0</v>
      </c>
      <c r="L89" s="15">
        <f t="shared" si="19"/>
        <v>0</v>
      </c>
      <c r="M89" s="15">
        <f t="shared" si="20"/>
        <v>0</v>
      </c>
      <c r="N89" s="15">
        <f t="shared" si="21"/>
        <v>0</v>
      </c>
      <c r="O89" s="16">
        <f t="shared" si="22"/>
        <v>5</v>
      </c>
      <c r="P89" s="15">
        <f t="shared" si="23"/>
        <v>0</v>
      </c>
      <c r="Q89" s="15">
        <f t="shared" si="24"/>
        <v>0</v>
      </c>
      <c r="R89" s="18">
        <f t="shared" si="25"/>
        <v>0</v>
      </c>
      <c r="S89" s="18">
        <f t="shared" si="26"/>
        <v>0</v>
      </c>
      <c r="T89" s="18">
        <f t="shared" si="27"/>
        <v>0</v>
      </c>
      <c r="U89" s="18">
        <f t="shared" si="28"/>
        <v>0</v>
      </c>
      <c r="V89" s="18">
        <f t="shared" si="29"/>
        <v>0</v>
      </c>
      <c r="W89" s="18">
        <f t="shared" si="30"/>
        <v>0</v>
      </c>
      <c r="X89" s="18">
        <f t="shared" si="31"/>
        <v>0</v>
      </c>
      <c r="Y89" s="18">
        <f t="shared" si="32"/>
        <v>0</v>
      </c>
      <c r="Z89" s="15">
        <f t="shared" si="33"/>
        <v>5</v>
      </c>
    </row>
    <row r="90" spans="1:26" x14ac:dyDescent="0.25">
      <c r="A90" s="20">
        <v>89</v>
      </c>
      <c r="B90" s="21" t="s">
        <v>433</v>
      </c>
      <c r="C90" s="22" t="s">
        <v>250</v>
      </c>
      <c r="D90" s="20">
        <v>1</v>
      </c>
      <c r="E90" s="20">
        <v>0</v>
      </c>
      <c r="F90" s="20">
        <v>1</v>
      </c>
      <c r="G90" s="23">
        <v>16824</v>
      </c>
      <c r="H90" s="23">
        <v>16824</v>
      </c>
      <c r="I90" s="24" t="s">
        <v>12</v>
      </c>
      <c r="J90" s="16">
        <f t="shared" si="17"/>
        <v>1</v>
      </c>
      <c r="K90" s="16">
        <f t="shared" si="18"/>
        <v>0</v>
      </c>
      <c r="L90" s="15">
        <f t="shared" si="19"/>
        <v>0</v>
      </c>
      <c r="M90" s="15">
        <f t="shared" si="20"/>
        <v>0</v>
      </c>
      <c r="N90" s="15">
        <f t="shared" si="21"/>
        <v>0</v>
      </c>
      <c r="O90" s="16">
        <f t="shared" si="22"/>
        <v>0</v>
      </c>
      <c r="P90" s="15">
        <f t="shared" si="23"/>
        <v>0</v>
      </c>
      <c r="Q90" s="15">
        <f t="shared" si="24"/>
        <v>0</v>
      </c>
      <c r="R90" s="18">
        <f t="shared" si="25"/>
        <v>0</v>
      </c>
      <c r="S90" s="18">
        <f t="shared" si="26"/>
        <v>0</v>
      </c>
      <c r="T90" s="18">
        <f t="shared" si="27"/>
        <v>0</v>
      </c>
      <c r="U90" s="18">
        <f t="shared" si="28"/>
        <v>0</v>
      </c>
      <c r="V90" s="18">
        <f t="shared" si="29"/>
        <v>0</v>
      </c>
      <c r="W90" s="18">
        <f t="shared" si="30"/>
        <v>0</v>
      </c>
      <c r="X90" s="18">
        <f t="shared" si="31"/>
        <v>0</v>
      </c>
      <c r="Y90" s="18">
        <f t="shared" si="32"/>
        <v>0</v>
      </c>
      <c r="Z90" s="15">
        <f t="shared" si="33"/>
        <v>1</v>
      </c>
    </row>
    <row r="91" spans="1:26" x14ac:dyDescent="0.25">
      <c r="A91" s="20">
        <v>90</v>
      </c>
      <c r="B91" s="21" t="s">
        <v>434</v>
      </c>
      <c r="C91" s="22" t="s">
        <v>252</v>
      </c>
      <c r="D91" s="20">
        <v>1</v>
      </c>
      <c r="E91" s="20">
        <v>0</v>
      </c>
      <c r="F91" s="20">
        <v>1</v>
      </c>
      <c r="G91" s="23">
        <v>17040</v>
      </c>
      <c r="H91" s="23">
        <v>17040</v>
      </c>
      <c r="I91" s="24" t="s">
        <v>12</v>
      </c>
      <c r="J91" s="16">
        <f t="shared" si="17"/>
        <v>1</v>
      </c>
      <c r="K91" s="16">
        <f t="shared" si="18"/>
        <v>0</v>
      </c>
      <c r="L91" s="15">
        <f t="shared" si="19"/>
        <v>0</v>
      </c>
      <c r="M91" s="15">
        <f t="shared" si="20"/>
        <v>0</v>
      </c>
      <c r="N91" s="15">
        <f t="shared" si="21"/>
        <v>0</v>
      </c>
      <c r="O91" s="16">
        <f t="shared" si="22"/>
        <v>0</v>
      </c>
      <c r="P91" s="15">
        <f t="shared" si="23"/>
        <v>0</v>
      </c>
      <c r="Q91" s="15">
        <f t="shared" si="24"/>
        <v>0</v>
      </c>
      <c r="R91" s="18">
        <f t="shared" si="25"/>
        <v>0</v>
      </c>
      <c r="S91" s="18">
        <f t="shared" si="26"/>
        <v>0</v>
      </c>
      <c r="T91" s="18">
        <f t="shared" si="27"/>
        <v>0</v>
      </c>
      <c r="U91" s="18">
        <f t="shared" si="28"/>
        <v>0</v>
      </c>
      <c r="V91" s="18">
        <f t="shared" si="29"/>
        <v>0</v>
      </c>
      <c r="W91" s="18">
        <f t="shared" si="30"/>
        <v>0</v>
      </c>
      <c r="X91" s="18">
        <f t="shared" si="31"/>
        <v>0</v>
      </c>
      <c r="Y91" s="18">
        <f t="shared" si="32"/>
        <v>0</v>
      </c>
      <c r="Z91" s="15">
        <f t="shared" si="33"/>
        <v>1</v>
      </c>
    </row>
    <row r="92" spans="1:26" x14ac:dyDescent="0.25">
      <c r="A92" s="20">
        <v>91</v>
      </c>
      <c r="B92" s="21" t="s">
        <v>435</v>
      </c>
      <c r="C92" s="22" t="s">
        <v>254</v>
      </c>
      <c r="D92" s="20">
        <v>1</v>
      </c>
      <c r="E92" s="20">
        <v>0</v>
      </c>
      <c r="F92" s="20">
        <v>1</v>
      </c>
      <c r="G92" s="23">
        <v>17988</v>
      </c>
      <c r="H92" s="23">
        <v>17988</v>
      </c>
      <c r="I92" s="24" t="s">
        <v>12</v>
      </c>
      <c r="J92" s="16">
        <f t="shared" si="17"/>
        <v>1</v>
      </c>
      <c r="K92" s="16">
        <f t="shared" si="18"/>
        <v>0</v>
      </c>
      <c r="L92" s="15">
        <f t="shared" si="19"/>
        <v>0</v>
      </c>
      <c r="M92" s="15">
        <f t="shared" si="20"/>
        <v>0</v>
      </c>
      <c r="N92" s="15">
        <f t="shared" si="21"/>
        <v>0</v>
      </c>
      <c r="O92" s="16">
        <f t="shared" si="22"/>
        <v>0</v>
      </c>
      <c r="P92" s="15">
        <f t="shared" si="23"/>
        <v>0</v>
      </c>
      <c r="Q92" s="15">
        <f t="shared" si="24"/>
        <v>0</v>
      </c>
      <c r="R92" s="18">
        <f t="shared" si="25"/>
        <v>0</v>
      </c>
      <c r="S92" s="18">
        <f t="shared" si="26"/>
        <v>0</v>
      </c>
      <c r="T92" s="18">
        <f t="shared" si="27"/>
        <v>0</v>
      </c>
      <c r="U92" s="18">
        <f t="shared" si="28"/>
        <v>0</v>
      </c>
      <c r="V92" s="18">
        <f t="shared" si="29"/>
        <v>0</v>
      </c>
      <c r="W92" s="18">
        <f t="shared" si="30"/>
        <v>0</v>
      </c>
      <c r="X92" s="18">
        <f t="shared" si="31"/>
        <v>0</v>
      </c>
      <c r="Y92" s="18">
        <f t="shared" si="32"/>
        <v>0</v>
      </c>
      <c r="Z92" s="15">
        <f t="shared" si="33"/>
        <v>1</v>
      </c>
    </row>
    <row r="93" spans="1:26" x14ac:dyDescent="0.25">
      <c r="A93" s="20">
        <v>92</v>
      </c>
      <c r="B93" s="21" t="s">
        <v>436</v>
      </c>
      <c r="C93" s="22" t="s">
        <v>256</v>
      </c>
      <c r="D93" s="20">
        <v>1</v>
      </c>
      <c r="E93" s="20">
        <v>0</v>
      </c>
      <c r="F93" s="20">
        <v>1</v>
      </c>
      <c r="G93" s="23">
        <v>24672</v>
      </c>
      <c r="H93" s="23">
        <v>24672</v>
      </c>
      <c r="I93" s="24" t="s">
        <v>257</v>
      </c>
      <c r="J93" s="16">
        <f t="shared" si="17"/>
        <v>0</v>
      </c>
      <c r="K93" s="16">
        <f t="shared" si="18"/>
        <v>0</v>
      </c>
      <c r="L93" s="15">
        <f t="shared" si="19"/>
        <v>0</v>
      </c>
      <c r="M93" s="15">
        <f t="shared" si="20"/>
        <v>0</v>
      </c>
      <c r="N93" s="15">
        <f t="shared" si="21"/>
        <v>0</v>
      </c>
      <c r="O93" s="16">
        <f t="shared" si="22"/>
        <v>1</v>
      </c>
      <c r="P93" s="15">
        <f t="shared" si="23"/>
        <v>0</v>
      </c>
      <c r="Q93" s="15">
        <f t="shared" si="24"/>
        <v>0</v>
      </c>
      <c r="R93" s="18">
        <f t="shared" si="25"/>
        <v>0</v>
      </c>
      <c r="S93" s="18">
        <f t="shared" si="26"/>
        <v>0</v>
      </c>
      <c r="T93" s="18">
        <f t="shared" si="27"/>
        <v>0</v>
      </c>
      <c r="U93" s="18">
        <f t="shared" si="28"/>
        <v>0</v>
      </c>
      <c r="V93" s="18">
        <f t="shared" si="29"/>
        <v>0</v>
      </c>
      <c r="W93" s="18">
        <f t="shared" si="30"/>
        <v>0</v>
      </c>
      <c r="X93" s="18">
        <f t="shared" si="31"/>
        <v>0</v>
      </c>
      <c r="Y93" s="18">
        <f t="shared" si="32"/>
        <v>0</v>
      </c>
      <c r="Z93" s="15">
        <f t="shared" si="33"/>
        <v>1</v>
      </c>
    </row>
    <row r="94" spans="1:26" x14ac:dyDescent="0.25">
      <c r="A94" s="20">
        <v>93</v>
      </c>
      <c r="B94" s="21" t="s">
        <v>437</v>
      </c>
      <c r="C94" s="22" t="s">
        <v>259</v>
      </c>
      <c r="D94" s="20">
        <v>1</v>
      </c>
      <c r="E94" s="20">
        <v>0</v>
      </c>
      <c r="F94" s="20">
        <v>1</v>
      </c>
      <c r="G94" s="23">
        <v>28560</v>
      </c>
      <c r="H94" s="23">
        <v>28560</v>
      </c>
      <c r="I94" s="24" t="s">
        <v>257</v>
      </c>
      <c r="J94" s="16">
        <f t="shared" si="17"/>
        <v>0</v>
      </c>
      <c r="K94" s="16">
        <f t="shared" si="18"/>
        <v>0</v>
      </c>
      <c r="L94" s="15">
        <f t="shared" si="19"/>
        <v>0</v>
      </c>
      <c r="M94" s="15">
        <f t="shared" si="20"/>
        <v>0</v>
      </c>
      <c r="N94" s="15">
        <f t="shared" si="21"/>
        <v>0</v>
      </c>
      <c r="O94" s="16">
        <f t="shared" si="22"/>
        <v>1</v>
      </c>
      <c r="P94" s="15">
        <f t="shared" si="23"/>
        <v>0</v>
      </c>
      <c r="Q94" s="15">
        <f t="shared" si="24"/>
        <v>0</v>
      </c>
      <c r="R94" s="18">
        <f t="shared" si="25"/>
        <v>0</v>
      </c>
      <c r="S94" s="18">
        <f t="shared" si="26"/>
        <v>0</v>
      </c>
      <c r="T94" s="18">
        <f t="shared" si="27"/>
        <v>0</v>
      </c>
      <c r="U94" s="18">
        <f t="shared" si="28"/>
        <v>0</v>
      </c>
      <c r="V94" s="18">
        <f t="shared" si="29"/>
        <v>0</v>
      </c>
      <c r="W94" s="18">
        <f t="shared" si="30"/>
        <v>0</v>
      </c>
      <c r="X94" s="18">
        <f t="shared" si="31"/>
        <v>0</v>
      </c>
      <c r="Y94" s="18">
        <f t="shared" si="32"/>
        <v>0</v>
      </c>
      <c r="Z94" s="15">
        <f t="shared" si="33"/>
        <v>1</v>
      </c>
    </row>
    <row r="95" spans="1:26" ht="30" x14ac:dyDescent="0.25">
      <c r="A95" s="20">
        <v>94</v>
      </c>
      <c r="B95" s="21" t="s">
        <v>260</v>
      </c>
      <c r="C95" s="22" t="s">
        <v>261</v>
      </c>
      <c r="D95" s="20">
        <v>11600</v>
      </c>
      <c r="E95" s="20">
        <v>11550</v>
      </c>
      <c r="F95" s="20">
        <v>50</v>
      </c>
      <c r="G95" s="23">
        <v>27.93</v>
      </c>
      <c r="H95" s="23">
        <v>1396.52</v>
      </c>
      <c r="I95" s="24" t="s">
        <v>438</v>
      </c>
      <c r="J95" s="16">
        <f t="shared" si="17"/>
        <v>0</v>
      </c>
      <c r="K95" s="16">
        <f t="shared" si="18"/>
        <v>0</v>
      </c>
      <c r="L95" s="15">
        <f t="shared" si="19"/>
        <v>0</v>
      </c>
      <c r="M95" s="15">
        <f t="shared" si="20"/>
        <v>0</v>
      </c>
      <c r="N95" s="15">
        <f t="shared" si="21"/>
        <v>0</v>
      </c>
      <c r="O95" s="16">
        <f t="shared" si="22"/>
        <v>50</v>
      </c>
      <c r="P95" s="15">
        <f t="shared" si="23"/>
        <v>0</v>
      </c>
      <c r="Q95" s="15">
        <f t="shared" si="24"/>
        <v>0</v>
      </c>
      <c r="R95" s="18">
        <f t="shared" si="25"/>
        <v>0</v>
      </c>
      <c r="S95" s="18">
        <f t="shared" si="26"/>
        <v>0</v>
      </c>
      <c r="T95" s="18">
        <f t="shared" si="27"/>
        <v>0</v>
      </c>
      <c r="U95" s="18">
        <f t="shared" si="28"/>
        <v>0</v>
      </c>
      <c r="V95" s="18">
        <f t="shared" si="29"/>
        <v>0</v>
      </c>
      <c r="W95" s="18">
        <f t="shared" si="30"/>
        <v>0</v>
      </c>
      <c r="X95" s="18">
        <f t="shared" si="31"/>
        <v>0</v>
      </c>
      <c r="Y95" s="18">
        <f t="shared" si="32"/>
        <v>0</v>
      </c>
      <c r="Z95" s="15">
        <f t="shared" si="33"/>
        <v>50</v>
      </c>
    </row>
    <row r="96" spans="1:26" ht="45" x14ac:dyDescent="0.25">
      <c r="A96" s="20">
        <v>95</v>
      </c>
      <c r="B96" s="21" t="s">
        <v>263</v>
      </c>
      <c r="C96" s="22" t="s">
        <v>264</v>
      </c>
      <c r="D96" s="20">
        <v>500</v>
      </c>
      <c r="E96" s="20">
        <v>100</v>
      </c>
      <c r="F96" s="20">
        <v>400</v>
      </c>
      <c r="G96" s="23">
        <v>167.64</v>
      </c>
      <c r="H96" s="23">
        <v>67056</v>
      </c>
      <c r="I96" s="24" t="s">
        <v>265</v>
      </c>
      <c r="J96" s="16">
        <f t="shared" si="17"/>
        <v>0</v>
      </c>
      <c r="K96" s="16">
        <f t="shared" si="18"/>
        <v>0</v>
      </c>
      <c r="L96" s="15">
        <f t="shared" si="19"/>
        <v>400</v>
      </c>
      <c r="M96" s="15">
        <f t="shared" si="20"/>
        <v>0</v>
      </c>
      <c r="N96" s="15">
        <f t="shared" si="21"/>
        <v>0</v>
      </c>
      <c r="O96" s="16">
        <f t="shared" si="22"/>
        <v>0</v>
      </c>
      <c r="P96" s="15">
        <f t="shared" si="23"/>
        <v>0</v>
      </c>
      <c r="Q96" s="15">
        <f t="shared" si="24"/>
        <v>0</v>
      </c>
      <c r="R96" s="18">
        <f t="shared" si="25"/>
        <v>0</v>
      </c>
      <c r="S96" s="18">
        <f t="shared" si="26"/>
        <v>0</v>
      </c>
      <c r="T96" s="18">
        <f t="shared" si="27"/>
        <v>0</v>
      </c>
      <c r="U96" s="18">
        <f t="shared" si="28"/>
        <v>0</v>
      </c>
      <c r="V96" s="18">
        <f t="shared" si="29"/>
        <v>0</v>
      </c>
      <c r="W96" s="18">
        <f t="shared" si="30"/>
        <v>0</v>
      </c>
      <c r="X96" s="18">
        <f t="shared" si="31"/>
        <v>0</v>
      </c>
      <c r="Y96" s="18">
        <f t="shared" si="32"/>
        <v>0</v>
      </c>
      <c r="Z96" s="15">
        <f t="shared" si="33"/>
        <v>400</v>
      </c>
    </row>
    <row r="97" spans="1:26" ht="45" x14ac:dyDescent="0.25">
      <c r="A97" s="20">
        <v>96</v>
      </c>
      <c r="B97" s="21" t="s">
        <v>266</v>
      </c>
      <c r="C97" s="22" t="s">
        <v>267</v>
      </c>
      <c r="D97" s="20">
        <v>397</v>
      </c>
      <c r="E97" s="20">
        <v>394</v>
      </c>
      <c r="F97" s="20">
        <v>3</v>
      </c>
      <c r="G97" s="23">
        <v>1128.6500000000001</v>
      </c>
      <c r="H97" s="23">
        <v>3385.96</v>
      </c>
      <c r="I97" s="24" t="s">
        <v>268</v>
      </c>
      <c r="J97" s="16">
        <f t="shared" si="17"/>
        <v>0</v>
      </c>
      <c r="K97" s="16">
        <f t="shared" si="18"/>
        <v>0</v>
      </c>
      <c r="L97" s="15">
        <f t="shared" si="19"/>
        <v>0</v>
      </c>
      <c r="M97" s="15">
        <f t="shared" si="20"/>
        <v>0</v>
      </c>
      <c r="N97" s="15">
        <f t="shared" si="21"/>
        <v>0</v>
      </c>
      <c r="O97" s="16">
        <f t="shared" si="22"/>
        <v>3</v>
      </c>
      <c r="P97" s="15">
        <f t="shared" si="23"/>
        <v>0</v>
      </c>
      <c r="Q97" s="15">
        <f t="shared" si="24"/>
        <v>0</v>
      </c>
      <c r="R97" s="18">
        <f t="shared" si="25"/>
        <v>0</v>
      </c>
      <c r="S97" s="18">
        <f t="shared" si="26"/>
        <v>0</v>
      </c>
      <c r="T97" s="18">
        <f t="shared" si="27"/>
        <v>0</v>
      </c>
      <c r="U97" s="18">
        <f t="shared" si="28"/>
        <v>0</v>
      </c>
      <c r="V97" s="18">
        <f t="shared" si="29"/>
        <v>0</v>
      </c>
      <c r="W97" s="18">
        <f t="shared" si="30"/>
        <v>0</v>
      </c>
      <c r="X97" s="18">
        <f t="shared" si="31"/>
        <v>0</v>
      </c>
      <c r="Y97" s="18">
        <f t="shared" si="32"/>
        <v>0</v>
      </c>
      <c r="Z97" s="15">
        <f t="shared" si="33"/>
        <v>3</v>
      </c>
    </row>
    <row r="98" spans="1:26" ht="30" x14ac:dyDescent="0.25">
      <c r="A98" s="20">
        <v>97</v>
      </c>
      <c r="B98" s="21" t="s">
        <v>269</v>
      </c>
      <c r="C98" s="22" t="s">
        <v>270</v>
      </c>
      <c r="D98" s="20">
        <v>10</v>
      </c>
      <c r="E98" s="20">
        <v>0</v>
      </c>
      <c r="F98" s="20">
        <v>10</v>
      </c>
      <c r="G98" s="23">
        <v>28000</v>
      </c>
      <c r="H98" s="23">
        <v>280000</v>
      </c>
      <c r="I98" s="24" t="s">
        <v>15</v>
      </c>
      <c r="J98" s="16">
        <f t="shared" si="17"/>
        <v>10</v>
      </c>
      <c r="K98" s="16">
        <f t="shared" si="18"/>
        <v>0</v>
      </c>
      <c r="L98" s="15">
        <f t="shared" si="19"/>
        <v>0</v>
      </c>
      <c r="M98" s="15">
        <f t="shared" si="20"/>
        <v>0</v>
      </c>
      <c r="N98" s="15">
        <f t="shared" si="21"/>
        <v>0</v>
      </c>
      <c r="O98" s="16">
        <f t="shared" si="22"/>
        <v>0</v>
      </c>
      <c r="P98" s="15">
        <f t="shared" si="23"/>
        <v>0</v>
      </c>
      <c r="Q98" s="15">
        <f t="shared" si="24"/>
        <v>0</v>
      </c>
      <c r="R98" s="18">
        <f t="shared" si="25"/>
        <v>0</v>
      </c>
      <c r="S98" s="18">
        <f t="shared" si="26"/>
        <v>0</v>
      </c>
      <c r="T98" s="18">
        <f t="shared" si="27"/>
        <v>0</v>
      </c>
      <c r="U98" s="18">
        <f t="shared" si="28"/>
        <v>0</v>
      </c>
      <c r="V98" s="18">
        <f t="shared" si="29"/>
        <v>0</v>
      </c>
      <c r="W98" s="18">
        <f t="shared" si="30"/>
        <v>0</v>
      </c>
      <c r="X98" s="18">
        <f t="shared" si="31"/>
        <v>0</v>
      </c>
      <c r="Y98" s="18">
        <f t="shared" si="32"/>
        <v>0</v>
      </c>
      <c r="Z98" s="15">
        <f t="shared" si="33"/>
        <v>10</v>
      </c>
    </row>
    <row r="99" spans="1:26" ht="30" x14ac:dyDescent="0.25">
      <c r="A99" s="20">
        <v>98</v>
      </c>
      <c r="B99" s="21" t="s">
        <v>271</v>
      </c>
      <c r="C99" s="22" t="s">
        <v>272</v>
      </c>
      <c r="D99" s="20">
        <v>2</v>
      </c>
      <c r="E99" s="20">
        <v>0</v>
      </c>
      <c r="F99" s="20">
        <v>2</v>
      </c>
      <c r="G99" s="23">
        <v>175</v>
      </c>
      <c r="H99" s="23">
        <v>350</v>
      </c>
      <c r="I99" s="24" t="s">
        <v>87</v>
      </c>
      <c r="J99" s="16">
        <f t="shared" si="17"/>
        <v>2</v>
      </c>
      <c r="K99" s="16">
        <f t="shared" si="18"/>
        <v>0</v>
      </c>
      <c r="L99" s="15">
        <f t="shared" si="19"/>
        <v>0</v>
      </c>
      <c r="M99" s="15">
        <f t="shared" si="20"/>
        <v>0</v>
      </c>
      <c r="N99" s="15">
        <f t="shared" si="21"/>
        <v>0</v>
      </c>
      <c r="O99" s="16">
        <f t="shared" si="22"/>
        <v>0</v>
      </c>
      <c r="P99" s="15">
        <f t="shared" si="23"/>
        <v>0</v>
      </c>
      <c r="Q99" s="15">
        <f t="shared" si="24"/>
        <v>0</v>
      </c>
      <c r="R99" s="18">
        <f t="shared" si="25"/>
        <v>0</v>
      </c>
      <c r="S99" s="18">
        <f t="shared" si="26"/>
        <v>0</v>
      </c>
      <c r="T99" s="18">
        <f t="shared" si="27"/>
        <v>0</v>
      </c>
      <c r="U99" s="18">
        <f t="shared" si="28"/>
        <v>0</v>
      </c>
      <c r="V99" s="18">
        <f t="shared" si="29"/>
        <v>0</v>
      </c>
      <c r="W99" s="18">
        <f t="shared" si="30"/>
        <v>0</v>
      </c>
      <c r="X99" s="18">
        <f t="shared" si="31"/>
        <v>0</v>
      </c>
      <c r="Y99" s="18">
        <f t="shared" si="32"/>
        <v>0</v>
      </c>
      <c r="Z99" s="15">
        <f t="shared" si="33"/>
        <v>2</v>
      </c>
    </row>
    <row r="100" spans="1:26" ht="60" x14ac:dyDescent="0.25">
      <c r="A100" s="20">
        <v>99</v>
      </c>
      <c r="B100" s="21" t="s">
        <v>273</v>
      </c>
      <c r="C100" s="22" t="s">
        <v>274</v>
      </c>
      <c r="D100" s="20">
        <v>61</v>
      </c>
      <c r="E100" s="20">
        <v>4</v>
      </c>
      <c r="F100" s="20">
        <v>57</v>
      </c>
      <c r="G100" s="23">
        <v>5170.49</v>
      </c>
      <c r="H100" s="23">
        <v>294718.03000000003</v>
      </c>
      <c r="I100" s="24" t="s">
        <v>439</v>
      </c>
      <c r="J100" s="16">
        <f t="shared" si="17"/>
        <v>0</v>
      </c>
      <c r="K100" s="16">
        <f t="shared" si="18"/>
        <v>0</v>
      </c>
      <c r="L100" s="15">
        <f t="shared" si="19"/>
        <v>0</v>
      </c>
      <c r="M100" s="15">
        <f t="shared" si="20"/>
        <v>0</v>
      </c>
      <c r="N100" s="15">
        <f t="shared" si="21"/>
        <v>0</v>
      </c>
      <c r="O100" s="16">
        <f t="shared" si="22"/>
        <v>0</v>
      </c>
      <c r="P100" s="15">
        <f t="shared" si="23"/>
        <v>0</v>
      </c>
      <c r="Q100" s="15">
        <f t="shared" si="24"/>
        <v>0</v>
      </c>
      <c r="R100" s="18">
        <f t="shared" si="25"/>
        <v>0</v>
      </c>
      <c r="S100" s="18">
        <f t="shared" si="26"/>
        <v>0</v>
      </c>
      <c r="T100" s="18">
        <f t="shared" si="27"/>
        <v>0</v>
      </c>
      <c r="U100" s="18">
        <f>IFERROR(VALUE(MID(I100, SEARCH("Controlplus=", I100) + 11, SEARCH(",", I100 &amp; ",", SEARCH("Controlplus=", I100) + 11) - SEARCH("Controlplus=", I100) - 11)), 0)+57</f>
        <v>57</v>
      </c>
      <c r="V100" s="18">
        <f t="shared" si="29"/>
        <v>0</v>
      </c>
      <c r="W100" s="18">
        <f t="shared" si="30"/>
        <v>0</v>
      </c>
      <c r="X100" s="18">
        <f t="shared" si="31"/>
        <v>0</v>
      </c>
      <c r="Y100" s="18">
        <f t="shared" si="32"/>
        <v>0</v>
      </c>
      <c r="Z100" s="15">
        <f t="shared" si="33"/>
        <v>57</v>
      </c>
    </row>
    <row r="101" spans="1:26" ht="30" x14ac:dyDescent="0.25">
      <c r="A101" s="20">
        <v>100</v>
      </c>
      <c r="B101" s="21" t="s">
        <v>276</v>
      </c>
      <c r="C101" s="22" t="s">
        <v>277</v>
      </c>
      <c r="D101" s="20">
        <v>303</v>
      </c>
      <c r="E101" s="20">
        <v>47</v>
      </c>
      <c r="F101" s="20">
        <v>256</v>
      </c>
      <c r="G101" s="23">
        <v>4840</v>
      </c>
      <c r="H101" s="23">
        <v>1239040</v>
      </c>
      <c r="I101" s="24" t="s">
        <v>440</v>
      </c>
      <c r="J101" s="16">
        <f t="shared" si="17"/>
        <v>256</v>
      </c>
      <c r="K101" s="16">
        <f t="shared" si="18"/>
        <v>0</v>
      </c>
      <c r="L101" s="15">
        <f t="shared" si="19"/>
        <v>0</v>
      </c>
      <c r="M101" s="15">
        <f t="shared" si="20"/>
        <v>0</v>
      </c>
      <c r="N101" s="15">
        <f t="shared" si="21"/>
        <v>0</v>
      </c>
      <c r="O101" s="16">
        <f t="shared" si="22"/>
        <v>0</v>
      </c>
      <c r="P101" s="15">
        <f t="shared" si="23"/>
        <v>0</v>
      </c>
      <c r="Q101" s="15">
        <f t="shared" si="24"/>
        <v>0</v>
      </c>
      <c r="R101" s="18">
        <f t="shared" si="25"/>
        <v>0</v>
      </c>
      <c r="S101" s="18">
        <f t="shared" si="26"/>
        <v>0</v>
      </c>
      <c r="T101" s="18">
        <f t="shared" si="27"/>
        <v>0</v>
      </c>
      <c r="U101" s="18">
        <f t="shared" si="28"/>
        <v>0</v>
      </c>
      <c r="V101" s="18">
        <f t="shared" si="29"/>
        <v>0</v>
      </c>
      <c r="W101" s="18">
        <f t="shared" si="30"/>
        <v>0</v>
      </c>
      <c r="X101" s="18">
        <f t="shared" si="31"/>
        <v>0</v>
      </c>
      <c r="Y101" s="18">
        <f t="shared" si="32"/>
        <v>0</v>
      </c>
      <c r="Z101" s="15">
        <f t="shared" si="33"/>
        <v>256</v>
      </c>
    </row>
    <row r="102" spans="1:26" ht="30" x14ac:dyDescent="0.25">
      <c r="A102" s="20">
        <v>101</v>
      </c>
      <c r="B102" s="21" t="s">
        <v>279</v>
      </c>
      <c r="C102" s="22" t="s">
        <v>280</v>
      </c>
      <c r="D102" s="20">
        <v>30</v>
      </c>
      <c r="E102" s="20">
        <v>28</v>
      </c>
      <c r="F102" s="20">
        <v>2</v>
      </c>
      <c r="G102" s="23">
        <v>2500</v>
      </c>
      <c r="H102" s="23">
        <v>5000</v>
      </c>
      <c r="I102" s="24" t="s">
        <v>87</v>
      </c>
      <c r="J102" s="16">
        <f t="shared" si="17"/>
        <v>2</v>
      </c>
      <c r="K102" s="16">
        <f t="shared" si="18"/>
        <v>0</v>
      </c>
      <c r="L102" s="15">
        <f t="shared" si="19"/>
        <v>0</v>
      </c>
      <c r="M102" s="15">
        <f t="shared" si="20"/>
        <v>0</v>
      </c>
      <c r="N102" s="15">
        <f t="shared" si="21"/>
        <v>0</v>
      </c>
      <c r="O102" s="16">
        <f t="shared" si="22"/>
        <v>0</v>
      </c>
      <c r="P102" s="15">
        <f t="shared" si="23"/>
        <v>0</v>
      </c>
      <c r="Q102" s="15">
        <f t="shared" si="24"/>
        <v>0</v>
      </c>
      <c r="R102" s="18">
        <f t="shared" si="25"/>
        <v>0</v>
      </c>
      <c r="S102" s="18">
        <f t="shared" si="26"/>
        <v>0</v>
      </c>
      <c r="T102" s="18">
        <f t="shared" si="27"/>
        <v>0</v>
      </c>
      <c r="U102" s="18">
        <f t="shared" si="28"/>
        <v>0</v>
      </c>
      <c r="V102" s="18">
        <f t="shared" si="29"/>
        <v>0</v>
      </c>
      <c r="W102" s="18">
        <f t="shared" si="30"/>
        <v>0</v>
      </c>
      <c r="X102" s="18">
        <f t="shared" si="31"/>
        <v>0</v>
      </c>
      <c r="Y102" s="18">
        <f t="shared" si="32"/>
        <v>0</v>
      </c>
      <c r="Z102" s="15">
        <f t="shared" si="33"/>
        <v>2</v>
      </c>
    </row>
    <row r="103" spans="1:26" ht="30" x14ac:dyDescent="0.25">
      <c r="A103" s="20">
        <v>102</v>
      </c>
      <c r="B103" s="21" t="s">
        <v>281</v>
      </c>
      <c r="C103" s="22" t="s">
        <v>282</v>
      </c>
      <c r="D103" s="20">
        <v>303</v>
      </c>
      <c r="E103" s="20">
        <v>55</v>
      </c>
      <c r="F103" s="20">
        <v>248</v>
      </c>
      <c r="G103" s="23">
        <v>2587</v>
      </c>
      <c r="H103" s="23">
        <v>641576</v>
      </c>
      <c r="I103" s="24" t="s">
        <v>441</v>
      </c>
      <c r="J103" s="16">
        <f t="shared" si="17"/>
        <v>0</v>
      </c>
      <c r="K103" s="16">
        <f t="shared" si="18"/>
        <v>0</v>
      </c>
      <c r="L103" s="15">
        <f t="shared" si="19"/>
        <v>0</v>
      </c>
      <c r="M103" s="15">
        <f t="shared" si="20"/>
        <v>0</v>
      </c>
      <c r="N103" s="15">
        <f>IFERROR(VALUE(MID(I103, SEARCH("Krishant=", I103) + 9, SEARCH(",", I103 &amp; ",", SEARCH("Krishant=", I103) + 9) - SEARCH("Krishant=", I103) - 9)), 0)+165+3</f>
        <v>248</v>
      </c>
      <c r="O103" s="16">
        <f t="shared" si="22"/>
        <v>0</v>
      </c>
      <c r="P103" s="15">
        <f t="shared" si="23"/>
        <v>0</v>
      </c>
      <c r="Q103" s="15">
        <f t="shared" si="24"/>
        <v>0</v>
      </c>
      <c r="R103" s="18">
        <f t="shared" si="25"/>
        <v>0</v>
      </c>
      <c r="S103" s="18">
        <f t="shared" si="26"/>
        <v>0</v>
      </c>
      <c r="T103" s="18">
        <f t="shared" si="27"/>
        <v>0</v>
      </c>
      <c r="U103" s="18">
        <f t="shared" si="28"/>
        <v>0</v>
      </c>
      <c r="V103" s="18">
        <f t="shared" si="29"/>
        <v>0</v>
      </c>
      <c r="W103" s="18">
        <f t="shared" si="30"/>
        <v>0</v>
      </c>
      <c r="X103" s="18">
        <f t="shared" si="31"/>
        <v>0</v>
      </c>
      <c r="Y103" s="18">
        <f t="shared" si="32"/>
        <v>0</v>
      </c>
      <c r="Z103" s="15">
        <f t="shared" si="33"/>
        <v>248</v>
      </c>
    </row>
    <row r="104" spans="1:26" ht="45" x14ac:dyDescent="0.25">
      <c r="A104" s="20">
        <v>103</v>
      </c>
      <c r="B104" s="21" t="s">
        <v>442</v>
      </c>
      <c r="C104" s="22" t="s">
        <v>285</v>
      </c>
      <c r="D104" s="20">
        <v>1701</v>
      </c>
      <c r="E104" s="20">
        <v>1699</v>
      </c>
      <c r="F104" s="20">
        <v>2</v>
      </c>
      <c r="G104" s="23">
        <v>93</v>
      </c>
      <c r="H104" s="23">
        <v>186</v>
      </c>
      <c r="I104" s="24" t="s">
        <v>286</v>
      </c>
      <c r="J104" s="16">
        <f t="shared" si="17"/>
        <v>0</v>
      </c>
      <c r="K104" s="16">
        <f t="shared" si="18"/>
        <v>1</v>
      </c>
      <c r="L104" s="15">
        <f t="shared" si="19"/>
        <v>0</v>
      </c>
      <c r="M104" s="15">
        <f t="shared" si="20"/>
        <v>0</v>
      </c>
      <c r="N104" s="15">
        <f t="shared" si="21"/>
        <v>0</v>
      </c>
      <c r="O104" s="16">
        <f t="shared" si="22"/>
        <v>0</v>
      </c>
      <c r="P104" s="15">
        <f t="shared" si="23"/>
        <v>0</v>
      </c>
      <c r="Q104" s="15">
        <f t="shared" si="24"/>
        <v>0</v>
      </c>
      <c r="R104" s="18">
        <f t="shared" si="25"/>
        <v>0</v>
      </c>
      <c r="S104" s="18">
        <f t="shared" si="26"/>
        <v>1</v>
      </c>
      <c r="T104" s="18">
        <f t="shared" si="27"/>
        <v>0</v>
      </c>
      <c r="U104" s="18">
        <f t="shared" si="28"/>
        <v>0</v>
      </c>
      <c r="V104" s="18">
        <f t="shared" si="29"/>
        <v>0</v>
      </c>
      <c r="W104" s="18">
        <f t="shared" si="30"/>
        <v>0</v>
      </c>
      <c r="X104" s="18">
        <f t="shared" si="31"/>
        <v>0</v>
      </c>
      <c r="Y104" s="18">
        <f t="shared" si="32"/>
        <v>0</v>
      </c>
      <c r="Z104" s="15">
        <f t="shared" si="33"/>
        <v>2</v>
      </c>
    </row>
    <row r="105" spans="1:26" ht="60" x14ac:dyDescent="0.25">
      <c r="A105" s="20">
        <v>104</v>
      </c>
      <c r="B105" s="21" t="s">
        <v>287</v>
      </c>
      <c r="C105" s="22" t="s">
        <v>288</v>
      </c>
      <c r="D105" s="20">
        <v>600</v>
      </c>
      <c r="E105" s="20">
        <v>0</v>
      </c>
      <c r="F105" s="20">
        <v>600</v>
      </c>
      <c r="G105" s="23">
        <v>22</v>
      </c>
      <c r="H105" s="23">
        <v>13200</v>
      </c>
      <c r="I105" s="24" t="s">
        <v>289</v>
      </c>
      <c r="J105" s="16">
        <f t="shared" si="17"/>
        <v>600</v>
      </c>
      <c r="K105" s="16">
        <f t="shared" si="18"/>
        <v>0</v>
      </c>
      <c r="L105" s="15">
        <f t="shared" si="19"/>
        <v>0</v>
      </c>
      <c r="M105" s="15">
        <f t="shared" si="20"/>
        <v>0</v>
      </c>
      <c r="N105" s="15">
        <f t="shared" si="21"/>
        <v>0</v>
      </c>
      <c r="O105" s="16">
        <f t="shared" si="22"/>
        <v>0</v>
      </c>
      <c r="P105" s="15">
        <f t="shared" si="23"/>
        <v>0</v>
      </c>
      <c r="Q105" s="15">
        <f t="shared" si="24"/>
        <v>0</v>
      </c>
      <c r="R105" s="18">
        <f t="shared" si="25"/>
        <v>0</v>
      </c>
      <c r="S105" s="18">
        <f t="shared" si="26"/>
        <v>0</v>
      </c>
      <c r="T105" s="18">
        <f t="shared" si="27"/>
        <v>0</v>
      </c>
      <c r="U105" s="18">
        <f t="shared" si="28"/>
        <v>0</v>
      </c>
      <c r="V105" s="18">
        <f t="shared" si="29"/>
        <v>0</v>
      </c>
      <c r="W105" s="18">
        <f t="shared" si="30"/>
        <v>0</v>
      </c>
      <c r="X105" s="18">
        <f t="shared" si="31"/>
        <v>0</v>
      </c>
      <c r="Y105" s="18">
        <f t="shared" si="32"/>
        <v>0</v>
      </c>
      <c r="Z105" s="15">
        <f t="shared" si="33"/>
        <v>600</v>
      </c>
    </row>
    <row r="106" spans="1:26" ht="75" x14ac:dyDescent="0.25">
      <c r="A106" s="20">
        <v>105</v>
      </c>
      <c r="B106" s="21" t="s">
        <v>290</v>
      </c>
      <c r="C106" s="22" t="s">
        <v>291</v>
      </c>
      <c r="D106" s="20">
        <v>150</v>
      </c>
      <c r="E106" s="20">
        <v>0</v>
      </c>
      <c r="F106" s="20">
        <v>150</v>
      </c>
      <c r="G106" s="23">
        <v>48</v>
      </c>
      <c r="H106" s="23">
        <v>7200</v>
      </c>
      <c r="I106" s="24" t="s">
        <v>292</v>
      </c>
      <c r="J106" s="16">
        <f t="shared" si="17"/>
        <v>150</v>
      </c>
      <c r="K106" s="16">
        <f t="shared" si="18"/>
        <v>0</v>
      </c>
      <c r="L106" s="15">
        <f t="shared" si="19"/>
        <v>0</v>
      </c>
      <c r="M106" s="15">
        <f t="shared" si="20"/>
        <v>0</v>
      </c>
      <c r="N106" s="15">
        <f t="shared" si="21"/>
        <v>0</v>
      </c>
      <c r="O106" s="16">
        <f t="shared" si="22"/>
        <v>0</v>
      </c>
      <c r="P106" s="15">
        <f t="shared" si="23"/>
        <v>0</v>
      </c>
      <c r="Q106" s="15">
        <f t="shared" si="24"/>
        <v>0</v>
      </c>
      <c r="R106" s="18">
        <f t="shared" si="25"/>
        <v>0</v>
      </c>
      <c r="S106" s="18">
        <f t="shared" si="26"/>
        <v>0</v>
      </c>
      <c r="T106" s="18">
        <f t="shared" si="27"/>
        <v>0</v>
      </c>
      <c r="U106" s="18">
        <f t="shared" si="28"/>
        <v>0</v>
      </c>
      <c r="V106" s="18">
        <f t="shared" si="29"/>
        <v>0</v>
      </c>
      <c r="W106" s="18">
        <f t="shared" si="30"/>
        <v>0</v>
      </c>
      <c r="X106" s="18">
        <f t="shared" si="31"/>
        <v>0</v>
      </c>
      <c r="Y106" s="18">
        <f t="shared" si="32"/>
        <v>0</v>
      </c>
      <c r="Z106" s="15">
        <f t="shared" si="33"/>
        <v>150</v>
      </c>
    </row>
    <row r="107" spans="1:26" ht="75" x14ac:dyDescent="0.25">
      <c r="A107" s="20">
        <v>106</v>
      </c>
      <c r="B107" s="21" t="s">
        <v>293</v>
      </c>
      <c r="C107" s="22" t="s">
        <v>294</v>
      </c>
      <c r="D107" s="20">
        <v>9</v>
      </c>
      <c r="E107" s="20">
        <v>1</v>
      </c>
      <c r="F107" s="20">
        <v>8</v>
      </c>
      <c r="G107" s="23">
        <v>10222.219999999999</v>
      </c>
      <c r="H107" s="23">
        <v>81777.78</v>
      </c>
      <c r="I107" s="24" t="s">
        <v>295</v>
      </c>
      <c r="J107" s="16">
        <f t="shared" si="17"/>
        <v>1</v>
      </c>
      <c r="K107" s="16">
        <f>IFERROR(VALUE(MID(I107, SEARCH("TS=", I107) + 3, SEARCH(",", I107 &amp; ",", SEARCH("TS=", I107) + 3) - SEARCH("TS=", I107) - 3)), 0)+6</f>
        <v>6</v>
      </c>
      <c r="L107" s="15">
        <f t="shared" si="19"/>
        <v>0</v>
      </c>
      <c r="M107" s="15">
        <f t="shared" si="20"/>
        <v>0</v>
      </c>
      <c r="N107" s="15">
        <f t="shared" si="21"/>
        <v>0</v>
      </c>
      <c r="O107" s="16">
        <f t="shared" si="22"/>
        <v>0</v>
      </c>
      <c r="P107" s="15">
        <f t="shared" si="23"/>
        <v>0</v>
      </c>
      <c r="Q107" s="15">
        <f t="shared" si="24"/>
        <v>0</v>
      </c>
      <c r="R107" s="18">
        <f t="shared" si="25"/>
        <v>0</v>
      </c>
      <c r="S107" s="18">
        <f t="shared" si="26"/>
        <v>0</v>
      </c>
      <c r="T107" s="18">
        <f t="shared" si="27"/>
        <v>1</v>
      </c>
      <c r="U107" s="18">
        <f t="shared" si="28"/>
        <v>0</v>
      </c>
      <c r="V107" s="18">
        <f t="shared" si="29"/>
        <v>0</v>
      </c>
      <c r="W107" s="18">
        <f t="shared" si="30"/>
        <v>0</v>
      </c>
      <c r="X107" s="18">
        <f t="shared" si="31"/>
        <v>0</v>
      </c>
      <c r="Y107" s="18">
        <f t="shared" si="32"/>
        <v>0</v>
      </c>
      <c r="Z107" s="15">
        <f t="shared" si="33"/>
        <v>8</v>
      </c>
    </row>
    <row r="108" spans="1:26" ht="30" x14ac:dyDescent="0.25">
      <c r="A108" s="20">
        <v>107</v>
      </c>
      <c r="B108" s="21" t="s">
        <v>296</v>
      </c>
      <c r="C108" s="22" t="s">
        <v>297</v>
      </c>
      <c r="D108" s="20">
        <v>403</v>
      </c>
      <c r="E108" s="20">
        <v>215</v>
      </c>
      <c r="F108" s="20">
        <v>188</v>
      </c>
      <c r="G108" s="23">
        <v>6820.35</v>
      </c>
      <c r="H108" s="23">
        <v>1282225.31</v>
      </c>
      <c r="I108" s="24" t="s">
        <v>298</v>
      </c>
      <c r="J108" s="16">
        <f>IFERROR(VALUE(MID(I108, SEARCH("Sakar=", I108) + 6, SEARCH(",", I108 &amp; ",", SEARCH("Sakar=", I108) + 6) - SEARCH("Sakar=", I108) - 6)), 0)+85+100</f>
        <v>186</v>
      </c>
      <c r="K108" s="16">
        <f>IFERROR(VALUE(MID(I108, SEARCH("TS=", I108) + 3, SEARCH(",", I108 &amp; ",", SEARCH("TS=", I108) + 3) - SEARCH("TS=", I108) - 3)), 0)+1</f>
        <v>2</v>
      </c>
      <c r="L108" s="15">
        <f t="shared" si="19"/>
        <v>0</v>
      </c>
      <c r="M108" s="15">
        <f t="shared" si="20"/>
        <v>0</v>
      </c>
      <c r="N108" s="15">
        <f t="shared" si="21"/>
        <v>0</v>
      </c>
      <c r="O108" s="16">
        <f t="shared" si="22"/>
        <v>0</v>
      </c>
      <c r="P108" s="15">
        <f t="shared" si="23"/>
        <v>0</v>
      </c>
      <c r="Q108" s="15">
        <f t="shared" si="24"/>
        <v>0</v>
      </c>
      <c r="R108" s="18">
        <f t="shared" si="25"/>
        <v>0</v>
      </c>
      <c r="S108" s="18">
        <f t="shared" si="26"/>
        <v>0</v>
      </c>
      <c r="T108" s="18">
        <f t="shared" si="27"/>
        <v>0</v>
      </c>
      <c r="U108" s="18">
        <f t="shared" si="28"/>
        <v>0</v>
      </c>
      <c r="V108" s="18">
        <f t="shared" si="29"/>
        <v>0</v>
      </c>
      <c r="W108" s="18">
        <f t="shared" si="30"/>
        <v>0</v>
      </c>
      <c r="X108" s="18">
        <f t="shared" si="31"/>
        <v>0</v>
      </c>
      <c r="Y108" s="18">
        <f t="shared" si="32"/>
        <v>0</v>
      </c>
      <c r="Z108" s="15">
        <f t="shared" si="33"/>
        <v>188</v>
      </c>
    </row>
    <row r="109" spans="1:26" x14ac:dyDescent="0.25">
      <c r="A109" s="20">
        <v>108</v>
      </c>
      <c r="B109" s="21" t="s">
        <v>299</v>
      </c>
      <c r="C109" s="22" t="s">
        <v>300</v>
      </c>
      <c r="D109" s="20">
        <v>3</v>
      </c>
      <c r="E109" s="20">
        <v>0</v>
      </c>
      <c r="F109" s="20">
        <v>3</v>
      </c>
      <c r="G109" s="23">
        <v>20100</v>
      </c>
      <c r="H109" s="23">
        <v>60300</v>
      </c>
      <c r="I109" s="24" t="s">
        <v>60</v>
      </c>
      <c r="J109" s="16">
        <f t="shared" si="17"/>
        <v>3</v>
      </c>
      <c r="K109" s="16">
        <f t="shared" si="18"/>
        <v>0</v>
      </c>
      <c r="L109" s="15">
        <f t="shared" si="19"/>
        <v>0</v>
      </c>
      <c r="M109" s="15">
        <f t="shared" si="20"/>
        <v>0</v>
      </c>
      <c r="N109" s="15">
        <f t="shared" si="21"/>
        <v>0</v>
      </c>
      <c r="O109" s="16">
        <f t="shared" si="22"/>
        <v>0</v>
      </c>
      <c r="P109" s="15">
        <f t="shared" si="23"/>
        <v>0</v>
      </c>
      <c r="Q109" s="15">
        <f t="shared" si="24"/>
        <v>0</v>
      </c>
      <c r="R109" s="18">
        <f t="shared" si="25"/>
        <v>0</v>
      </c>
      <c r="S109" s="18">
        <f t="shared" si="26"/>
        <v>0</v>
      </c>
      <c r="T109" s="18">
        <f t="shared" si="27"/>
        <v>0</v>
      </c>
      <c r="U109" s="18">
        <f t="shared" si="28"/>
        <v>0</v>
      </c>
      <c r="V109" s="18">
        <f t="shared" si="29"/>
        <v>0</v>
      </c>
      <c r="W109" s="18">
        <f t="shared" si="30"/>
        <v>0</v>
      </c>
      <c r="X109" s="18">
        <f t="shared" si="31"/>
        <v>0</v>
      </c>
      <c r="Y109" s="18">
        <f t="shared" si="32"/>
        <v>0</v>
      </c>
      <c r="Z109" s="15">
        <f t="shared" si="33"/>
        <v>3</v>
      </c>
    </row>
    <row r="110" spans="1:26" x14ac:dyDescent="0.25">
      <c r="A110" s="20">
        <v>109</v>
      </c>
      <c r="B110" s="21" t="s">
        <v>301</v>
      </c>
      <c r="C110" s="22" t="s">
        <v>302</v>
      </c>
      <c r="D110" s="20">
        <v>2</v>
      </c>
      <c r="E110" s="20">
        <v>1</v>
      </c>
      <c r="F110" s="20">
        <v>1</v>
      </c>
      <c r="G110" s="23">
        <v>20700</v>
      </c>
      <c r="H110" s="23">
        <v>20700</v>
      </c>
      <c r="I110" s="24" t="s">
        <v>12</v>
      </c>
      <c r="J110" s="16">
        <f t="shared" si="17"/>
        <v>1</v>
      </c>
      <c r="K110" s="16">
        <f t="shared" si="18"/>
        <v>0</v>
      </c>
      <c r="L110" s="15">
        <f t="shared" si="19"/>
        <v>0</v>
      </c>
      <c r="M110" s="15">
        <f t="shared" si="20"/>
        <v>0</v>
      </c>
      <c r="N110" s="15">
        <f t="shared" si="21"/>
        <v>0</v>
      </c>
      <c r="O110" s="16">
        <f t="shared" si="22"/>
        <v>0</v>
      </c>
      <c r="P110" s="15">
        <f t="shared" si="23"/>
        <v>0</v>
      </c>
      <c r="Q110" s="15">
        <f t="shared" si="24"/>
        <v>0</v>
      </c>
      <c r="R110" s="18">
        <f t="shared" si="25"/>
        <v>0</v>
      </c>
      <c r="S110" s="18">
        <f t="shared" si="26"/>
        <v>0</v>
      </c>
      <c r="T110" s="18">
        <f t="shared" si="27"/>
        <v>0</v>
      </c>
      <c r="U110" s="18">
        <f t="shared" si="28"/>
        <v>0</v>
      </c>
      <c r="V110" s="18">
        <f t="shared" si="29"/>
        <v>0</v>
      </c>
      <c r="W110" s="18">
        <f t="shared" si="30"/>
        <v>0</v>
      </c>
      <c r="X110" s="18">
        <f t="shared" si="31"/>
        <v>0</v>
      </c>
      <c r="Y110" s="18">
        <f t="shared" si="32"/>
        <v>0</v>
      </c>
      <c r="Z110" s="15">
        <f t="shared" si="33"/>
        <v>1</v>
      </c>
    </row>
    <row r="111" spans="1:26" ht="60" x14ac:dyDescent="0.25">
      <c r="A111" s="20">
        <v>110</v>
      </c>
      <c r="B111" s="21" t="s">
        <v>443</v>
      </c>
      <c r="C111" s="22" t="s">
        <v>304</v>
      </c>
      <c r="D111" s="20">
        <v>6</v>
      </c>
      <c r="E111" s="20">
        <v>0</v>
      </c>
      <c r="F111" s="20">
        <v>6</v>
      </c>
      <c r="G111" s="23">
        <v>16200</v>
      </c>
      <c r="H111" s="23">
        <v>97200</v>
      </c>
      <c r="I111" s="24" t="s">
        <v>305</v>
      </c>
      <c r="J111" s="16">
        <f t="shared" si="17"/>
        <v>6</v>
      </c>
      <c r="K111" s="16">
        <f t="shared" si="18"/>
        <v>0</v>
      </c>
      <c r="L111" s="15">
        <f t="shared" si="19"/>
        <v>0</v>
      </c>
      <c r="M111" s="15">
        <f t="shared" si="20"/>
        <v>0</v>
      </c>
      <c r="N111" s="15">
        <f t="shared" si="21"/>
        <v>0</v>
      </c>
      <c r="O111" s="16">
        <f t="shared" si="22"/>
        <v>0</v>
      </c>
      <c r="P111" s="15">
        <f t="shared" si="23"/>
        <v>0</v>
      </c>
      <c r="Q111" s="15">
        <f t="shared" si="24"/>
        <v>0</v>
      </c>
      <c r="R111" s="18">
        <f t="shared" si="25"/>
        <v>0</v>
      </c>
      <c r="S111" s="18">
        <f t="shared" si="26"/>
        <v>0</v>
      </c>
      <c r="T111" s="18">
        <f t="shared" si="27"/>
        <v>0</v>
      </c>
      <c r="U111" s="18">
        <f t="shared" si="28"/>
        <v>0</v>
      </c>
      <c r="V111" s="18">
        <f t="shared" si="29"/>
        <v>0</v>
      </c>
      <c r="W111" s="18">
        <f t="shared" si="30"/>
        <v>0</v>
      </c>
      <c r="X111" s="18">
        <f t="shared" si="31"/>
        <v>0</v>
      </c>
      <c r="Y111" s="18">
        <f t="shared" si="32"/>
        <v>0</v>
      </c>
      <c r="Z111" s="15">
        <f t="shared" si="33"/>
        <v>6</v>
      </c>
    </row>
    <row r="112" spans="1:26" ht="30" x14ac:dyDescent="0.25">
      <c r="A112" s="20">
        <v>111</v>
      </c>
      <c r="B112" s="21" t="s">
        <v>306</v>
      </c>
      <c r="C112" s="22" t="s">
        <v>307</v>
      </c>
      <c r="D112" s="20">
        <v>2</v>
      </c>
      <c r="E112" s="20">
        <v>1</v>
      </c>
      <c r="F112" s="20">
        <v>1</v>
      </c>
      <c r="G112" s="23">
        <v>26250</v>
      </c>
      <c r="H112" s="23">
        <v>26250</v>
      </c>
      <c r="I112" s="24" t="s">
        <v>12</v>
      </c>
      <c r="J112" s="16">
        <f t="shared" si="17"/>
        <v>1</v>
      </c>
      <c r="K112" s="16">
        <f t="shared" si="18"/>
        <v>0</v>
      </c>
      <c r="L112" s="15">
        <f t="shared" si="19"/>
        <v>0</v>
      </c>
      <c r="M112" s="15">
        <f t="shared" si="20"/>
        <v>0</v>
      </c>
      <c r="N112" s="15">
        <f t="shared" si="21"/>
        <v>0</v>
      </c>
      <c r="O112" s="16">
        <f t="shared" si="22"/>
        <v>0</v>
      </c>
      <c r="P112" s="15">
        <f t="shared" si="23"/>
        <v>0</v>
      </c>
      <c r="Q112" s="15">
        <f t="shared" si="24"/>
        <v>0</v>
      </c>
      <c r="R112" s="18">
        <f t="shared" si="25"/>
        <v>0</v>
      </c>
      <c r="S112" s="18">
        <f t="shared" si="26"/>
        <v>0</v>
      </c>
      <c r="T112" s="18">
        <f t="shared" si="27"/>
        <v>0</v>
      </c>
      <c r="U112" s="18">
        <f t="shared" si="28"/>
        <v>0</v>
      </c>
      <c r="V112" s="18">
        <f t="shared" si="29"/>
        <v>0</v>
      </c>
      <c r="W112" s="18">
        <f t="shared" si="30"/>
        <v>0</v>
      </c>
      <c r="X112" s="18">
        <f t="shared" si="31"/>
        <v>0</v>
      </c>
      <c r="Y112" s="18">
        <f t="shared" si="32"/>
        <v>0</v>
      </c>
      <c r="Z112" s="15">
        <f t="shared" si="33"/>
        <v>1</v>
      </c>
    </row>
    <row r="113" spans="1:26" ht="45" x14ac:dyDescent="0.25">
      <c r="A113" s="20">
        <v>112</v>
      </c>
      <c r="B113" s="21" t="s">
        <v>308</v>
      </c>
      <c r="C113" s="22" t="s">
        <v>309</v>
      </c>
      <c r="D113" s="20">
        <v>2</v>
      </c>
      <c r="E113" s="20">
        <v>1</v>
      </c>
      <c r="F113" s="20">
        <v>1</v>
      </c>
      <c r="G113" s="23">
        <v>5013</v>
      </c>
      <c r="H113" s="23">
        <v>5013</v>
      </c>
      <c r="I113" s="24" t="s">
        <v>12</v>
      </c>
      <c r="J113" s="16">
        <f t="shared" si="17"/>
        <v>1</v>
      </c>
      <c r="K113" s="16">
        <f t="shared" si="18"/>
        <v>0</v>
      </c>
      <c r="L113" s="15">
        <f t="shared" si="19"/>
        <v>0</v>
      </c>
      <c r="M113" s="15">
        <f t="shared" si="20"/>
        <v>0</v>
      </c>
      <c r="N113" s="15">
        <f t="shared" si="21"/>
        <v>0</v>
      </c>
      <c r="O113" s="16">
        <f t="shared" si="22"/>
        <v>0</v>
      </c>
      <c r="P113" s="15">
        <f t="shared" si="23"/>
        <v>0</v>
      </c>
      <c r="Q113" s="15">
        <f t="shared" si="24"/>
        <v>0</v>
      </c>
      <c r="R113" s="18">
        <f t="shared" si="25"/>
        <v>0</v>
      </c>
      <c r="S113" s="18">
        <f t="shared" si="26"/>
        <v>0</v>
      </c>
      <c r="T113" s="18">
        <f t="shared" si="27"/>
        <v>0</v>
      </c>
      <c r="U113" s="18">
        <f t="shared" si="28"/>
        <v>0</v>
      </c>
      <c r="V113" s="18">
        <f t="shared" si="29"/>
        <v>0</v>
      </c>
      <c r="W113" s="18">
        <f t="shared" si="30"/>
        <v>0</v>
      </c>
      <c r="X113" s="18">
        <f t="shared" si="31"/>
        <v>0</v>
      </c>
      <c r="Y113" s="18">
        <f t="shared" si="32"/>
        <v>0</v>
      </c>
      <c r="Z113" s="15">
        <f t="shared" si="33"/>
        <v>1</v>
      </c>
    </row>
    <row r="114" spans="1:26" ht="30" x14ac:dyDescent="0.25">
      <c r="A114" s="20">
        <v>113</v>
      </c>
      <c r="B114" s="21" t="s">
        <v>310</v>
      </c>
      <c r="C114" s="22" t="s">
        <v>311</v>
      </c>
      <c r="D114" s="20">
        <v>1200</v>
      </c>
      <c r="E114" s="20">
        <v>1000</v>
      </c>
      <c r="F114" s="20">
        <v>200</v>
      </c>
      <c r="G114" s="23">
        <v>1.31</v>
      </c>
      <c r="H114" s="23">
        <v>262.67</v>
      </c>
      <c r="I114" s="24" t="s">
        <v>312</v>
      </c>
      <c r="J114" s="16">
        <f t="shared" si="17"/>
        <v>0</v>
      </c>
      <c r="K114" s="16">
        <f t="shared" si="18"/>
        <v>0</v>
      </c>
      <c r="L114" s="15">
        <f t="shared" si="19"/>
        <v>0</v>
      </c>
      <c r="M114" s="15">
        <f t="shared" si="20"/>
        <v>0</v>
      </c>
      <c r="N114" s="15">
        <f t="shared" si="21"/>
        <v>0</v>
      </c>
      <c r="O114" s="16">
        <f t="shared" si="22"/>
        <v>200</v>
      </c>
      <c r="P114" s="15">
        <f t="shared" si="23"/>
        <v>0</v>
      </c>
      <c r="Q114" s="15">
        <f t="shared" si="24"/>
        <v>0</v>
      </c>
      <c r="R114" s="18">
        <f t="shared" si="25"/>
        <v>0</v>
      </c>
      <c r="S114" s="18">
        <f t="shared" si="26"/>
        <v>0</v>
      </c>
      <c r="T114" s="18">
        <f t="shared" si="27"/>
        <v>0</v>
      </c>
      <c r="U114" s="18">
        <f t="shared" si="28"/>
        <v>0</v>
      </c>
      <c r="V114" s="18">
        <f t="shared" si="29"/>
        <v>0</v>
      </c>
      <c r="W114" s="18">
        <f t="shared" si="30"/>
        <v>0</v>
      </c>
      <c r="X114" s="18">
        <f t="shared" si="31"/>
        <v>0</v>
      </c>
      <c r="Y114" s="18">
        <f t="shared" si="32"/>
        <v>0</v>
      </c>
      <c r="Z114" s="15">
        <f t="shared" si="33"/>
        <v>200</v>
      </c>
    </row>
    <row r="115" spans="1:26" ht="30" x14ac:dyDescent="0.25">
      <c r="A115" s="20">
        <v>114</v>
      </c>
      <c r="B115" s="21" t="s">
        <v>313</v>
      </c>
      <c r="C115" s="22" t="s">
        <v>314</v>
      </c>
      <c r="D115" s="20">
        <v>5</v>
      </c>
      <c r="E115" s="20">
        <v>0</v>
      </c>
      <c r="F115" s="20">
        <v>5</v>
      </c>
      <c r="G115" s="23">
        <v>4711.2</v>
      </c>
      <c r="H115" s="23">
        <v>23556</v>
      </c>
      <c r="I115" s="24" t="s">
        <v>93</v>
      </c>
      <c r="J115" s="16">
        <f t="shared" si="17"/>
        <v>5</v>
      </c>
      <c r="K115" s="16">
        <f t="shared" si="18"/>
        <v>0</v>
      </c>
      <c r="L115" s="15">
        <f t="shared" si="19"/>
        <v>0</v>
      </c>
      <c r="M115" s="15">
        <f t="shared" si="20"/>
        <v>0</v>
      </c>
      <c r="N115" s="15">
        <f t="shared" si="21"/>
        <v>0</v>
      </c>
      <c r="O115" s="16">
        <f t="shared" si="22"/>
        <v>0</v>
      </c>
      <c r="P115" s="15">
        <f t="shared" si="23"/>
        <v>0</v>
      </c>
      <c r="Q115" s="15">
        <f t="shared" si="24"/>
        <v>0</v>
      </c>
      <c r="R115" s="18">
        <f t="shared" si="25"/>
        <v>0</v>
      </c>
      <c r="S115" s="18">
        <f t="shared" si="26"/>
        <v>0</v>
      </c>
      <c r="T115" s="18">
        <f t="shared" si="27"/>
        <v>0</v>
      </c>
      <c r="U115" s="18">
        <f t="shared" si="28"/>
        <v>0</v>
      </c>
      <c r="V115" s="18">
        <f t="shared" si="29"/>
        <v>0</v>
      </c>
      <c r="W115" s="18">
        <f t="shared" si="30"/>
        <v>0</v>
      </c>
      <c r="X115" s="18">
        <f t="shared" si="31"/>
        <v>0</v>
      </c>
      <c r="Y115" s="18">
        <f t="shared" si="32"/>
        <v>0</v>
      </c>
      <c r="Z115" s="15">
        <f t="shared" si="33"/>
        <v>5</v>
      </c>
    </row>
    <row r="116" spans="1:26" ht="30" x14ac:dyDescent="0.25">
      <c r="A116" s="20">
        <v>115</v>
      </c>
      <c r="B116" s="21" t="s">
        <v>315</v>
      </c>
      <c r="C116" s="22" t="s">
        <v>316</v>
      </c>
      <c r="D116" s="20">
        <v>600</v>
      </c>
      <c r="E116" s="20">
        <v>500</v>
      </c>
      <c r="F116" s="20">
        <v>100</v>
      </c>
      <c r="G116" s="23">
        <v>1.89</v>
      </c>
      <c r="H116" s="23">
        <v>189</v>
      </c>
      <c r="I116" s="24" t="s">
        <v>444</v>
      </c>
      <c r="J116" s="16">
        <f t="shared" si="17"/>
        <v>0</v>
      </c>
      <c r="K116" s="16">
        <f t="shared" si="18"/>
        <v>0</v>
      </c>
      <c r="L116" s="15">
        <f t="shared" si="19"/>
        <v>0</v>
      </c>
      <c r="M116" s="15">
        <f t="shared" si="20"/>
        <v>0</v>
      </c>
      <c r="N116" s="15">
        <f t="shared" si="21"/>
        <v>0</v>
      </c>
      <c r="O116" s="16">
        <f t="shared" si="22"/>
        <v>100</v>
      </c>
      <c r="P116" s="15">
        <f t="shared" si="23"/>
        <v>0</v>
      </c>
      <c r="Q116" s="15">
        <f t="shared" si="24"/>
        <v>0</v>
      </c>
      <c r="R116" s="18">
        <f t="shared" si="25"/>
        <v>0</v>
      </c>
      <c r="S116" s="18">
        <f t="shared" si="26"/>
        <v>0</v>
      </c>
      <c r="T116" s="18">
        <f t="shared" si="27"/>
        <v>0</v>
      </c>
      <c r="U116" s="18">
        <f t="shared" si="28"/>
        <v>0</v>
      </c>
      <c r="V116" s="18">
        <f t="shared" si="29"/>
        <v>0</v>
      </c>
      <c r="W116" s="18">
        <f t="shared" si="30"/>
        <v>0</v>
      </c>
      <c r="X116" s="18">
        <f t="shared" si="31"/>
        <v>0</v>
      </c>
      <c r="Y116" s="18">
        <f t="shared" si="32"/>
        <v>0</v>
      </c>
      <c r="Z116" s="15">
        <f t="shared" si="33"/>
        <v>100</v>
      </c>
    </row>
    <row r="117" spans="1:26" ht="30" x14ac:dyDescent="0.25">
      <c r="A117" s="20">
        <v>116</v>
      </c>
      <c r="B117" s="21" t="s">
        <v>318</v>
      </c>
      <c r="C117" s="22" t="s">
        <v>319</v>
      </c>
      <c r="D117" s="20">
        <v>8</v>
      </c>
      <c r="E117" s="20">
        <v>0</v>
      </c>
      <c r="F117" s="20">
        <v>8</v>
      </c>
      <c r="G117" s="23">
        <v>17705</v>
      </c>
      <c r="H117" s="23">
        <v>141640</v>
      </c>
      <c r="I117" s="24" t="s">
        <v>73</v>
      </c>
      <c r="J117" s="16">
        <f t="shared" si="17"/>
        <v>8</v>
      </c>
      <c r="K117" s="16">
        <f t="shared" si="18"/>
        <v>0</v>
      </c>
      <c r="L117" s="15">
        <f t="shared" si="19"/>
        <v>0</v>
      </c>
      <c r="M117" s="15">
        <f t="shared" si="20"/>
        <v>0</v>
      </c>
      <c r="N117" s="15">
        <f t="shared" si="21"/>
        <v>0</v>
      </c>
      <c r="O117" s="16">
        <f t="shared" si="22"/>
        <v>0</v>
      </c>
      <c r="P117" s="15">
        <f t="shared" si="23"/>
        <v>0</v>
      </c>
      <c r="Q117" s="15">
        <f t="shared" si="24"/>
        <v>0</v>
      </c>
      <c r="R117" s="18">
        <f t="shared" si="25"/>
        <v>0</v>
      </c>
      <c r="S117" s="18">
        <f t="shared" si="26"/>
        <v>0</v>
      </c>
      <c r="T117" s="18">
        <f t="shared" si="27"/>
        <v>0</v>
      </c>
      <c r="U117" s="18">
        <f t="shared" si="28"/>
        <v>0</v>
      </c>
      <c r="V117" s="18">
        <f t="shared" si="29"/>
        <v>0</v>
      </c>
      <c r="W117" s="18">
        <f t="shared" si="30"/>
        <v>0</v>
      </c>
      <c r="X117" s="18">
        <f t="shared" si="31"/>
        <v>0</v>
      </c>
      <c r="Y117" s="18">
        <f t="shared" si="32"/>
        <v>0</v>
      </c>
      <c r="Z117" s="15">
        <f t="shared" si="33"/>
        <v>8</v>
      </c>
    </row>
    <row r="118" spans="1:26" x14ac:dyDescent="0.25">
      <c r="A118" s="20">
        <v>117</v>
      </c>
      <c r="B118" s="21" t="s">
        <v>320</v>
      </c>
      <c r="C118" s="32" t="s">
        <v>321</v>
      </c>
      <c r="D118" s="20">
        <v>3</v>
      </c>
      <c r="E118" s="20">
        <v>2</v>
      </c>
      <c r="F118" s="20">
        <v>1</v>
      </c>
      <c r="G118" s="23">
        <v>575</v>
      </c>
      <c r="H118" s="23">
        <v>575</v>
      </c>
      <c r="I118" s="24" t="s">
        <v>12</v>
      </c>
      <c r="J118" s="16">
        <f t="shared" si="17"/>
        <v>1</v>
      </c>
      <c r="K118" s="16">
        <f t="shared" si="18"/>
        <v>0</v>
      </c>
      <c r="L118" s="15">
        <f t="shared" si="19"/>
        <v>0</v>
      </c>
      <c r="M118" s="15">
        <f t="shared" si="20"/>
        <v>0</v>
      </c>
      <c r="N118" s="15">
        <f t="shared" si="21"/>
        <v>0</v>
      </c>
      <c r="O118" s="16">
        <f t="shared" si="22"/>
        <v>0</v>
      </c>
      <c r="P118" s="15">
        <f t="shared" si="23"/>
        <v>0</v>
      </c>
      <c r="Q118" s="15">
        <f t="shared" si="24"/>
        <v>0</v>
      </c>
      <c r="R118" s="18">
        <f t="shared" si="25"/>
        <v>0</v>
      </c>
      <c r="S118" s="18">
        <f t="shared" si="26"/>
        <v>0</v>
      </c>
      <c r="T118" s="18">
        <f t="shared" si="27"/>
        <v>0</v>
      </c>
      <c r="U118" s="18">
        <f t="shared" si="28"/>
        <v>0</v>
      </c>
      <c r="V118" s="18">
        <f t="shared" si="29"/>
        <v>0</v>
      </c>
      <c r="W118" s="18">
        <f t="shared" si="30"/>
        <v>0</v>
      </c>
      <c r="X118" s="18">
        <f t="shared" si="31"/>
        <v>0</v>
      </c>
      <c r="Y118" s="18">
        <f t="shared" si="32"/>
        <v>0</v>
      </c>
      <c r="Z118" s="15">
        <f t="shared" si="33"/>
        <v>1</v>
      </c>
    </row>
    <row r="119" spans="1:26" x14ac:dyDescent="0.25">
      <c r="A119" s="20">
        <v>118</v>
      </c>
      <c r="B119" s="21" t="s">
        <v>322</v>
      </c>
      <c r="C119" s="32" t="s">
        <v>323</v>
      </c>
      <c r="D119" s="20">
        <v>3</v>
      </c>
      <c r="E119" s="20">
        <v>2</v>
      </c>
      <c r="F119" s="20">
        <v>1</v>
      </c>
      <c r="G119" s="23">
        <v>295</v>
      </c>
      <c r="H119" s="23">
        <v>295</v>
      </c>
      <c r="I119" s="24" t="s">
        <v>12</v>
      </c>
      <c r="J119" s="16">
        <f t="shared" si="17"/>
        <v>1</v>
      </c>
      <c r="K119" s="16">
        <f t="shared" si="18"/>
        <v>0</v>
      </c>
      <c r="L119" s="15">
        <f t="shared" si="19"/>
        <v>0</v>
      </c>
      <c r="M119" s="15">
        <f t="shared" si="20"/>
        <v>0</v>
      </c>
      <c r="N119" s="15">
        <f t="shared" si="21"/>
        <v>0</v>
      </c>
      <c r="O119" s="16">
        <f t="shared" si="22"/>
        <v>0</v>
      </c>
      <c r="P119" s="15">
        <f t="shared" si="23"/>
        <v>0</v>
      </c>
      <c r="Q119" s="15">
        <f t="shared" si="24"/>
        <v>0</v>
      </c>
      <c r="R119" s="18">
        <f t="shared" si="25"/>
        <v>0</v>
      </c>
      <c r="S119" s="18">
        <f t="shared" si="26"/>
        <v>0</v>
      </c>
      <c r="T119" s="18">
        <f t="shared" si="27"/>
        <v>0</v>
      </c>
      <c r="U119" s="18">
        <f t="shared" si="28"/>
        <v>0</v>
      </c>
      <c r="V119" s="18">
        <f t="shared" si="29"/>
        <v>0</v>
      </c>
      <c r="W119" s="18">
        <f t="shared" si="30"/>
        <v>0</v>
      </c>
      <c r="X119" s="18">
        <f t="shared" si="31"/>
        <v>0</v>
      </c>
      <c r="Y119" s="18">
        <f t="shared" si="32"/>
        <v>0</v>
      </c>
      <c r="Z119" s="15">
        <f t="shared" si="33"/>
        <v>1</v>
      </c>
    </row>
    <row r="120" spans="1:26" ht="75" x14ac:dyDescent="0.25">
      <c r="A120" s="20">
        <v>119</v>
      </c>
      <c r="B120" s="21" t="s">
        <v>324</v>
      </c>
      <c r="C120" s="21" t="s">
        <v>325</v>
      </c>
      <c r="D120" s="20">
        <v>57</v>
      </c>
      <c r="E120" s="20">
        <v>49</v>
      </c>
      <c r="F120" s="20">
        <v>8</v>
      </c>
      <c r="G120" s="23">
        <v>1440</v>
      </c>
      <c r="H120" s="23">
        <v>11520</v>
      </c>
      <c r="I120" s="24" t="s">
        <v>445</v>
      </c>
      <c r="J120" s="16">
        <f>IFERROR(VALUE(MID(I120, SEARCH("Sakar=", I120) + 6, SEARCH(",", I120 &amp; ",", SEARCH("Sakar=", I120) + 6) - SEARCH("Sakar=", I120) - 6)), 0)+8</f>
        <v>8</v>
      </c>
      <c r="K120" s="16">
        <f t="shared" si="18"/>
        <v>0</v>
      </c>
      <c r="L120" s="15">
        <f t="shared" si="19"/>
        <v>0</v>
      </c>
      <c r="M120" s="15">
        <f t="shared" si="20"/>
        <v>0</v>
      </c>
      <c r="N120" s="15">
        <f t="shared" si="21"/>
        <v>0</v>
      </c>
      <c r="O120" s="16">
        <f t="shared" si="22"/>
        <v>0</v>
      </c>
      <c r="P120" s="15">
        <f t="shared" si="23"/>
        <v>0</v>
      </c>
      <c r="Q120" s="15">
        <f t="shared" si="24"/>
        <v>0</v>
      </c>
      <c r="R120" s="18">
        <f t="shared" si="25"/>
        <v>0</v>
      </c>
      <c r="S120" s="18">
        <f t="shared" si="26"/>
        <v>0</v>
      </c>
      <c r="T120" s="18">
        <f t="shared" si="27"/>
        <v>0</v>
      </c>
      <c r="U120" s="18">
        <f t="shared" si="28"/>
        <v>0</v>
      </c>
      <c r="V120" s="18">
        <f t="shared" si="29"/>
        <v>0</v>
      </c>
      <c r="W120" s="18">
        <f t="shared" si="30"/>
        <v>0</v>
      </c>
      <c r="X120" s="18">
        <f t="shared" si="31"/>
        <v>0</v>
      </c>
      <c r="Y120" s="18">
        <f t="shared" si="32"/>
        <v>0</v>
      </c>
      <c r="Z120" s="15">
        <f t="shared" si="33"/>
        <v>8</v>
      </c>
    </row>
    <row r="121" spans="1:26" ht="30" x14ac:dyDescent="0.25">
      <c r="A121" s="20">
        <v>120</v>
      </c>
      <c r="B121" s="21" t="s">
        <v>446</v>
      </c>
      <c r="C121" s="22" t="s">
        <v>328</v>
      </c>
      <c r="D121" s="20">
        <v>6</v>
      </c>
      <c r="E121" s="20">
        <v>0</v>
      </c>
      <c r="F121" s="20">
        <v>6</v>
      </c>
      <c r="G121" s="23">
        <v>12480</v>
      </c>
      <c r="H121" s="23">
        <v>74880</v>
      </c>
      <c r="I121" s="24" t="s">
        <v>447</v>
      </c>
      <c r="J121" s="16">
        <f t="shared" si="17"/>
        <v>0</v>
      </c>
      <c r="K121" s="16">
        <f t="shared" si="18"/>
        <v>0</v>
      </c>
      <c r="L121" s="15">
        <f t="shared" si="19"/>
        <v>0</v>
      </c>
      <c r="M121" s="15">
        <f t="shared" si="20"/>
        <v>0</v>
      </c>
      <c r="N121" s="15">
        <f t="shared" si="21"/>
        <v>0</v>
      </c>
      <c r="O121" s="16">
        <f t="shared" si="22"/>
        <v>6</v>
      </c>
      <c r="P121" s="15">
        <f t="shared" si="23"/>
        <v>0</v>
      </c>
      <c r="Q121" s="15">
        <f t="shared" si="24"/>
        <v>0</v>
      </c>
      <c r="R121" s="18">
        <f t="shared" si="25"/>
        <v>0</v>
      </c>
      <c r="S121" s="18">
        <f t="shared" si="26"/>
        <v>0</v>
      </c>
      <c r="T121" s="18">
        <f t="shared" si="27"/>
        <v>0</v>
      </c>
      <c r="U121" s="18">
        <f t="shared" si="28"/>
        <v>0</v>
      </c>
      <c r="V121" s="18">
        <f t="shared" si="29"/>
        <v>0</v>
      </c>
      <c r="W121" s="18">
        <f t="shared" si="30"/>
        <v>0</v>
      </c>
      <c r="X121" s="18">
        <f t="shared" si="31"/>
        <v>0</v>
      </c>
      <c r="Y121" s="18">
        <f t="shared" si="32"/>
        <v>0</v>
      </c>
      <c r="Z121" s="15">
        <f t="shared" si="33"/>
        <v>6</v>
      </c>
    </row>
    <row r="122" spans="1:26" ht="30" x14ac:dyDescent="0.25">
      <c r="A122" s="20">
        <v>121</v>
      </c>
      <c r="B122" s="21" t="s">
        <v>448</v>
      </c>
      <c r="C122" s="22" t="s">
        <v>331</v>
      </c>
      <c r="D122" s="20">
        <v>90</v>
      </c>
      <c r="E122" s="20">
        <v>0</v>
      </c>
      <c r="F122" s="20">
        <v>90</v>
      </c>
      <c r="G122" s="23">
        <v>13080</v>
      </c>
      <c r="H122" s="23">
        <v>1177200</v>
      </c>
      <c r="I122" s="24" t="s">
        <v>449</v>
      </c>
      <c r="J122" s="16">
        <f t="shared" si="17"/>
        <v>0</v>
      </c>
      <c r="K122" s="16">
        <f t="shared" si="18"/>
        <v>0</v>
      </c>
      <c r="L122" s="15">
        <f t="shared" si="19"/>
        <v>0</v>
      </c>
      <c r="M122" s="15">
        <f t="shared" si="20"/>
        <v>0</v>
      </c>
      <c r="N122" s="15">
        <f t="shared" si="21"/>
        <v>0</v>
      </c>
      <c r="O122" s="16">
        <f t="shared" si="22"/>
        <v>90</v>
      </c>
      <c r="P122" s="15">
        <f t="shared" si="23"/>
        <v>0</v>
      </c>
      <c r="Q122" s="15">
        <f t="shared" si="24"/>
        <v>0</v>
      </c>
      <c r="R122" s="18">
        <f t="shared" si="25"/>
        <v>0</v>
      </c>
      <c r="S122" s="18">
        <f t="shared" si="26"/>
        <v>0</v>
      </c>
      <c r="T122" s="18">
        <f t="shared" si="27"/>
        <v>0</v>
      </c>
      <c r="U122" s="18">
        <f t="shared" si="28"/>
        <v>0</v>
      </c>
      <c r="V122" s="18">
        <f t="shared" si="29"/>
        <v>0</v>
      </c>
      <c r="W122" s="18">
        <f t="shared" si="30"/>
        <v>0</v>
      </c>
      <c r="X122" s="18">
        <f t="shared" si="31"/>
        <v>0</v>
      </c>
      <c r="Y122" s="18">
        <f t="shared" si="32"/>
        <v>0</v>
      </c>
      <c r="Z122" s="15">
        <f t="shared" si="33"/>
        <v>90</v>
      </c>
    </row>
    <row r="123" spans="1:26" ht="30" x14ac:dyDescent="0.25">
      <c r="A123" s="20">
        <v>122</v>
      </c>
      <c r="B123" s="21" t="s">
        <v>450</v>
      </c>
      <c r="C123" s="22" t="s">
        <v>334</v>
      </c>
      <c r="D123" s="20">
        <v>35</v>
      </c>
      <c r="E123" s="20">
        <v>29</v>
      </c>
      <c r="F123" s="20">
        <v>6</v>
      </c>
      <c r="G123" s="23">
        <v>15480</v>
      </c>
      <c r="H123" s="23">
        <v>92880</v>
      </c>
      <c r="I123" s="24" t="s">
        <v>447</v>
      </c>
      <c r="J123" s="16">
        <f t="shared" si="17"/>
        <v>0</v>
      </c>
      <c r="K123" s="16">
        <f t="shared" si="18"/>
        <v>0</v>
      </c>
      <c r="L123" s="15">
        <f t="shared" si="19"/>
        <v>0</v>
      </c>
      <c r="M123" s="15">
        <f t="shared" si="20"/>
        <v>0</v>
      </c>
      <c r="N123" s="15">
        <f t="shared" si="21"/>
        <v>0</v>
      </c>
      <c r="O123" s="16">
        <f t="shared" si="22"/>
        <v>6</v>
      </c>
      <c r="P123" s="15">
        <f t="shared" si="23"/>
        <v>0</v>
      </c>
      <c r="Q123" s="15">
        <f t="shared" si="24"/>
        <v>0</v>
      </c>
      <c r="R123" s="18">
        <f t="shared" si="25"/>
        <v>0</v>
      </c>
      <c r="S123" s="18">
        <f t="shared" si="26"/>
        <v>0</v>
      </c>
      <c r="T123" s="18">
        <f t="shared" si="27"/>
        <v>0</v>
      </c>
      <c r="U123" s="18">
        <f t="shared" si="28"/>
        <v>0</v>
      </c>
      <c r="V123" s="18">
        <f t="shared" si="29"/>
        <v>0</v>
      </c>
      <c r="W123" s="18">
        <f t="shared" si="30"/>
        <v>0</v>
      </c>
      <c r="X123" s="18">
        <f t="shared" si="31"/>
        <v>0</v>
      </c>
      <c r="Y123" s="18">
        <f t="shared" si="32"/>
        <v>0</v>
      </c>
      <c r="Z123" s="15">
        <f t="shared" si="33"/>
        <v>6</v>
      </c>
    </row>
    <row r="124" spans="1:26" ht="30" x14ac:dyDescent="0.25">
      <c r="A124" s="20">
        <v>123</v>
      </c>
      <c r="B124" s="21" t="s">
        <v>451</v>
      </c>
      <c r="C124" s="22" t="s">
        <v>336</v>
      </c>
      <c r="D124" s="20">
        <v>65</v>
      </c>
      <c r="E124" s="20">
        <v>54</v>
      </c>
      <c r="F124" s="20">
        <v>11</v>
      </c>
      <c r="G124" s="23">
        <v>17040</v>
      </c>
      <c r="H124" s="23">
        <v>187440</v>
      </c>
      <c r="I124" s="24" t="s">
        <v>452</v>
      </c>
      <c r="J124" s="16">
        <f t="shared" si="17"/>
        <v>0</v>
      </c>
      <c r="K124" s="16">
        <f t="shared" si="18"/>
        <v>0</v>
      </c>
      <c r="L124" s="15">
        <f t="shared" si="19"/>
        <v>0</v>
      </c>
      <c r="M124" s="15">
        <f t="shared" si="20"/>
        <v>0</v>
      </c>
      <c r="N124" s="15">
        <f t="shared" si="21"/>
        <v>0</v>
      </c>
      <c r="O124" s="16">
        <f t="shared" si="22"/>
        <v>11</v>
      </c>
      <c r="P124" s="15">
        <f t="shared" si="23"/>
        <v>0</v>
      </c>
      <c r="Q124" s="15">
        <f t="shared" si="24"/>
        <v>0</v>
      </c>
      <c r="R124" s="18">
        <f t="shared" si="25"/>
        <v>0</v>
      </c>
      <c r="S124" s="18">
        <f t="shared" si="26"/>
        <v>0</v>
      </c>
      <c r="T124" s="18">
        <f t="shared" si="27"/>
        <v>0</v>
      </c>
      <c r="U124" s="18">
        <f t="shared" si="28"/>
        <v>0</v>
      </c>
      <c r="V124" s="18">
        <f t="shared" si="29"/>
        <v>0</v>
      </c>
      <c r="W124" s="18">
        <f t="shared" si="30"/>
        <v>0</v>
      </c>
      <c r="X124" s="18">
        <f t="shared" si="31"/>
        <v>0</v>
      </c>
      <c r="Y124" s="18">
        <f t="shared" si="32"/>
        <v>0</v>
      </c>
      <c r="Z124" s="15">
        <f t="shared" si="33"/>
        <v>11</v>
      </c>
    </row>
    <row r="125" spans="1:26" ht="30" x14ac:dyDescent="0.25">
      <c r="A125" s="20">
        <v>124</v>
      </c>
      <c r="B125" s="21" t="s">
        <v>453</v>
      </c>
      <c r="C125" s="22" t="s">
        <v>339</v>
      </c>
      <c r="D125" s="20">
        <v>18</v>
      </c>
      <c r="E125" s="20">
        <v>11</v>
      </c>
      <c r="F125" s="20">
        <v>7</v>
      </c>
      <c r="G125" s="23">
        <v>19620</v>
      </c>
      <c r="H125" s="23">
        <v>137340</v>
      </c>
      <c r="I125" s="24" t="s">
        <v>454</v>
      </c>
      <c r="J125" s="16">
        <f t="shared" si="17"/>
        <v>0</v>
      </c>
      <c r="K125" s="16">
        <f t="shared" si="18"/>
        <v>0</v>
      </c>
      <c r="L125" s="15">
        <f t="shared" si="19"/>
        <v>0</v>
      </c>
      <c r="M125" s="15">
        <f t="shared" si="20"/>
        <v>0</v>
      </c>
      <c r="N125" s="15">
        <f t="shared" si="21"/>
        <v>0</v>
      </c>
      <c r="O125" s="16">
        <f t="shared" si="22"/>
        <v>7</v>
      </c>
      <c r="P125" s="15">
        <f t="shared" si="23"/>
        <v>0</v>
      </c>
      <c r="Q125" s="15">
        <f t="shared" si="24"/>
        <v>0</v>
      </c>
      <c r="R125" s="18">
        <f t="shared" si="25"/>
        <v>0</v>
      </c>
      <c r="S125" s="18">
        <f t="shared" si="26"/>
        <v>0</v>
      </c>
      <c r="T125" s="18">
        <f t="shared" si="27"/>
        <v>0</v>
      </c>
      <c r="U125" s="18">
        <f t="shared" si="28"/>
        <v>0</v>
      </c>
      <c r="V125" s="18">
        <f t="shared" si="29"/>
        <v>0</v>
      </c>
      <c r="W125" s="18">
        <f t="shared" si="30"/>
        <v>0</v>
      </c>
      <c r="X125" s="18">
        <f t="shared" si="31"/>
        <v>0</v>
      </c>
      <c r="Y125" s="18">
        <f t="shared" si="32"/>
        <v>0</v>
      </c>
      <c r="Z125" s="15">
        <f t="shared" si="33"/>
        <v>7</v>
      </c>
    </row>
    <row r="126" spans="1:26" ht="30" x14ac:dyDescent="0.25">
      <c r="A126" s="20">
        <v>125</v>
      </c>
      <c r="B126" s="21" t="s">
        <v>455</v>
      </c>
      <c r="C126" s="22" t="s">
        <v>342</v>
      </c>
      <c r="D126" s="20">
        <v>18</v>
      </c>
      <c r="E126" s="20">
        <v>13</v>
      </c>
      <c r="F126" s="20">
        <v>5</v>
      </c>
      <c r="G126" s="23">
        <v>22920</v>
      </c>
      <c r="H126" s="23">
        <v>114600</v>
      </c>
      <c r="I126" s="24" t="s">
        <v>432</v>
      </c>
      <c r="J126" s="16">
        <f t="shared" si="17"/>
        <v>0</v>
      </c>
      <c r="K126" s="16">
        <f t="shared" si="18"/>
        <v>0</v>
      </c>
      <c r="L126" s="15">
        <f t="shared" si="19"/>
        <v>0</v>
      </c>
      <c r="M126" s="15">
        <f t="shared" si="20"/>
        <v>0</v>
      </c>
      <c r="N126" s="15">
        <f t="shared" si="21"/>
        <v>0</v>
      </c>
      <c r="O126" s="16">
        <f t="shared" si="22"/>
        <v>5</v>
      </c>
      <c r="P126" s="15">
        <f t="shared" si="23"/>
        <v>0</v>
      </c>
      <c r="Q126" s="15">
        <f t="shared" si="24"/>
        <v>0</v>
      </c>
      <c r="R126" s="18">
        <f t="shared" si="25"/>
        <v>0</v>
      </c>
      <c r="S126" s="18">
        <f t="shared" si="26"/>
        <v>0</v>
      </c>
      <c r="T126" s="18">
        <f t="shared" si="27"/>
        <v>0</v>
      </c>
      <c r="U126" s="18">
        <f t="shared" si="28"/>
        <v>0</v>
      </c>
      <c r="V126" s="18">
        <f t="shared" si="29"/>
        <v>0</v>
      </c>
      <c r="W126" s="18">
        <f t="shared" si="30"/>
        <v>0</v>
      </c>
      <c r="X126" s="18">
        <f t="shared" si="31"/>
        <v>0</v>
      </c>
      <c r="Y126" s="18">
        <f t="shared" si="32"/>
        <v>0</v>
      </c>
      <c r="Z126" s="15">
        <f t="shared" si="33"/>
        <v>5</v>
      </c>
    </row>
    <row r="127" spans="1:26" ht="30" x14ac:dyDescent="0.25">
      <c r="A127" s="20">
        <v>126</v>
      </c>
      <c r="B127" s="21" t="s">
        <v>456</v>
      </c>
      <c r="C127" s="22" t="s">
        <v>345</v>
      </c>
      <c r="D127" s="20">
        <v>5</v>
      </c>
      <c r="E127" s="20">
        <v>0</v>
      </c>
      <c r="F127" s="20">
        <v>5</v>
      </c>
      <c r="G127" s="23">
        <v>30360</v>
      </c>
      <c r="H127" s="23">
        <v>151800</v>
      </c>
      <c r="I127" s="24" t="s">
        <v>432</v>
      </c>
      <c r="J127" s="16">
        <f t="shared" si="17"/>
        <v>0</v>
      </c>
      <c r="K127" s="16">
        <f t="shared" si="18"/>
        <v>0</v>
      </c>
      <c r="L127" s="15">
        <f t="shared" si="19"/>
        <v>0</v>
      </c>
      <c r="M127" s="15">
        <f t="shared" si="20"/>
        <v>0</v>
      </c>
      <c r="N127" s="15">
        <f t="shared" si="21"/>
        <v>0</v>
      </c>
      <c r="O127" s="16">
        <f t="shared" si="22"/>
        <v>5</v>
      </c>
      <c r="P127" s="15">
        <f t="shared" si="23"/>
        <v>0</v>
      </c>
      <c r="Q127" s="15">
        <f t="shared" si="24"/>
        <v>0</v>
      </c>
      <c r="R127" s="18">
        <f t="shared" si="25"/>
        <v>0</v>
      </c>
      <c r="S127" s="18">
        <f t="shared" si="26"/>
        <v>0</v>
      </c>
      <c r="T127" s="18">
        <f t="shared" si="27"/>
        <v>0</v>
      </c>
      <c r="U127" s="18">
        <f t="shared" si="28"/>
        <v>0</v>
      </c>
      <c r="V127" s="18">
        <f t="shared" si="29"/>
        <v>0</v>
      </c>
      <c r="W127" s="18">
        <f t="shared" si="30"/>
        <v>0</v>
      </c>
      <c r="X127" s="18">
        <f t="shared" si="31"/>
        <v>0</v>
      </c>
      <c r="Y127" s="18">
        <f t="shared" si="32"/>
        <v>0</v>
      </c>
      <c r="Z127" s="15">
        <f t="shared" si="33"/>
        <v>5</v>
      </c>
    </row>
    <row r="128" spans="1:26" ht="30" x14ac:dyDescent="0.25">
      <c r="A128" s="20">
        <v>127</v>
      </c>
      <c r="B128" s="21" t="s">
        <v>457</v>
      </c>
      <c r="C128" s="22" t="s">
        <v>347</v>
      </c>
      <c r="D128" s="20">
        <v>6</v>
      </c>
      <c r="E128" s="20">
        <v>0</v>
      </c>
      <c r="F128" s="20">
        <v>6</v>
      </c>
      <c r="G128" s="23">
        <v>35760</v>
      </c>
      <c r="H128" s="23">
        <v>214560</v>
      </c>
      <c r="I128" s="24" t="s">
        <v>447</v>
      </c>
      <c r="J128" s="16">
        <f t="shared" si="17"/>
        <v>0</v>
      </c>
      <c r="K128" s="16">
        <f t="shared" si="18"/>
        <v>0</v>
      </c>
      <c r="L128" s="15">
        <f t="shared" si="19"/>
        <v>0</v>
      </c>
      <c r="M128" s="15">
        <f t="shared" si="20"/>
        <v>0</v>
      </c>
      <c r="N128" s="15">
        <f t="shared" si="21"/>
        <v>0</v>
      </c>
      <c r="O128" s="16">
        <f t="shared" si="22"/>
        <v>6</v>
      </c>
      <c r="P128" s="15">
        <f t="shared" si="23"/>
        <v>0</v>
      </c>
      <c r="Q128" s="15">
        <f t="shared" si="24"/>
        <v>0</v>
      </c>
      <c r="R128" s="18">
        <f t="shared" si="25"/>
        <v>0</v>
      </c>
      <c r="S128" s="18">
        <f t="shared" si="26"/>
        <v>0</v>
      </c>
      <c r="T128" s="18">
        <f t="shared" si="27"/>
        <v>0</v>
      </c>
      <c r="U128" s="18">
        <f t="shared" si="28"/>
        <v>0</v>
      </c>
      <c r="V128" s="18">
        <f t="shared" si="29"/>
        <v>0</v>
      </c>
      <c r="W128" s="18">
        <f t="shared" si="30"/>
        <v>0</v>
      </c>
      <c r="X128" s="18">
        <f t="shared" si="31"/>
        <v>0</v>
      </c>
      <c r="Y128" s="18">
        <f t="shared" si="32"/>
        <v>0</v>
      </c>
      <c r="Z128" s="15">
        <f t="shared" si="33"/>
        <v>6</v>
      </c>
    </row>
    <row r="129" spans="1:26" ht="30" x14ac:dyDescent="0.25">
      <c r="A129" s="20">
        <v>128</v>
      </c>
      <c r="B129" s="21" t="s">
        <v>458</v>
      </c>
      <c r="C129" s="22" t="s">
        <v>349</v>
      </c>
      <c r="D129" s="20">
        <v>1</v>
      </c>
      <c r="E129" s="20">
        <v>0</v>
      </c>
      <c r="F129" s="20">
        <v>1</v>
      </c>
      <c r="G129" s="23">
        <v>39000</v>
      </c>
      <c r="H129" s="23">
        <v>39000</v>
      </c>
      <c r="I129" s="24" t="s">
        <v>257</v>
      </c>
      <c r="J129" s="16">
        <f t="shared" si="17"/>
        <v>0</v>
      </c>
      <c r="K129" s="16">
        <f t="shared" si="18"/>
        <v>0</v>
      </c>
      <c r="L129" s="15">
        <f t="shared" si="19"/>
        <v>0</v>
      </c>
      <c r="M129" s="15">
        <f t="shared" si="20"/>
        <v>0</v>
      </c>
      <c r="N129" s="15">
        <f t="shared" si="21"/>
        <v>0</v>
      </c>
      <c r="O129" s="16">
        <f t="shared" si="22"/>
        <v>1</v>
      </c>
      <c r="P129" s="15">
        <f t="shared" si="23"/>
        <v>0</v>
      </c>
      <c r="Q129" s="15">
        <f t="shared" si="24"/>
        <v>0</v>
      </c>
      <c r="R129" s="18">
        <f t="shared" si="25"/>
        <v>0</v>
      </c>
      <c r="S129" s="18">
        <f t="shared" si="26"/>
        <v>0</v>
      </c>
      <c r="T129" s="18">
        <f t="shared" si="27"/>
        <v>0</v>
      </c>
      <c r="U129" s="18">
        <f t="shared" si="28"/>
        <v>0</v>
      </c>
      <c r="V129" s="18">
        <f t="shared" si="29"/>
        <v>0</v>
      </c>
      <c r="W129" s="18">
        <f t="shared" si="30"/>
        <v>0</v>
      </c>
      <c r="X129" s="18">
        <f t="shared" si="31"/>
        <v>0</v>
      </c>
      <c r="Y129" s="18">
        <f t="shared" si="32"/>
        <v>0</v>
      </c>
      <c r="Z129" s="15">
        <f t="shared" si="33"/>
        <v>1</v>
      </c>
    </row>
    <row r="130" spans="1:26" ht="30" x14ac:dyDescent="0.25">
      <c r="A130" s="20">
        <v>129</v>
      </c>
      <c r="B130" s="21" t="s">
        <v>459</v>
      </c>
      <c r="C130" s="22" t="s">
        <v>351</v>
      </c>
      <c r="D130" s="20">
        <v>1</v>
      </c>
      <c r="E130" s="20">
        <v>0</v>
      </c>
      <c r="F130" s="20">
        <v>1</v>
      </c>
      <c r="G130" s="23">
        <v>44400</v>
      </c>
      <c r="H130" s="23">
        <v>44400</v>
      </c>
      <c r="I130" s="24" t="s">
        <v>257</v>
      </c>
      <c r="J130" s="16">
        <f t="shared" si="17"/>
        <v>0</v>
      </c>
      <c r="K130" s="16">
        <f t="shared" si="18"/>
        <v>0</v>
      </c>
      <c r="L130" s="15">
        <f t="shared" si="19"/>
        <v>0</v>
      </c>
      <c r="M130" s="15">
        <f t="shared" si="20"/>
        <v>0</v>
      </c>
      <c r="N130" s="15">
        <f t="shared" si="21"/>
        <v>0</v>
      </c>
      <c r="O130" s="16">
        <f t="shared" si="22"/>
        <v>1</v>
      </c>
      <c r="P130" s="15">
        <f t="shared" si="23"/>
        <v>0</v>
      </c>
      <c r="Q130" s="15">
        <f t="shared" si="24"/>
        <v>0</v>
      </c>
      <c r="R130" s="18">
        <f t="shared" si="25"/>
        <v>0</v>
      </c>
      <c r="S130" s="18">
        <f t="shared" si="26"/>
        <v>0</v>
      </c>
      <c r="T130" s="18">
        <f t="shared" si="27"/>
        <v>0</v>
      </c>
      <c r="U130" s="18">
        <f t="shared" si="28"/>
        <v>0</v>
      </c>
      <c r="V130" s="18">
        <f t="shared" si="29"/>
        <v>0</v>
      </c>
      <c r="W130" s="18">
        <f t="shared" si="30"/>
        <v>0</v>
      </c>
      <c r="X130" s="18">
        <f t="shared" si="31"/>
        <v>0</v>
      </c>
      <c r="Y130" s="18">
        <f t="shared" si="32"/>
        <v>0</v>
      </c>
      <c r="Z130" s="15">
        <f t="shared" si="33"/>
        <v>1</v>
      </c>
    </row>
    <row r="131" spans="1:26" ht="30" x14ac:dyDescent="0.25">
      <c r="A131" s="20">
        <v>130</v>
      </c>
      <c r="B131" s="21" t="s">
        <v>460</v>
      </c>
      <c r="C131" s="22" t="s">
        <v>353</v>
      </c>
      <c r="D131" s="20">
        <v>1</v>
      </c>
      <c r="E131" s="20">
        <v>0</v>
      </c>
      <c r="F131" s="20">
        <v>1</v>
      </c>
      <c r="G131" s="23">
        <v>34200</v>
      </c>
      <c r="H131" s="23">
        <v>34200</v>
      </c>
      <c r="I131" s="24" t="s">
        <v>257</v>
      </c>
      <c r="J131" s="16">
        <f t="shared" si="17"/>
        <v>0</v>
      </c>
      <c r="K131" s="16">
        <f t="shared" si="18"/>
        <v>0</v>
      </c>
      <c r="L131" s="15">
        <f t="shared" si="19"/>
        <v>0</v>
      </c>
      <c r="M131" s="15">
        <f t="shared" si="20"/>
        <v>0</v>
      </c>
      <c r="N131" s="15">
        <f t="shared" si="21"/>
        <v>0</v>
      </c>
      <c r="O131" s="16">
        <f t="shared" si="22"/>
        <v>1</v>
      </c>
      <c r="P131" s="15">
        <f t="shared" si="23"/>
        <v>0</v>
      </c>
      <c r="Q131" s="15">
        <f t="shared" si="24"/>
        <v>0</v>
      </c>
      <c r="R131" s="18">
        <f t="shared" si="25"/>
        <v>0</v>
      </c>
      <c r="S131" s="18">
        <f t="shared" si="26"/>
        <v>0</v>
      </c>
      <c r="T131" s="18">
        <f t="shared" si="27"/>
        <v>0</v>
      </c>
      <c r="U131" s="18">
        <f t="shared" si="28"/>
        <v>0</v>
      </c>
      <c r="V131" s="18">
        <f t="shared" si="29"/>
        <v>0</v>
      </c>
      <c r="W131" s="18">
        <f t="shared" si="30"/>
        <v>0</v>
      </c>
      <c r="X131" s="18">
        <f t="shared" si="31"/>
        <v>0</v>
      </c>
      <c r="Y131" s="18">
        <f t="shared" si="32"/>
        <v>0</v>
      </c>
      <c r="Z131" s="15">
        <f t="shared" si="33"/>
        <v>1</v>
      </c>
    </row>
    <row r="132" spans="1:26" ht="30" x14ac:dyDescent="0.25">
      <c r="A132" s="20">
        <v>131</v>
      </c>
      <c r="B132" s="21" t="s">
        <v>461</v>
      </c>
      <c r="C132" s="22" t="s">
        <v>355</v>
      </c>
      <c r="D132" s="20">
        <v>2</v>
      </c>
      <c r="E132" s="20">
        <v>0</v>
      </c>
      <c r="F132" s="20">
        <v>2</v>
      </c>
      <c r="G132" s="23">
        <v>116760</v>
      </c>
      <c r="H132" s="23">
        <v>233520</v>
      </c>
      <c r="I132" s="24" t="s">
        <v>462</v>
      </c>
      <c r="J132" s="16">
        <f t="shared" ref="J132:J145" si="34">IFERROR(VALUE(MID(I132, SEARCH("Sakar=", I132) + 6, SEARCH(",", I132 &amp; ",", SEARCH("Sakar=", I132) + 6) - SEARCH("Sakar=", I132) - 6)), 0)</f>
        <v>0</v>
      </c>
      <c r="K132" s="16">
        <f t="shared" ref="K132:K145" si="35">IFERROR(VALUE(MID(I132, SEARCH("TS=", I132) + 3, SEARCH(",", I132 &amp; ",", SEARCH("TS=", I132) + 3) - SEARCH("TS=", I132) - 3)), 0)</f>
        <v>0</v>
      </c>
      <c r="L132" s="15">
        <f t="shared" ref="L132:L145" si="36">IFERROR(VALUE(MID(I132, SEARCH("Sakar WH=", I132) + 9, SEARCH(",", I132 &amp; ",", SEARCH("Sakar WH=", I132) + 9) - SEARCH("Sakar WH=", I132) - 9)), 0)</f>
        <v>0</v>
      </c>
      <c r="M132" s="15">
        <f t="shared" ref="M132:M145" si="37">IFERROR(VALUE(MID(I132, SEARCH("Themis=", I132) + 7, SEARCH(",", I132 &amp; ",", SEARCH("Themis=", I132) + 7) - SEARCH("Themis=", I132) - 7)), 0)</f>
        <v>0</v>
      </c>
      <c r="N132" s="15">
        <f t="shared" ref="N132:N145" si="38">IFERROR(VALUE(MID(I132, SEARCH("Krishant=", I132) + 9, SEARCH(",", I132 &amp; ",", SEARCH("Krishant=", I132) + 9) - SEARCH("Krishant=", I132) - 9)), 0)</f>
        <v>0</v>
      </c>
      <c r="O132" s="16">
        <f t="shared" ref="O132:O145" si="39">IFERROR(VALUE(MID(I132, SEARCH("Pirana=", I132) + 7, SEARCH(",", I132 &amp; ",", SEARCH("Pirana=", I132) + 7) - SEARCH("Pirana=", I132) - 7)), 0)</f>
        <v>2</v>
      </c>
      <c r="P132" s="15">
        <f t="shared" ref="P132:P145" si="40">IFERROR(VALUE(MID(I132, SEARCH("Nextgen=", I132) + 8, SEARCH(",", I132 &amp; ",", SEARCH("Nextgen=", I132) + 8) - SEARCH("Nextgen=", I132) - 8)), 0)</f>
        <v>0</v>
      </c>
      <c r="Q132" s="15">
        <f t="shared" ref="Q132:Q145" si="41">IFERROR(VALUE(MID(I132, SEARCH("Expo=", I132) + 5, SEARCH(",", I132 &amp; ",", SEARCH("Expo=", I132) + 5) - SEARCH("Expo=", I132) - 5)), 0)</f>
        <v>0</v>
      </c>
      <c r="R132" s="18">
        <f t="shared" ref="R132:R145" si="42">IFERROR(VALUE(MID(I132, SEARCH("Fluid Control Lab=", I132) + 18, SEARCH(",", I132 &amp; ",", SEARCH("Fluid Control Lab=", I132) + 18) - SEARCH("Fluid Control Lab=", I132) - 18)), 0)</f>
        <v>0</v>
      </c>
      <c r="S132" s="18">
        <f t="shared" ref="S132:S145" si="43">IFERROR(VALUE(MID(I132, SEARCH("Rishi Enterprise=", I132) + 17, SEARCH(",", I132 &amp; ",", SEARCH("Rishi Enterprise=", I132) + 17) - SEARCH("Rishi Enterprise=", I132) - 17)), 0)</f>
        <v>0</v>
      </c>
      <c r="T132" s="18">
        <f t="shared" ref="T132:T145" si="44">IFERROR(VALUE(MID(I132, SEARCH("ITC=", I132) + 4, SEARCH(",", I132 &amp; ",", SEARCH("ITC=", I132) + 4) - SEARCH("ITC=", I132) - 4)), 0)</f>
        <v>0</v>
      </c>
      <c r="U132" s="18">
        <f t="shared" ref="U132:U145" si="45">IFERROR(VALUE(MID(I132, SEARCH("Controlplus=", I132) + 11, SEARCH(",", I132 &amp; ",", SEARCH("Controlplus=", I132) + 11) - SEARCH("Controlplus=", I132) - 11)), 0)</f>
        <v>0</v>
      </c>
      <c r="V132" s="18">
        <f t="shared" ref="V132:V145" si="46">IFERROR(VALUE(MID(I132, SEARCH("FCRI=", I132) + 5, SEARCH(",", I132 &amp; ",", SEARCH("FCRI=", I132) + 5) - SEARCH("FCRI=", I132) - 5)), 0)</f>
        <v>0</v>
      </c>
      <c r="W132" s="18">
        <f t="shared" ref="W132:W145" si="47">IFERROR(VALUE(MID(I132, SEARCH("Jaunpur=", I132) + 8, SEARCH(",", I132 &amp; ",", SEARCH("Jaunpur=", I132) + 8) - SEARCH("Jaunpur=", I132) - 8)), 0)</f>
        <v>0</v>
      </c>
      <c r="X132" s="18">
        <f t="shared" ref="X132:X145" si="48">IFERROR(VALUE(MID(I132, SEARCH("Baharich=", I132) + 9, SEARCH(",", I132 &amp; ",", SEARCH("Baharich=", I132) + 9) - SEARCH("Baharich=", I132) - 9)), 0)</f>
        <v>0</v>
      </c>
      <c r="Y132" s="18">
        <f t="shared" ref="Y132:Y145" si="49">IFERROR(VALUE(MID(I132, SEARCH("Barabanki=", I132) + 10, SEARCH(",", I132 &amp; ",", SEARCH("Barabanki=", I132) + 10) - SEARCH("Barabanki=", I132) - 10)), 0)</f>
        <v>0</v>
      </c>
      <c r="Z132" s="15">
        <f t="shared" ref="Z132:Z145" si="50">SUM(J132:Y132)</f>
        <v>2</v>
      </c>
    </row>
    <row r="133" spans="1:26" x14ac:dyDescent="0.25">
      <c r="A133" s="20">
        <v>132</v>
      </c>
      <c r="B133" s="21" t="s">
        <v>357</v>
      </c>
      <c r="C133" s="22" t="s">
        <v>358</v>
      </c>
      <c r="D133" s="20">
        <v>142</v>
      </c>
      <c r="E133" s="20">
        <v>140</v>
      </c>
      <c r="F133" s="20">
        <v>2</v>
      </c>
      <c r="G133" s="23">
        <v>685.42</v>
      </c>
      <c r="H133" s="23">
        <v>1370.85</v>
      </c>
      <c r="I133" s="24" t="s">
        <v>359</v>
      </c>
      <c r="J133" s="16">
        <f t="shared" si="34"/>
        <v>0</v>
      </c>
      <c r="K133" s="16">
        <f t="shared" si="35"/>
        <v>0</v>
      </c>
      <c r="L133" s="15">
        <f t="shared" si="36"/>
        <v>0</v>
      </c>
      <c r="M133" s="15">
        <f t="shared" si="37"/>
        <v>0</v>
      </c>
      <c r="N133" s="15">
        <f t="shared" si="38"/>
        <v>0</v>
      </c>
      <c r="O133" s="16">
        <f t="shared" si="39"/>
        <v>0</v>
      </c>
      <c r="P133" s="15">
        <f t="shared" si="40"/>
        <v>0</v>
      </c>
      <c r="Q133" s="15">
        <f t="shared" si="41"/>
        <v>0</v>
      </c>
      <c r="R133" s="18">
        <f t="shared" si="42"/>
        <v>0</v>
      </c>
      <c r="S133" s="18">
        <f t="shared" si="43"/>
        <v>0</v>
      </c>
      <c r="T133" s="18">
        <f t="shared" si="44"/>
        <v>0</v>
      </c>
      <c r="U133" s="18">
        <f t="shared" si="45"/>
        <v>0</v>
      </c>
      <c r="V133" s="18">
        <f t="shared" si="46"/>
        <v>0</v>
      </c>
      <c r="W133" s="18">
        <f t="shared" si="47"/>
        <v>0</v>
      </c>
      <c r="X133" s="18">
        <f t="shared" si="48"/>
        <v>0</v>
      </c>
      <c r="Y133" s="18">
        <f t="shared" si="49"/>
        <v>2</v>
      </c>
      <c r="Z133" s="15">
        <f t="shared" si="50"/>
        <v>2</v>
      </c>
    </row>
    <row r="134" spans="1:26" ht="45" x14ac:dyDescent="0.25">
      <c r="A134" s="20">
        <v>133</v>
      </c>
      <c r="B134" s="21" t="s">
        <v>360</v>
      </c>
      <c r="C134" s="22" t="s">
        <v>361</v>
      </c>
      <c r="D134" s="20">
        <v>4</v>
      </c>
      <c r="E134" s="20">
        <v>0</v>
      </c>
      <c r="F134" s="20">
        <v>4</v>
      </c>
      <c r="G134" s="23">
        <v>150</v>
      </c>
      <c r="H134" s="23">
        <v>600</v>
      </c>
      <c r="I134" s="24" t="s">
        <v>51</v>
      </c>
      <c r="J134" s="16">
        <f t="shared" si="34"/>
        <v>4</v>
      </c>
      <c r="K134" s="16">
        <f t="shared" si="35"/>
        <v>0</v>
      </c>
      <c r="L134" s="15">
        <f t="shared" si="36"/>
        <v>0</v>
      </c>
      <c r="M134" s="15">
        <f t="shared" si="37"/>
        <v>0</v>
      </c>
      <c r="N134" s="15">
        <f t="shared" si="38"/>
        <v>0</v>
      </c>
      <c r="O134" s="16">
        <f t="shared" si="39"/>
        <v>0</v>
      </c>
      <c r="P134" s="15">
        <f t="shared" si="40"/>
        <v>0</v>
      </c>
      <c r="Q134" s="15">
        <f t="shared" si="41"/>
        <v>0</v>
      </c>
      <c r="R134" s="18">
        <f t="shared" si="42"/>
        <v>0</v>
      </c>
      <c r="S134" s="18">
        <f t="shared" si="43"/>
        <v>0</v>
      </c>
      <c r="T134" s="18">
        <f t="shared" si="44"/>
        <v>0</v>
      </c>
      <c r="U134" s="18">
        <f t="shared" si="45"/>
        <v>0</v>
      </c>
      <c r="V134" s="18">
        <f t="shared" si="46"/>
        <v>0</v>
      </c>
      <c r="W134" s="18">
        <f t="shared" si="47"/>
        <v>0</v>
      </c>
      <c r="X134" s="18">
        <f t="shared" si="48"/>
        <v>0</v>
      </c>
      <c r="Y134" s="18">
        <f t="shared" si="49"/>
        <v>0</v>
      </c>
      <c r="Z134" s="15">
        <f t="shared" si="50"/>
        <v>4</v>
      </c>
    </row>
    <row r="135" spans="1:26" ht="120" x14ac:dyDescent="0.25">
      <c r="A135" s="20">
        <v>134</v>
      </c>
      <c r="B135" s="21" t="s">
        <v>362</v>
      </c>
      <c r="C135" s="22" t="s">
        <v>363</v>
      </c>
      <c r="D135" s="20">
        <v>8</v>
      </c>
      <c r="E135" s="20">
        <v>0</v>
      </c>
      <c r="F135" s="20">
        <v>8</v>
      </c>
      <c r="G135" s="23">
        <v>77990</v>
      </c>
      <c r="H135" s="23">
        <v>623920</v>
      </c>
      <c r="I135" s="24" t="s">
        <v>73</v>
      </c>
      <c r="J135" s="16">
        <f t="shared" si="34"/>
        <v>8</v>
      </c>
      <c r="K135" s="16">
        <f t="shared" si="35"/>
        <v>0</v>
      </c>
      <c r="L135" s="15">
        <f t="shared" si="36"/>
        <v>0</v>
      </c>
      <c r="M135" s="15">
        <f t="shared" si="37"/>
        <v>0</v>
      </c>
      <c r="N135" s="15">
        <f t="shared" si="38"/>
        <v>0</v>
      </c>
      <c r="O135" s="16">
        <f t="shared" si="39"/>
        <v>0</v>
      </c>
      <c r="P135" s="15">
        <f t="shared" si="40"/>
        <v>0</v>
      </c>
      <c r="Q135" s="15">
        <f t="shared" si="41"/>
        <v>0</v>
      </c>
      <c r="R135" s="18">
        <f t="shared" si="42"/>
        <v>0</v>
      </c>
      <c r="S135" s="18">
        <f t="shared" si="43"/>
        <v>0</v>
      </c>
      <c r="T135" s="18">
        <f t="shared" si="44"/>
        <v>0</v>
      </c>
      <c r="U135" s="18">
        <f t="shared" si="45"/>
        <v>0</v>
      </c>
      <c r="V135" s="18">
        <f t="shared" si="46"/>
        <v>0</v>
      </c>
      <c r="W135" s="18">
        <f t="shared" si="47"/>
        <v>0</v>
      </c>
      <c r="X135" s="18">
        <f t="shared" si="48"/>
        <v>0</v>
      </c>
      <c r="Y135" s="18">
        <f t="shared" si="49"/>
        <v>0</v>
      </c>
      <c r="Z135" s="15">
        <f t="shared" si="50"/>
        <v>8</v>
      </c>
    </row>
    <row r="136" spans="1:26" ht="45" x14ac:dyDescent="0.25">
      <c r="A136" s="20">
        <v>135</v>
      </c>
      <c r="B136" s="21" t="s">
        <v>364</v>
      </c>
      <c r="C136" s="22" t="s">
        <v>365</v>
      </c>
      <c r="D136" s="20">
        <v>26</v>
      </c>
      <c r="E136" s="20">
        <v>25</v>
      </c>
      <c r="F136" s="20">
        <v>1</v>
      </c>
      <c r="G136" s="23">
        <v>18000</v>
      </c>
      <c r="H136" s="23">
        <v>18000</v>
      </c>
      <c r="I136" s="24" t="s">
        <v>12</v>
      </c>
      <c r="J136" s="16">
        <f t="shared" si="34"/>
        <v>1</v>
      </c>
      <c r="K136" s="16">
        <f t="shared" si="35"/>
        <v>0</v>
      </c>
      <c r="L136" s="15">
        <f t="shared" si="36"/>
        <v>0</v>
      </c>
      <c r="M136" s="15">
        <f t="shared" si="37"/>
        <v>0</v>
      </c>
      <c r="N136" s="15">
        <f t="shared" si="38"/>
        <v>0</v>
      </c>
      <c r="O136" s="16">
        <f t="shared" si="39"/>
        <v>0</v>
      </c>
      <c r="P136" s="15">
        <f t="shared" si="40"/>
        <v>0</v>
      </c>
      <c r="Q136" s="15">
        <f t="shared" si="41"/>
        <v>0</v>
      </c>
      <c r="R136" s="18">
        <f t="shared" si="42"/>
        <v>0</v>
      </c>
      <c r="S136" s="18">
        <f t="shared" si="43"/>
        <v>0</v>
      </c>
      <c r="T136" s="18">
        <f t="shared" si="44"/>
        <v>0</v>
      </c>
      <c r="U136" s="18">
        <f t="shared" si="45"/>
        <v>0</v>
      </c>
      <c r="V136" s="18">
        <f t="shared" si="46"/>
        <v>0</v>
      </c>
      <c r="W136" s="18">
        <f t="shared" si="47"/>
        <v>0</v>
      </c>
      <c r="X136" s="18">
        <f t="shared" si="48"/>
        <v>0</v>
      </c>
      <c r="Y136" s="18">
        <f t="shared" si="49"/>
        <v>0</v>
      </c>
      <c r="Z136" s="15">
        <f t="shared" si="50"/>
        <v>1</v>
      </c>
    </row>
    <row r="137" spans="1:26" ht="45" x14ac:dyDescent="0.25">
      <c r="A137" s="20">
        <v>136</v>
      </c>
      <c r="B137" s="21" t="s">
        <v>366</v>
      </c>
      <c r="C137" s="22" t="s">
        <v>367</v>
      </c>
      <c r="D137" s="20">
        <v>5015</v>
      </c>
      <c r="E137" s="20">
        <v>0</v>
      </c>
      <c r="F137" s="20">
        <v>5015</v>
      </c>
      <c r="G137" s="23">
        <v>68.88</v>
      </c>
      <c r="H137" s="23">
        <v>345433.2</v>
      </c>
      <c r="I137" s="24" t="s">
        <v>463</v>
      </c>
      <c r="J137" s="16">
        <f t="shared" si="34"/>
        <v>0</v>
      </c>
      <c r="K137" s="16">
        <f t="shared" si="35"/>
        <v>0</v>
      </c>
      <c r="L137" s="15">
        <f t="shared" si="36"/>
        <v>0</v>
      </c>
      <c r="M137" s="15">
        <f t="shared" si="37"/>
        <v>0</v>
      </c>
      <c r="N137" s="15">
        <f t="shared" si="38"/>
        <v>0</v>
      </c>
      <c r="O137" s="16">
        <f t="shared" si="39"/>
        <v>5015</v>
      </c>
      <c r="P137" s="15">
        <f t="shared" si="40"/>
        <v>0</v>
      </c>
      <c r="Q137" s="15">
        <f t="shared" si="41"/>
        <v>0</v>
      </c>
      <c r="R137" s="18">
        <f t="shared" si="42"/>
        <v>0</v>
      </c>
      <c r="S137" s="18">
        <f t="shared" si="43"/>
        <v>0</v>
      </c>
      <c r="T137" s="18">
        <f t="shared" si="44"/>
        <v>0</v>
      </c>
      <c r="U137" s="18">
        <f t="shared" si="45"/>
        <v>0</v>
      </c>
      <c r="V137" s="18">
        <f t="shared" si="46"/>
        <v>0</v>
      </c>
      <c r="W137" s="18">
        <f t="shared" si="47"/>
        <v>0</v>
      </c>
      <c r="X137" s="18">
        <f t="shared" si="48"/>
        <v>0</v>
      </c>
      <c r="Y137" s="18">
        <f t="shared" si="49"/>
        <v>0</v>
      </c>
      <c r="Z137" s="15">
        <f t="shared" si="50"/>
        <v>5015</v>
      </c>
    </row>
    <row r="138" spans="1:26" ht="45" x14ac:dyDescent="0.25">
      <c r="A138" s="20">
        <v>137</v>
      </c>
      <c r="B138" s="21" t="s">
        <v>369</v>
      </c>
      <c r="C138" s="22" t="s">
        <v>370</v>
      </c>
      <c r="D138" s="20">
        <v>1255</v>
      </c>
      <c r="E138" s="20">
        <v>0</v>
      </c>
      <c r="F138" s="20">
        <v>1255</v>
      </c>
      <c r="G138" s="23">
        <v>100.84</v>
      </c>
      <c r="H138" s="23">
        <v>126554.2</v>
      </c>
      <c r="I138" s="24" t="s">
        <v>464</v>
      </c>
      <c r="J138" s="16">
        <f t="shared" si="34"/>
        <v>0</v>
      </c>
      <c r="K138" s="16">
        <f t="shared" si="35"/>
        <v>0</v>
      </c>
      <c r="L138" s="15">
        <f t="shared" si="36"/>
        <v>0</v>
      </c>
      <c r="M138" s="15">
        <f t="shared" si="37"/>
        <v>0</v>
      </c>
      <c r="N138" s="15">
        <f t="shared" si="38"/>
        <v>0</v>
      </c>
      <c r="O138" s="16">
        <f t="shared" si="39"/>
        <v>1255</v>
      </c>
      <c r="P138" s="15">
        <f t="shared" si="40"/>
        <v>0</v>
      </c>
      <c r="Q138" s="15">
        <f t="shared" si="41"/>
        <v>0</v>
      </c>
      <c r="R138" s="18">
        <f t="shared" si="42"/>
        <v>0</v>
      </c>
      <c r="S138" s="18">
        <f t="shared" si="43"/>
        <v>0</v>
      </c>
      <c r="T138" s="18">
        <f t="shared" si="44"/>
        <v>0</v>
      </c>
      <c r="U138" s="18">
        <f t="shared" si="45"/>
        <v>0</v>
      </c>
      <c r="V138" s="18">
        <f t="shared" si="46"/>
        <v>0</v>
      </c>
      <c r="W138" s="18">
        <f t="shared" si="47"/>
        <v>0</v>
      </c>
      <c r="X138" s="18">
        <f t="shared" si="48"/>
        <v>0</v>
      </c>
      <c r="Y138" s="18">
        <f t="shared" si="49"/>
        <v>0</v>
      </c>
      <c r="Z138" s="15">
        <f t="shared" si="50"/>
        <v>1255</v>
      </c>
    </row>
    <row r="139" spans="1:26" ht="45" x14ac:dyDescent="0.25">
      <c r="A139" s="20">
        <v>138</v>
      </c>
      <c r="B139" s="21" t="s">
        <v>372</v>
      </c>
      <c r="C139" s="22" t="s">
        <v>373</v>
      </c>
      <c r="D139" s="20">
        <v>1655</v>
      </c>
      <c r="E139" s="20">
        <v>0</v>
      </c>
      <c r="F139" s="20">
        <v>1655</v>
      </c>
      <c r="G139" s="23">
        <v>103.74</v>
      </c>
      <c r="H139" s="23">
        <v>171689.7</v>
      </c>
      <c r="I139" s="24" t="s">
        <v>465</v>
      </c>
      <c r="J139" s="16">
        <f t="shared" si="34"/>
        <v>0</v>
      </c>
      <c r="K139" s="16">
        <f t="shared" si="35"/>
        <v>0</v>
      </c>
      <c r="L139" s="15">
        <f t="shared" si="36"/>
        <v>0</v>
      </c>
      <c r="M139" s="15">
        <f t="shared" si="37"/>
        <v>0</v>
      </c>
      <c r="N139" s="15">
        <f t="shared" si="38"/>
        <v>0</v>
      </c>
      <c r="O139" s="16">
        <f t="shared" si="39"/>
        <v>1655</v>
      </c>
      <c r="P139" s="15">
        <f t="shared" si="40"/>
        <v>0</v>
      </c>
      <c r="Q139" s="15">
        <f t="shared" si="41"/>
        <v>0</v>
      </c>
      <c r="R139" s="18">
        <f t="shared" si="42"/>
        <v>0</v>
      </c>
      <c r="S139" s="18">
        <f t="shared" si="43"/>
        <v>0</v>
      </c>
      <c r="T139" s="18">
        <f t="shared" si="44"/>
        <v>0</v>
      </c>
      <c r="U139" s="18">
        <f t="shared" si="45"/>
        <v>0</v>
      </c>
      <c r="V139" s="18">
        <f t="shared" si="46"/>
        <v>0</v>
      </c>
      <c r="W139" s="18">
        <f t="shared" si="47"/>
        <v>0</v>
      </c>
      <c r="X139" s="18">
        <f t="shared" si="48"/>
        <v>0</v>
      </c>
      <c r="Y139" s="18">
        <f t="shared" si="49"/>
        <v>0</v>
      </c>
      <c r="Z139" s="15">
        <f t="shared" si="50"/>
        <v>1655</v>
      </c>
    </row>
    <row r="140" spans="1:26" ht="45" x14ac:dyDescent="0.25">
      <c r="A140" s="20">
        <v>139</v>
      </c>
      <c r="B140" s="21" t="s">
        <v>375</v>
      </c>
      <c r="C140" s="22" t="s">
        <v>376</v>
      </c>
      <c r="D140" s="20">
        <v>260</v>
      </c>
      <c r="E140" s="20">
        <v>0</v>
      </c>
      <c r="F140" s="20">
        <v>260</v>
      </c>
      <c r="G140" s="23">
        <v>217.98</v>
      </c>
      <c r="H140" s="23">
        <v>56674.8</v>
      </c>
      <c r="I140" s="24" t="s">
        <v>466</v>
      </c>
      <c r="J140" s="16">
        <f t="shared" si="34"/>
        <v>0</v>
      </c>
      <c r="K140" s="16">
        <f t="shared" si="35"/>
        <v>0</v>
      </c>
      <c r="L140" s="15">
        <f t="shared" si="36"/>
        <v>0</v>
      </c>
      <c r="M140" s="15">
        <f t="shared" si="37"/>
        <v>0</v>
      </c>
      <c r="N140" s="15">
        <f t="shared" si="38"/>
        <v>0</v>
      </c>
      <c r="O140" s="16">
        <f t="shared" si="39"/>
        <v>260</v>
      </c>
      <c r="P140" s="15">
        <f t="shared" si="40"/>
        <v>0</v>
      </c>
      <c r="Q140" s="15">
        <f t="shared" si="41"/>
        <v>0</v>
      </c>
      <c r="R140" s="18">
        <f t="shared" si="42"/>
        <v>0</v>
      </c>
      <c r="S140" s="18">
        <f t="shared" si="43"/>
        <v>0</v>
      </c>
      <c r="T140" s="18">
        <f t="shared" si="44"/>
        <v>0</v>
      </c>
      <c r="U140" s="18">
        <f t="shared" si="45"/>
        <v>0</v>
      </c>
      <c r="V140" s="18">
        <f t="shared" si="46"/>
        <v>0</v>
      </c>
      <c r="W140" s="18">
        <f t="shared" si="47"/>
        <v>0</v>
      </c>
      <c r="X140" s="18">
        <f t="shared" si="48"/>
        <v>0</v>
      </c>
      <c r="Y140" s="18">
        <f t="shared" si="49"/>
        <v>0</v>
      </c>
      <c r="Z140" s="15">
        <f t="shared" si="50"/>
        <v>260</v>
      </c>
    </row>
    <row r="141" spans="1:26" ht="45" x14ac:dyDescent="0.25">
      <c r="A141" s="20">
        <v>140</v>
      </c>
      <c r="B141" s="21" t="s">
        <v>378</v>
      </c>
      <c r="C141" s="22" t="s">
        <v>379</v>
      </c>
      <c r="D141" s="20">
        <v>50</v>
      </c>
      <c r="E141" s="20">
        <v>0</v>
      </c>
      <c r="F141" s="20">
        <v>50</v>
      </c>
      <c r="G141" s="23">
        <v>21.5</v>
      </c>
      <c r="H141" s="23">
        <v>1075</v>
      </c>
      <c r="I141" s="24" t="s">
        <v>467</v>
      </c>
      <c r="J141" s="16">
        <f t="shared" si="34"/>
        <v>50</v>
      </c>
      <c r="K141" s="16">
        <f t="shared" si="35"/>
        <v>0</v>
      </c>
      <c r="L141" s="15">
        <f t="shared" si="36"/>
        <v>0</v>
      </c>
      <c r="M141" s="15">
        <f t="shared" si="37"/>
        <v>0</v>
      </c>
      <c r="N141" s="15">
        <f t="shared" si="38"/>
        <v>0</v>
      </c>
      <c r="O141" s="16">
        <f t="shared" si="39"/>
        <v>0</v>
      </c>
      <c r="P141" s="15">
        <f t="shared" si="40"/>
        <v>0</v>
      </c>
      <c r="Q141" s="15">
        <f t="shared" si="41"/>
        <v>0</v>
      </c>
      <c r="R141" s="18">
        <f t="shared" si="42"/>
        <v>0</v>
      </c>
      <c r="S141" s="18">
        <f t="shared" si="43"/>
        <v>0</v>
      </c>
      <c r="T141" s="18">
        <f t="shared" si="44"/>
        <v>0</v>
      </c>
      <c r="U141" s="18">
        <f t="shared" si="45"/>
        <v>0</v>
      </c>
      <c r="V141" s="18">
        <f t="shared" si="46"/>
        <v>0</v>
      </c>
      <c r="W141" s="18">
        <f t="shared" si="47"/>
        <v>0</v>
      </c>
      <c r="X141" s="18">
        <f t="shared" si="48"/>
        <v>0</v>
      </c>
      <c r="Y141" s="18">
        <f t="shared" si="49"/>
        <v>0</v>
      </c>
      <c r="Z141" s="15">
        <f t="shared" si="50"/>
        <v>50</v>
      </c>
    </row>
    <row r="142" spans="1:26" ht="45" x14ac:dyDescent="0.25">
      <c r="A142" s="20">
        <v>141</v>
      </c>
      <c r="B142" s="21" t="s">
        <v>381</v>
      </c>
      <c r="C142" s="22" t="s">
        <v>382</v>
      </c>
      <c r="D142" s="20">
        <v>50</v>
      </c>
      <c r="E142" s="20">
        <v>0</v>
      </c>
      <c r="F142" s="20">
        <v>50</v>
      </c>
      <c r="G142" s="23">
        <v>33.5</v>
      </c>
      <c r="H142" s="23">
        <v>1675</v>
      </c>
      <c r="I142" s="24" t="s">
        <v>467</v>
      </c>
      <c r="J142" s="16">
        <f t="shared" si="34"/>
        <v>50</v>
      </c>
      <c r="K142" s="16">
        <f t="shared" si="35"/>
        <v>0</v>
      </c>
      <c r="L142" s="15">
        <f t="shared" si="36"/>
        <v>0</v>
      </c>
      <c r="M142" s="15">
        <f t="shared" si="37"/>
        <v>0</v>
      </c>
      <c r="N142" s="15">
        <f t="shared" si="38"/>
        <v>0</v>
      </c>
      <c r="O142" s="16">
        <f t="shared" si="39"/>
        <v>0</v>
      </c>
      <c r="P142" s="15">
        <f t="shared" si="40"/>
        <v>0</v>
      </c>
      <c r="Q142" s="15">
        <f t="shared" si="41"/>
        <v>0</v>
      </c>
      <c r="R142" s="18">
        <f t="shared" si="42"/>
        <v>0</v>
      </c>
      <c r="S142" s="18">
        <f t="shared" si="43"/>
        <v>0</v>
      </c>
      <c r="T142" s="18">
        <f t="shared" si="44"/>
        <v>0</v>
      </c>
      <c r="U142" s="18">
        <f t="shared" si="45"/>
        <v>0</v>
      </c>
      <c r="V142" s="18">
        <f t="shared" si="46"/>
        <v>0</v>
      </c>
      <c r="W142" s="18">
        <f t="shared" si="47"/>
        <v>0</v>
      </c>
      <c r="X142" s="18">
        <f t="shared" si="48"/>
        <v>0</v>
      </c>
      <c r="Y142" s="18">
        <f t="shared" si="49"/>
        <v>0</v>
      </c>
      <c r="Z142" s="15">
        <f t="shared" si="50"/>
        <v>50</v>
      </c>
    </row>
    <row r="143" spans="1:26" ht="30" x14ac:dyDescent="0.25">
      <c r="A143" s="20">
        <v>142</v>
      </c>
      <c r="B143" s="21" t="s">
        <v>383</v>
      </c>
      <c r="C143" s="22" t="s">
        <v>384</v>
      </c>
      <c r="D143" s="20">
        <v>2</v>
      </c>
      <c r="E143" s="20">
        <v>0</v>
      </c>
      <c r="F143" s="20">
        <v>2</v>
      </c>
      <c r="G143" s="23">
        <v>28000</v>
      </c>
      <c r="H143" s="23">
        <v>56000</v>
      </c>
      <c r="I143" s="24" t="s">
        <v>359</v>
      </c>
      <c r="J143" s="16">
        <f t="shared" si="34"/>
        <v>0</v>
      </c>
      <c r="K143" s="16">
        <f t="shared" si="35"/>
        <v>0</v>
      </c>
      <c r="L143" s="15">
        <f t="shared" si="36"/>
        <v>0</v>
      </c>
      <c r="M143" s="15">
        <f t="shared" si="37"/>
        <v>0</v>
      </c>
      <c r="N143" s="15">
        <f t="shared" si="38"/>
        <v>0</v>
      </c>
      <c r="O143" s="16">
        <f t="shared" si="39"/>
        <v>0</v>
      </c>
      <c r="P143" s="15">
        <f t="shared" si="40"/>
        <v>0</v>
      </c>
      <c r="Q143" s="15">
        <f t="shared" si="41"/>
        <v>0</v>
      </c>
      <c r="R143" s="18">
        <f t="shared" si="42"/>
        <v>0</v>
      </c>
      <c r="S143" s="18">
        <f t="shared" si="43"/>
        <v>0</v>
      </c>
      <c r="T143" s="18">
        <f t="shared" si="44"/>
        <v>0</v>
      </c>
      <c r="U143" s="18">
        <f t="shared" si="45"/>
        <v>0</v>
      </c>
      <c r="V143" s="18">
        <f t="shared" si="46"/>
        <v>0</v>
      </c>
      <c r="W143" s="18">
        <f t="shared" si="47"/>
        <v>0</v>
      </c>
      <c r="X143" s="18">
        <f t="shared" si="48"/>
        <v>0</v>
      </c>
      <c r="Y143" s="18">
        <f t="shared" si="49"/>
        <v>2</v>
      </c>
      <c r="Z143" s="15">
        <f t="shared" si="50"/>
        <v>2</v>
      </c>
    </row>
    <row r="144" spans="1:26" ht="30" x14ac:dyDescent="0.25">
      <c r="A144" s="20">
        <v>143</v>
      </c>
      <c r="B144" s="21" t="s">
        <v>385</v>
      </c>
      <c r="C144" s="22" t="s">
        <v>386</v>
      </c>
      <c r="D144" s="20">
        <v>410</v>
      </c>
      <c r="E144" s="20">
        <v>0</v>
      </c>
      <c r="F144" s="20">
        <v>410</v>
      </c>
      <c r="G144" s="23">
        <v>15</v>
      </c>
      <c r="H144" s="23">
        <v>6150</v>
      </c>
      <c r="I144" s="24" t="s">
        <v>387</v>
      </c>
      <c r="J144" s="16">
        <f t="shared" si="34"/>
        <v>410</v>
      </c>
      <c r="K144" s="16">
        <f t="shared" si="35"/>
        <v>0</v>
      </c>
      <c r="L144" s="15">
        <f t="shared" si="36"/>
        <v>0</v>
      </c>
      <c r="M144" s="15">
        <f t="shared" si="37"/>
        <v>0</v>
      </c>
      <c r="N144" s="15">
        <f t="shared" si="38"/>
        <v>0</v>
      </c>
      <c r="O144" s="16">
        <f t="shared" si="39"/>
        <v>0</v>
      </c>
      <c r="P144" s="15">
        <f t="shared" si="40"/>
        <v>0</v>
      </c>
      <c r="Q144" s="15">
        <f t="shared" si="41"/>
        <v>0</v>
      </c>
      <c r="R144" s="18">
        <f t="shared" si="42"/>
        <v>0</v>
      </c>
      <c r="S144" s="18">
        <f t="shared" si="43"/>
        <v>0</v>
      </c>
      <c r="T144" s="18">
        <f t="shared" si="44"/>
        <v>0</v>
      </c>
      <c r="U144" s="18">
        <f t="shared" si="45"/>
        <v>0</v>
      </c>
      <c r="V144" s="18">
        <f t="shared" si="46"/>
        <v>0</v>
      </c>
      <c r="W144" s="18">
        <f t="shared" si="47"/>
        <v>0</v>
      </c>
      <c r="X144" s="18">
        <f t="shared" si="48"/>
        <v>0</v>
      </c>
      <c r="Y144" s="18">
        <f t="shared" si="49"/>
        <v>0</v>
      </c>
      <c r="Z144" s="15">
        <f t="shared" si="50"/>
        <v>410</v>
      </c>
    </row>
    <row r="145" spans="1:26" ht="45" x14ac:dyDescent="0.25">
      <c r="A145" s="20">
        <v>144</v>
      </c>
      <c r="B145" s="21" t="s">
        <v>388</v>
      </c>
      <c r="C145" s="22" t="s">
        <v>389</v>
      </c>
      <c r="D145" s="20">
        <v>1</v>
      </c>
      <c r="E145" s="20">
        <v>0</v>
      </c>
      <c r="F145" s="20">
        <v>1</v>
      </c>
      <c r="G145" s="23">
        <v>27600</v>
      </c>
      <c r="H145" s="23">
        <v>27600</v>
      </c>
      <c r="I145" s="24" t="s">
        <v>12</v>
      </c>
      <c r="J145" s="16">
        <f t="shared" si="34"/>
        <v>1</v>
      </c>
      <c r="K145" s="16">
        <f t="shared" si="35"/>
        <v>0</v>
      </c>
      <c r="L145" s="15">
        <f t="shared" si="36"/>
        <v>0</v>
      </c>
      <c r="M145" s="15">
        <f t="shared" si="37"/>
        <v>0</v>
      </c>
      <c r="N145" s="15">
        <f t="shared" si="38"/>
        <v>0</v>
      </c>
      <c r="O145" s="16">
        <f t="shared" si="39"/>
        <v>0</v>
      </c>
      <c r="P145" s="15">
        <f t="shared" si="40"/>
        <v>0</v>
      </c>
      <c r="Q145" s="15">
        <f t="shared" si="41"/>
        <v>0</v>
      </c>
      <c r="R145" s="18">
        <f t="shared" si="42"/>
        <v>0</v>
      </c>
      <c r="S145" s="18">
        <f t="shared" si="43"/>
        <v>0</v>
      </c>
      <c r="T145" s="18">
        <f t="shared" si="44"/>
        <v>0</v>
      </c>
      <c r="U145" s="18">
        <f t="shared" si="45"/>
        <v>0</v>
      </c>
      <c r="V145" s="18">
        <f t="shared" si="46"/>
        <v>0</v>
      </c>
      <c r="W145" s="18">
        <f t="shared" si="47"/>
        <v>0</v>
      </c>
      <c r="X145" s="18">
        <f t="shared" si="48"/>
        <v>0</v>
      </c>
      <c r="Y145" s="18">
        <f t="shared" si="49"/>
        <v>0</v>
      </c>
      <c r="Z145" s="15">
        <f t="shared" si="50"/>
        <v>1</v>
      </c>
    </row>
    <row r="146" spans="1:26" x14ac:dyDescent="0.25">
      <c r="A146" s="35" t="s">
        <v>390</v>
      </c>
      <c r="B146" s="35"/>
      <c r="C146" s="35"/>
      <c r="D146" s="35"/>
      <c r="E146" s="35"/>
      <c r="F146" s="35"/>
      <c r="G146" s="35"/>
      <c r="H146" s="25">
        <f>SUM(H3:H145)</f>
        <v>25006637.480000008</v>
      </c>
      <c r="I146" s="26"/>
    </row>
    <row r="147" spans="1:26" x14ac:dyDescent="0.25">
      <c r="H147" s="5"/>
    </row>
    <row r="148" spans="1:26" x14ac:dyDescent="0.25">
      <c r="H148" s="5"/>
    </row>
  </sheetData>
  <mergeCells count="2">
    <mergeCell ref="A146:G146"/>
    <mergeCell ref="A1:Z1"/>
  </mergeCells>
  <pageMargins left="0.25" right="0.25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2767-D8E3-4C96-927B-92D0D90413A8}">
  <dimension ref="A1:Z146"/>
  <sheetViews>
    <sheetView tabSelected="1" workbookViewId="0">
      <selection activeCell="K7" sqref="K7"/>
    </sheetView>
  </sheetViews>
  <sheetFormatPr defaultRowHeight="15" x14ac:dyDescent="0.25"/>
  <cols>
    <col min="1" max="1" width="9.140625" style="1"/>
    <col min="2" max="2" width="29.7109375" style="14" customWidth="1"/>
    <col min="3" max="3" width="17.42578125" style="1" customWidth="1"/>
    <col min="4" max="4" width="10.5703125" style="1" bestFit="1" customWidth="1"/>
    <col min="5" max="5" width="12.140625" style="1" bestFit="1" customWidth="1"/>
    <col min="6" max="6" width="11.28515625" style="1" bestFit="1" customWidth="1"/>
    <col min="7" max="7" width="12.28515625" style="1" bestFit="1" customWidth="1"/>
    <col min="8" max="8" width="15" style="1" bestFit="1" customWidth="1"/>
    <col min="9" max="9" width="27.140625" style="14" customWidth="1"/>
    <col min="10" max="14" width="9.140625" style="1"/>
    <col min="15" max="15" width="10.42578125" style="1" customWidth="1"/>
    <col min="16" max="20" width="9.140625" style="1"/>
    <col min="21" max="21" width="11.28515625" style="1" bestFit="1" customWidth="1"/>
    <col min="22" max="16384" width="9.140625" style="1"/>
  </cols>
  <sheetData>
    <row r="1" spans="1:26" x14ac:dyDescent="0.25">
      <c r="A1" s="39" t="s">
        <v>468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30" x14ac:dyDescent="0.25">
      <c r="A2" s="17" t="s">
        <v>1</v>
      </c>
      <c r="B2" s="19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44" t="s">
        <v>9</v>
      </c>
      <c r="J2" s="17" t="s">
        <v>391</v>
      </c>
      <c r="K2" s="17" t="s">
        <v>392</v>
      </c>
      <c r="L2" s="17" t="s">
        <v>393</v>
      </c>
      <c r="M2" s="17" t="s">
        <v>394</v>
      </c>
      <c r="N2" s="17" t="s">
        <v>395</v>
      </c>
      <c r="O2" s="17" t="s">
        <v>396</v>
      </c>
      <c r="P2" s="17" t="s">
        <v>397</v>
      </c>
      <c r="Q2" s="17" t="s">
        <v>398</v>
      </c>
      <c r="R2" s="17" t="s">
        <v>399</v>
      </c>
      <c r="S2" s="17" t="s">
        <v>400</v>
      </c>
      <c r="T2" s="17" t="s">
        <v>401</v>
      </c>
      <c r="U2" s="17" t="s">
        <v>402</v>
      </c>
      <c r="V2" s="17" t="s">
        <v>403</v>
      </c>
      <c r="W2" s="17" t="s">
        <v>404</v>
      </c>
      <c r="X2" s="17" t="s">
        <v>405</v>
      </c>
      <c r="Y2" s="17" t="s">
        <v>406</v>
      </c>
      <c r="Z2" s="17" t="s">
        <v>407</v>
      </c>
    </row>
    <row r="3" spans="1:26" ht="30" x14ac:dyDescent="0.25">
      <c r="A3" s="15">
        <v>1</v>
      </c>
      <c r="B3" s="27" t="s">
        <v>10</v>
      </c>
      <c r="C3" s="15" t="s">
        <v>11</v>
      </c>
      <c r="D3" s="15">
        <v>260</v>
      </c>
      <c r="E3" s="15">
        <v>259</v>
      </c>
      <c r="F3" s="15">
        <v>1</v>
      </c>
      <c r="G3" s="40">
        <v>6901.15</v>
      </c>
      <c r="H3" s="40">
        <f>G3*F3</f>
        <v>6901.15</v>
      </c>
      <c r="I3" s="27" t="s">
        <v>12</v>
      </c>
      <c r="J3" s="15">
        <v>1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1</v>
      </c>
    </row>
    <row r="4" spans="1:26" ht="30" x14ac:dyDescent="0.25">
      <c r="A4" s="15">
        <v>2</v>
      </c>
      <c r="B4" s="27" t="s">
        <v>13</v>
      </c>
      <c r="C4" s="15" t="s">
        <v>14</v>
      </c>
      <c r="D4" s="15">
        <v>20</v>
      </c>
      <c r="E4" s="15">
        <v>10</v>
      </c>
      <c r="F4" s="15">
        <v>10</v>
      </c>
      <c r="G4" s="40">
        <v>4553</v>
      </c>
      <c r="H4" s="40">
        <f t="shared" ref="H4:H67" si="0">G4*F4</f>
        <v>45530</v>
      </c>
      <c r="I4" s="27" t="s">
        <v>15</v>
      </c>
      <c r="J4" s="15">
        <v>10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10</v>
      </c>
    </row>
    <row r="5" spans="1:26" x14ac:dyDescent="0.25">
      <c r="A5" s="15">
        <v>3</v>
      </c>
      <c r="B5" s="27" t="s">
        <v>16</v>
      </c>
      <c r="C5" s="15" t="s">
        <v>17</v>
      </c>
      <c r="D5" s="15">
        <v>445</v>
      </c>
      <c r="E5" s="15">
        <v>427</v>
      </c>
      <c r="F5" s="15">
        <v>18</v>
      </c>
      <c r="G5" s="40">
        <v>19800</v>
      </c>
      <c r="H5" s="40">
        <f t="shared" si="0"/>
        <v>356400</v>
      </c>
      <c r="I5" s="27" t="s">
        <v>18</v>
      </c>
      <c r="J5" s="15">
        <v>18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18</v>
      </c>
    </row>
    <row r="6" spans="1:26" x14ac:dyDescent="0.25">
      <c r="A6" s="15">
        <v>4</v>
      </c>
      <c r="B6" s="27" t="s">
        <v>19</v>
      </c>
      <c r="C6" s="15" t="s">
        <v>20</v>
      </c>
      <c r="D6" s="15">
        <v>250</v>
      </c>
      <c r="E6" s="15">
        <v>243</v>
      </c>
      <c r="F6" s="15">
        <v>7</v>
      </c>
      <c r="G6" s="40">
        <v>3151</v>
      </c>
      <c r="H6" s="40">
        <f t="shared" si="0"/>
        <v>22057</v>
      </c>
      <c r="I6" s="27" t="s">
        <v>21</v>
      </c>
      <c r="J6" s="15">
        <v>5</v>
      </c>
      <c r="K6" s="15">
        <v>2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7</v>
      </c>
    </row>
    <row r="7" spans="1:26" ht="30" x14ac:dyDescent="0.25">
      <c r="A7" s="15">
        <v>5</v>
      </c>
      <c r="B7" s="27" t="s">
        <v>22</v>
      </c>
      <c r="C7" s="15" t="s">
        <v>23</v>
      </c>
      <c r="D7" s="15">
        <v>600</v>
      </c>
      <c r="E7" s="15">
        <v>413</v>
      </c>
      <c r="F7" s="15">
        <v>187</v>
      </c>
      <c r="G7" s="40">
        <v>7435.33</v>
      </c>
      <c r="H7" s="40">
        <f t="shared" si="0"/>
        <v>1390406.71</v>
      </c>
      <c r="I7" s="27" t="s">
        <v>408</v>
      </c>
      <c r="J7" s="15">
        <v>2</v>
      </c>
      <c r="K7" s="15">
        <v>0</v>
      </c>
      <c r="L7" s="15">
        <v>183</v>
      </c>
      <c r="M7" s="15">
        <v>0</v>
      </c>
      <c r="N7" s="15">
        <v>0</v>
      </c>
      <c r="O7" s="15">
        <v>0</v>
      </c>
      <c r="P7" s="15">
        <v>0</v>
      </c>
      <c r="Q7" s="15">
        <v>2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187</v>
      </c>
    </row>
    <row r="8" spans="1:26" ht="45" x14ac:dyDescent="0.25">
      <c r="A8" s="15">
        <v>6</v>
      </c>
      <c r="B8" s="27" t="s">
        <v>25</v>
      </c>
      <c r="C8" s="15" t="s">
        <v>26</v>
      </c>
      <c r="D8" s="15">
        <v>171</v>
      </c>
      <c r="E8" s="15">
        <v>141</v>
      </c>
      <c r="F8" s="15">
        <v>30</v>
      </c>
      <c r="G8" s="40">
        <v>12228</v>
      </c>
      <c r="H8" s="40">
        <f t="shared" si="0"/>
        <v>366840</v>
      </c>
      <c r="I8" s="27" t="s">
        <v>27</v>
      </c>
      <c r="J8" s="15">
        <v>13</v>
      </c>
      <c r="K8" s="15">
        <v>0</v>
      </c>
      <c r="L8" s="15">
        <v>3</v>
      </c>
      <c r="M8" s="15">
        <v>1</v>
      </c>
      <c r="N8" s="15">
        <v>3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10</v>
      </c>
      <c r="Y8" s="15">
        <v>0</v>
      </c>
      <c r="Z8" s="15">
        <v>30</v>
      </c>
    </row>
    <row r="9" spans="1:26" ht="45" x14ac:dyDescent="0.25">
      <c r="A9" s="15">
        <v>7</v>
      </c>
      <c r="B9" s="27" t="s">
        <v>28</v>
      </c>
      <c r="C9" s="15" t="s">
        <v>29</v>
      </c>
      <c r="D9" s="15">
        <v>391</v>
      </c>
      <c r="E9" s="15">
        <v>296</v>
      </c>
      <c r="F9" s="15">
        <v>95</v>
      </c>
      <c r="G9" s="40">
        <v>12438.99</v>
      </c>
      <c r="H9" s="40">
        <f t="shared" si="0"/>
        <v>1181704.05</v>
      </c>
      <c r="I9" s="27" t="s">
        <v>30</v>
      </c>
      <c r="J9" s="15">
        <v>7</v>
      </c>
      <c r="K9" s="15">
        <v>0</v>
      </c>
      <c r="L9" s="15">
        <v>22</v>
      </c>
      <c r="M9" s="15">
        <v>36</v>
      </c>
      <c r="N9" s="15">
        <v>4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26</v>
      </c>
      <c r="Y9" s="15">
        <v>0</v>
      </c>
      <c r="Z9" s="15">
        <v>95</v>
      </c>
    </row>
    <row r="10" spans="1:26" ht="60" x14ac:dyDescent="0.25">
      <c r="A10" s="15">
        <v>8</v>
      </c>
      <c r="B10" s="27" t="s">
        <v>31</v>
      </c>
      <c r="C10" s="15" t="s">
        <v>32</v>
      </c>
      <c r="D10" s="15">
        <v>139</v>
      </c>
      <c r="E10" s="15">
        <v>90</v>
      </c>
      <c r="F10" s="15">
        <v>49</v>
      </c>
      <c r="G10" s="40">
        <v>13333.54</v>
      </c>
      <c r="H10" s="40">
        <f t="shared" si="0"/>
        <v>653343.46000000008</v>
      </c>
      <c r="I10" s="27" t="s">
        <v>409</v>
      </c>
      <c r="J10" s="15">
        <v>8</v>
      </c>
      <c r="K10" s="15">
        <v>0</v>
      </c>
      <c r="L10" s="15">
        <v>9</v>
      </c>
      <c r="M10" s="15">
        <v>22</v>
      </c>
      <c r="N10" s="15">
        <v>4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6</v>
      </c>
      <c r="Y10" s="15">
        <v>0</v>
      </c>
      <c r="Z10" s="15">
        <v>49</v>
      </c>
    </row>
    <row r="11" spans="1:26" ht="45" x14ac:dyDescent="0.25">
      <c r="A11" s="15">
        <v>9</v>
      </c>
      <c r="B11" s="27" t="s">
        <v>34</v>
      </c>
      <c r="C11" s="15" t="s">
        <v>35</v>
      </c>
      <c r="D11" s="15">
        <v>750</v>
      </c>
      <c r="E11" s="15">
        <v>471</v>
      </c>
      <c r="F11" s="15">
        <v>279</v>
      </c>
      <c r="G11" s="40">
        <v>1872</v>
      </c>
      <c r="H11" s="40">
        <f t="shared" si="0"/>
        <v>522288</v>
      </c>
      <c r="I11" s="27" t="s">
        <v>36</v>
      </c>
      <c r="J11" s="15">
        <v>279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279</v>
      </c>
    </row>
    <row r="12" spans="1:26" ht="75" x14ac:dyDescent="0.25">
      <c r="A12" s="15">
        <v>10</v>
      </c>
      <c r="B12" s="27" t="s">
        <v>410</v>
      </c>
      <c r="C12" s="15" t="s">
        <v>38</v>
      </c>
      <c r="D12" s="15">
        <v>750</v>
      </c>
      <c r="E12" s="15">
        <v>643</v>
      </c>
      <c r="F12" s="15">
        <v>107</v>
      </c>
      <c r="G12" s="40">
        <v>16560</v>
      </c>
      <c r="H12" s="40">
        <f t="shared" si="0"/>
        <v>1771920</v>
      </c>
      <c r="I12" s="27" t="s">
        <v>39</v>
      </c>
      <c r="J12" s="15">
        <v>65</v>
      </c>
      <c r="K12" s="15">
        <v>1</v>
      </c>
      <c r="L12" s="15">
        <v>0</v>
      </c>
      <c r="M12" s="15">
        <v>3</v>
      </c>
      <c r="N12" s="15">
        <v>12</v>
      </c>
      <c r="O12" s="15">
        <v>0</v>
      </c>
      <c r="P12" s="15">
        <v>26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107</v>
      </c>
    </row>
    <row r="13" spans="1:26" ht="60" x14ac:dyDescent="0.25">
      <c r="A13" s="15">
        <v>11</v>
      </c>
      <c r="B13" s="27" t="s">
        <v>411</v>
      </c>
      <c r="C13" s="15" t="s">
        <v>41</v>
      </c>
      <c r="D13" s="15">
        <v>778</v>
      </c>
      <c r="E13" s="15">
        <v>705</v>
      </c>
      <c r="F13" s="15">
        <v>73</v>
      </c>
      <c r="G13" s="40">
        <v>15649.36</v>
      </c>
      <c r="H13" s="40">
        <f t="shared" si="0"/>
        <v>1142403.28</v>
      </c>
      <c r="I13" s="27" t="s">
        <v>42</v>
      </c>
      <c r="J13" s="15">
        <v>30</v>
      </c>
      <c r="K13" s="15">
        <v>2</v>
      </c>
      <c r="L13" s="15">
        <v>0</v>
      </c>
      <c r="M13" s="15">
        <v>3</v>
      </c>
      <c r="N13" s="15">
        <v>12</v>
      </c>
      <c r="O13" s="15">
        <v>0</v>
      </c>
      <c r="P13" s="15">
        <v>26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73</v>
      </c>
    </row>
    <row r="14" spans="1:26" x14ac:dyDescent="0.25">
      <c r="A14" s="15">
        <v>12</v>
      </c>
      <c r="B14" s="27" t="s">
        <v>43</v>
      </c>
      <c r="C14" s="15" t="s">
        <v>44</v>
      </c>
      <c r="D14" s="15">
        <v>1830</v>
      </c>
      <c r="E14" s="15">
        <v>1580</v>
      </c>
      <c r="F14" s="15">
        <v>250</v>
      </c>
      <c r="G14" s="40">
        <v>20.25</v>
      </c>
      <c r="H14" s="40">
        <f t="shared" si="0"/>
        <v>5062.5</v>
      </c>
      <c r="I14" s="27" t="s">
        <v>412</v>
      </c>
      <c r="J14" s="15">
        <v>250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250</v>
      </c>
    </row>
    <row r="15" spans="1:26" x14ac:dyDescent="0.25">
      <c r="A15" s="15">
        <v>13</v>
      </c>
      <c r="B15" s="27" t="s">
        <v>46</v>
      </c>
      <c r="C15" s="15" t="s">
        <v>47</v>
      </c>
      <c r="D15" s="15">
        <v>12</v>
      </c>
      <c r="E15" s="15">
        <v>3</v>
      </c>
      <c r="F15" s="15">
        <v>9</v>
      </c>
      <c r="G15" s="40">
        <v>29000</v>
      </c>
      <c r="H15" s="40">
        <f t="shared" si="0"/>
        <v>261000</v>
      </c>
      <c r="I15" s="27" t="s">
        <v>48</v>
      </c>
      <c r="J15" s="15">
        <v>1</v>
      </c>
      <c r="K15" s="15">
        <v>0</v>
      </c>
      <c r="L15" s="15">
        <v>8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9</v>
      </c>
    </row>
    <row r="16" spans="1:26" x14ac:dyDescent="0.25">
      <c r="A16" s="15">
        <v>14</v>
      </c>
      <c r="B16" s="27" t="s">
        <v>49</v>
      </c>
      <c r="C16" s="15" t="s">
        <v>50</v>
      </c>
      <c r="D16" s="15">
        <v>5</v>
      </c>
      <c r="E16" s="15">
        <v>1</v>
      </c>
      <c r="F16" s="15">
        <v>4</v>
      </c>
      <c r="G16" s="40">
        <v>618</v>
      </c>
      <c r="H16" s="40">
        <f t="shared" si="0"/>
        <v>2472</v>
      </c>
      <c r="I16" s="27" t="s">
        <v>51</v>
      </c>
      <c r="J16" s="15">
        <v>4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4</v>
      </c>
    </row>
    <row r="17" spans="1:26" x14ac:dyDescent="0.25">
      <c r="A17" s="15">
        <v>15</v>
      </c>
      <c r="B17" s="27" t="s">
        <v>52</v>
      </c>
      <c r="C17" s="15" t="s">
        <v>53</v>
      </c>
      <c r="D17" s="15">
        <v>3</v>
      </c>
      <c r="E17" s="15">
        <v>2</v>
      </c>
      <c r="F17" s="15">
        <v>1</v>
      </c>
      <c r="G17" s="40">
        <v>40000</v>
      </c>
      <c r="H17" s="40">
        <f t="shared" si="0"/>
        <v>40000</v>
      </c>
      <c r="I17" s="27" t="s">
        <v>54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</row>
    <row r="18" spans="1:26" x14ac:dyDescent="0.25">
      <c r="A18" s="15">
        <v>16</v>
      </c>
      <c r="B18" s="27" t="s">
        <v>55</v>
      </c>
      <c r="C18" s="15" t="s">
        <v>56</v>
      </c>
      <c r="D18" s="15">
        <v>9992</v>
      </c>
      <c r="E18" s="15">
        <v>9842</v>
      </c>
      <c r="F18" s="15">
        <v>150</v>
      </c>
      <c r="G18" s="40">
        <v>15.22</v>
      </c>
      <c r="H18" s="40">
        <f t="shared" si="0"/>
        <v>2283</v>
      </c>
      <c r="I18" s="27" t="s">
        <v>57</v>
      </c>
      <c r="J18" s="15">
        <v>100</v>
      </c>
      <c r="K18" s="15">
        <v>0</v>
      </c>
      <c r="L18" s="15">
        <v>0</v>
      </c>
      <c r="M18" s="15">
        <v>0</v>
      </c>
      <c r="N18" s="15">
        <v>0</v>
      </c>
      <c r="O18" s="15">
        <v>50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150</v>
      </c>
    </row>
    <row r="19" spans="1:26" ht="30" x14ac:dyDescent="0.25">
      <c r="A19" s="15">
        <v>17</v>
      </c>
      <c r="B19" s="27" t="s">
        <v>58</v>
      </c>
      <c r="C19" s="15" t="s">
        <v>59</v>
      </c>
      <c r="D19" s="15">
        <v>310</v>
      </c>
      <c r="E19" s="15">
        <v>307</v>
      </c>
      <c r="F19" s="15">
        <v>3</v>
      </c>
      <c r="G19" s="40">
        <v>597.24</v>
      </c>
      <c r="H19" s="40">
        <f t="shared" si="0"/>
        <v>1791.72</v>
      </c>
      <c r="I19" s="27" t="s">
        <v>60</v>
      </c>
      <c r="J19" s="15">
        <v>3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3</v>
      </c>
    </row>
    <row r="20" spans="1:26" x14ac:dyDescent="0.25">
      <c r="A20" s="15">
        <v>18</v>
      </c>
      <c r="B20" s="27" t="s">
        <v>61</v>
      </c>
      <c r="C20" s="15" t="s">
        <v>62</v>
      </c>
      <c r="D20" s="15">
        <v>321</v>
      </c>
      <c r="E20" s="15">
        <v>320</v>
      </c>
      <c r="F20" s="15">
        <v>1</v>
      </c>
      <c r="G20" s="40">
        <v>2002.49</v>
      </c>
      <c r="H20" s="40">
        <f t="shared" si="0"/>
        <v>2002.49</v>
      </c>
      <c r="I20" s="27" t="s">
        <v>12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1</v>
      </c>
    </row>
    <row r="21" spans="1:26" x14ac:dyDescent="0.25">
      <c r="A21" s="15">
        <v>19</v>
      </c>
      <c r="B21" s="27" t="s">
        <v>63</v>
      </c>
      <c r="C21" s="15" t="s">
        <v>64</v>
      </c>
      <c r="D21" s="15">
        <v>450</v>
      </c>
      <c r="E21" s="15">
        <v>163</v>
      </c>
      <c r="F21" s="15">
        <v>287</v>
      </c>
      <c r="G21" s="40">
        <v>245</v>
      </c>
      <c r="H21" s="40">
        <f t="shared" si="0"/>
        <v>70315</v>
      </c>
      <c r="I21" s="27" t="s">
        <v>65</v>
      </c>
      <c r="J21" s="15">
        <v>287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287</v>
      </c>
    </row>
    <row r="22" spans="1:26" x14ac:dyDescent="0.25">
      <c r="A22" s="15">
        <v>20</v>
      </c>
      <c r="B22" s="27" t="s">
        <v>66</v>
      </c>
      <c r="C22" s="15" t="s">
        <v>67</v>
      </c>
      <c r="D22" s="15">
        <v>298</v>
      </c>
      <c r="E22" s="15">
        <v>296</v>
      </c>
      <c r="F22" s="15">
        <v>2</v>
      </c>
      <c r="G22" s="40">
        <v>2389.13</v>
      </c>
      <c r="H22" s="40">
        <f t="shared" si="0"/>
        <v>4778.26</v>
      </c>
      <c r="I22" s="27" t="s">
        <v>68</v>
      </c>
      <c r="J22" s="15">
        <v>1</v>
      </c>
      <c r="K22" s="15">
        <v>0</v>
      </c>
      <c r="L22" s="15">
        <v>0</v>
      </c>
      <c r="M22" s="15">
        <v>0</v>
      </c>
      <c r="N22" s="15">
        <v>1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2</v>
      </c>
    </row>
    <row r="23" spans="1:26" x14ac:dyDescent="0.25">
      <c r="A23" s="15">
        <v>21</v>
      </c>
      <c r="B23" s="27" t="s">
        <v>69</v>
      </c>
      <c r="C23" s="15" t="s">
        <v>70</v>
      </c>
      <c r="D23" s="15">
        <v>193</v>
      </c>
      <c r="E23" s="15">
        <v>190</v>
      </c>
      <c r="F23" s="15">
        <v>3</v>
      </c>
      <c r="G23" s="40">
        <v>2253.6799999999998</v>
      </c>
      <c r="H23" s="40">
        <f t="shared" si="0"/>
        <v>6761.0399999999991</v>
      </c>
      <c r="I23" s="27" t="s">
        <v>60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3</v>
      </c>
    </row>
    <row r="24" spans="1:26" x14ac:dyDescent="0.25">
      <c r="A24" s="15">
        <v>22</v>
      </c>
      <c r="B24" s="27" t="s">
        <v>71</v>
      </c>
      <c r="C24" s="15" t="s">
        <v>72</v>
      </c>
      <c r="D24" s="15">
        <v>15</v>
      </c>
      <c r="E24" s="15">
        <v>7</v>
      </c>
      <c r="F24" s="15">
        <v>8</v>
      </c>
      <c r="G24" s="40">
        <v>11500</v>
      </c>
      <c r="H24" s="40">
        <f t="shared" si="0"/>
        <v>92000</v>
      </c>
      <c r="I24" s="27" t="s">
        <v>73</v>
      </c>
      <c r="J24" s="15">
        <v>8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8</v>
      </c>
    </row>
    <row r="25" spans="1:26" x14ac:dyDescent="0.25">
      <c r="A25" s="15">
        <v>23</v>
      </c>
      <c r="B25" s="27" t="s">
        <v>74</v>
      </c>
      <c r="C25" s="15" t="s">
        <v>75</v>
      </c>
      <c r="D25" s="15">
        <v>6</v>
      </c>
      <c r="E25" s="15">
        <v>5</v>
      </c>
      <c r="F25" s="15">
        <v>1</v>
      </c>
      <c r="G25" s="40">
        <v>17000</v>
      </c>
      <c r="H25" s="40">
        <f t="shared" si="0"/>
        <v>17000</v>
      </c>
      <c r="I25" s="27" t="s">
        <v>12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</v>
      </c>
    </row>
    <row r="26" spans="1:26" x14ac:dyDescent="0.25">
      <c r="A26" s="15">
        <v>24</v>
      </c>
      <c r="B26" s="27" t="s">
        <v>76</v>
      </c>
      <c r="C26" s="15" t="s">
        <v>77</v>
      </c>
      <c r="D26" s="15">
        <v>1</v>
      </c>
      <c r="E26" s="15">
        <v>0</v>
      </c>
      <c r="F26" s="15">
        <v>1</v>
      </c>
      <c r="G26" s="40">
        <v>29000</v>
      </c>
      <c r="H26" s="40">
        <f t="shared" si="0"/>
        <v>29000</v>
      </c>
      <c r="I26" s="27" t="s">
        <v>78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</row>
    <row r="27" spans="1:26" ht="30" x14ac:dyDescent="0.25">
      <c r="A27" s="15">
        <v>25</v>
      </c>
      <c r="B27" s="27" t="s">
        <v>79</v>
      </c>
      <c r="C27" s="15" t="s">
        <v>80</v>
      </c>
      <c r="D27" s="15">
        <v>846</v>
      </c>
      <c r="E27" s="15">
        <v>739</v>
      </c>
      <c r="F27" s="15">
        <v>107</v>
      </c>
      <c r="G27" s="40">
        <v>2054.54</v>
      </c>
      <c r="H27" s="40">
        <f t="shared" si="0"/>
        <v>219835.78</v>
      </c>
      <c r="I27" s="27" t="s">
        <v>81</v>
      </c>
      <c r="J27" s="15">
        <v>81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26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107</v>
      </c>
    </row>
    <row r="28" spans="1:26" ht="30" x14ac:dyDescent="0.25">
      <c r="A28" s="15">
        <v>26</v>
      </c>
      <c r="B28" s="27" t="s">
        <v>82</v>
      </c>
      <c r="C28" s="15" t="s">
        <v>83</v>
      </c>
      <c r="D28" s="15">
        <v>8</v>
      </c>
      <c r="E28" s="15">
        <v>2</v>
      </c>
      <c r="F28" s="15">
        <v>6</v>
      </c>
      <c r="G28" s="40">
        <v>14200</v>
      </c>
      <c r="H28" s="40">
        <f t="shared" si="0"/>
        <v>85200</v>
      </c>
      <c r="I28" s="27" t="s">
        <v>84</v>
      </c>
      <c r="J28" s="15">
        <v>0</v>
      </c>
      <c r="K28" s="15">
        <v>0</v>
      </c>
      <c r="L28" s="15">
        <v>6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6</v>
      </c>
    </row>
    <row r="29" spans="1:26" x14ac:dyDescent="0.25">
      <c r="A29" s="15">
        <v>27</v>
      </c>
      <c r="B29" s="27" t="s">
        <v>85</v>
      </c>
      <c r="C29" s="15" t="s">
        <v>86</v>
      </c>
      <c r="D29" s="15">
        <v>5</v>
      </c>
      <c r="E29" s="15">
        <v>3</v>
      </c>
      <c r="F29" s="15">
        <v>2</v>
      </c>
      <c r="G29" s="40">
        <v>660</v>
      </c>
      <c r="H29" s="40">
        <f t="shared" si="0"/>
        <v>1320</v>
      </c>
      <c r="I29" s="27" t="s">
        <v>87</v>
      </c>
      <c r="J29" s="15">
        <v>2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2</v>
      </c>
    </row>
    <row r="30" spans="1:26" ht="30" x14ac:dyDescent="0.25">
      <c r="A30" s="15">
        <v>28</v>
      </c>
      <c r="B30" s="27" t="s">
        <v>88</v>
      </c>
      <c r="C30" s="15" t="s">
        <v>89</v>
      </c>
      <c r="D30" s="15">
        <v>60</v>
      </c>
      <c r="E30" s="15">
        <v>35</v>
      </c>
      <c r="F30" s="15">
        <v>25</v>
      </c>
      <c r="G30" s="40">
        <v>105</v>
      </c>
      <c r="H30" s="40">
        <f t="shared" si="0"/>
        <v>2625</v>
      </c>
      <c r="I30" s="27" t="s">
        <v>413</v>
      </c>
      <c r="J30" s="15">
        <v>25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25</v>
      </c>
    </row>
    <row r="31" spans="1:26" ht="30" x14ac:dyDescent="0.25">
      <c r="A31" s="15">
        <v>29</v>
      </c>
      <c r="B31" s="27" t="s">
        <v>91</v>
      </c>
      <c r="C31" s="15" t="s">
        <v>92</v>
      </c>
      <c r="D31" s="15">
        <v>65</v>
      </c>
      <c r="E31" s="15">
        <v>60</v>
      </c>
      <c r="F31" s="15">
        <v>5</v>
      </c>
      <c r="G31" s="40">
        <v>175</v>
      </c>
      <c r="H31" s="40">
        <f t="shared" si="0"/>
        <v>875</v>
      </c>
      <c r="I31" s="27" t="s">
        <v>93</v>
      </c>
      <c r="J31" s="15">
        <v>5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5</v>
      </c>
    </row>
    <row r="32" spans="1:26" ht="30" x14ac:dyDescent="0.25">
      <c r="A32" s="15">
        <v>30</v>
      </c>
      <c r="B32" s="27" t="s">
        <v>94</v>
      </c>
      <c r="C32" s="15" t="s">
        <v>95</v>
      </c>
      <c r="D32" s="15">
        <v>3</v>
      </c>
      <c r="E32" s="15">
        <v>1</v>
      </c>
      <c r="F32" s="15">
        <v>2</v>
      </c>
      <c r="G32" s="40">
        <v>3800</v>
      </c>
      <c r="H32" s="40">
        <f t="shared" si="0"/>
        <v>7600</v>
      </c>
      <c r="I32" s="27" t="s">
        <v>87</v>
      </c>
      <c r="J32" s="15">
        <v>2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2</v>
      </c>
    </row>
    <row r="33" spans="1:26" ht="30" x14ac:dyDescent="0.25">
      <c r="A33" s="15">
        <v>31</v>
      </c>
      <c r="B33" s="27" t="s">
        <v>96</v>
      </c>
      <c r="C33" s="15" t="s">
        <v>97</v>
      </c>
      <c r="D33" s="15">
        <v>14</v>
      </c>
      <c r="E33" s="15">
        <v>12</v>
      </c>
      <c r="F33" s="15">
        <v>2</v>
      </c>
      <c r="G33" s="40">
        <v>905.14</v>
      </c>
      <c r="H33" s="40">
        <f t="shared" si="0"/>
        <v>1810.28</v>
      </c>
      <c r="I33" s="27" t="s">
        <v>98</v>
      </c>
      <c r="J33" s="15">
        <v>2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2</v>
      </c>
    </row>
    <row r="34" spans="1:26" ht="30" x14ac:dyDescent="0.25">
      <c r="A34" s="15">
        <v>32</v>
      </c>
      <c r="B34" s="27" t="s">
        <v>99</v>
      </c>
      <c r="C34" s="15" t="s">
        <v>100</v>
      </c>
      <c r="D34" s="15">
        <v>1000</v>
      </c>
      <c r="E34" s="15">
        <v>975</v>
      </c>
      <c r="F34" s="15">
        <v>25</v>
      </c>
      <c r="G34" s="40">
        <v>18.899999999999999</v>
      </c>
      <c r="H34" s="40">
        <f t="shared" si="0"/>
        <v>472.49999999999994</v>
      </c>
      <c r="I34" s="27" t="s">
        <v>414</v>
      </c>
      <c r="J34" s="15">
        <v>25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25</v>
      </c>
    </row>
    <row r="35" spans="1:26" x14ac:dyDescent="0.25">
      <c r="A35" s="15">
        <v>34</v>
      </c>
      <c r="B35" s="27" t="s">
        <v>102</v>
      </c>
      <c r="C35" s="15" t="s">
        <v>103</v>
      </c>
      <c r="D35" s="15">
        <v>12</v>
      </c>
      <c r="E35" s="15">
        <v>10</v>
      </c>
      <c r="F35" s="15">
        <v>2</v>
      </c>
      <c r="G35" s="40">
        <v>110</v>
      </c>
      <c r="H35" s="40">
        <f t="shared" si="0"/>
        <v>220</v>
      </c>
      <c r="I35" s="27" t="s">
        <v>87</v>
      </c>
      <c r="J35" s="15">
        <v>2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2</v>
      </c>
    </row>
    <row r="36" spans="1:26" x14ac:dyDescent="0.25">
      <c r="A36" s="15">
        <v>35</v>
      </c>
      <c r="B36" s="27" t="s">
        <v>104</v>
      </c>
      <c r="C36" s="15" t="s">
        <v>105</v>
      </c>
      <c r="D36" s="15">
        <v>2325</v>
      </c>
      <c r="E36" s="15">
        <v>2321</v>
      </c>
      <c r="F36" s="15">
        <v>4</v>
      </c>
      <c r="G36" s="40">
        <v>1050</v>
      </c>
      <c r="H36" s="40">
        <f t="shared" si="0"/>
        <v>4200</v>
      </c>
      <c r="I36" s="27" t="s">
        <v>51</v>
      </c>
      <c r="J36" s="15">
        <v>4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4</v>
      </c>
    </row>
    <row r="37" spans="1:26" ht="30" x14ac:dyDescent="0.25">
      <c r="A37" s="15">
        <v>36</v>
      </c>
      <c r="B37" s="27" t="s">
        <v>106</v>
      </c>
      <c r="C37" s="15" t="s">
        <v>107</v>
      </c>
      <c r="D37" s="15">
        <v>23600</v>
      </c>
      <c r="E37" s="15">
        <v>20870</v>
      </c>
      <c r="F37" s="15">
        <v>2730</v>
      </c>
      <c r="G37" s="40">
        <v>109.73</v>
      </c>
      <c r="H37" s="40">
        <f t="shared" si="0"/>
        <v>299562.90000000002</v>
      </c>
      <c r="I37" s="27" t="s">
        <v>415</v>
      </c>
      <c r="J37" s="15">
        <v>30</v>
      </c>
      <c r="K37" s="15">
        <v>0</v>
      </c>
      <c r="L37" s="15">
        <v>900</v>
      </c>
      <c r="M37" s="15">
        <v>0</v>
      </c>
      <c r="N37" s="15">
        <v>0</v>
      </c>
      <c r="O37" s="15">
        <v>1800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2730</v>
      </c>
    </row>
    <row r="38" spans="1:26" ht="30" x14ac:dyDescent="0.25">
      <c r="A38" s="15">
        <v>37</v>
      </c>
      <c r="B38" s="27" t="s">
        <v>109</v>
      </c>
      <c r="C38" s="15" t="s">
        <v>110</v>
      </c>
      <c r="D38" s="15">
        <v>26700</v>
      </c>
      <c r="E38" s="15">
        <v>26300</v>
      </c>
      <c r="F38" s="15">
        <v>400</v>
      </c>
      <c r="G38" s="40">
        <v>123.41</v>
      </c>
      <c r="H38" s="40">
        <f t="shared" si="0"/>
        <v>49364</v>
      </c>
      <c r="I38" s="27" t="s">
        <v>111</v>
      </c>
      <c r="J38" s="15">
        <v>400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400</v>
      </c>
    </row>
    <row r="39" spans="1:26" x14ac:dyDescent="0.25">
      <c r="A39" s="15">
        <v>38</v>
      </c>
      <c r="B39" s="27" t="s">
        <v>416</v>
      </c>
      <c r="C39" s="15" t="s">
        <v>113</v>
      </c>
      <c r="D39" s="15">
        <v>2</v>
      </c>
      <c r="E39" s="15">
        <v>0</v>
      </c>
      <c r="F39" s="15">
        <v>2</v>
      </c>
      <c r="G39" s="40">
        <v>20136.5</v>
      </c>
      <c r="H39" s="40">
        <f t="shared" si="0"/>
        <v>40273</v>
      </c>
      <c r="I39" s="27" t="s">
        <v>417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2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2</v>
      </c>
    </row>
    <row r="40" spans="1:26" ht="30" x14ac:dyDescent="0.25">
      <c r="A40" s="15">
        <v>39</v>
      </c>
      <c r="B40" s="27" t="s">
        <v>115</v>
      </c>
      <c r="C40" s="15" t="s">
        <v>116</v>
      </c>
      <c r="D40" s="15">
        <v>1</v>
      </c>
      <c r="E40" s="15">
        <v>0</v>
      </c>
      <c r="F40" s="15">
        <v>1</v>
      </c>
      <c r="G40" s="40">
        <v>32934</v>
      </c>
      <c r="H40" s="40">
        <f t="shared" si="0"/>
        <v>32934</v>
      </c>
      <c r="I40" s="27" t="s">
        <v>12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</row>
    <row r="41" spans="1:26" x14ac:dyDescent="0.25">
      <c r="A41" s="15">
        <v>40</v>
      </c>
      <c r="B41" s="27" t="s">
        <v>117</v>
      </c>
      <c r="C41" s="15" t="s">
        <v>118</v>
      </c>
      <c r="D41" s="15">
        <v>176</v>
      </c>
      <c r="E41" s="15">
        <v>167</v>
      </c>
      <c r="F41" s="15">
        <v>9</v>
      </c>
      <c r="G41" s="40">
        <v>22085.8</v>
      </c>
      <c r="H41" s="40">
        <f t="shared" si="0"/>
        <v>198772.19999999998</v>
      </c>
      <c r="I41" s="27" t="s">
        <v>418</v>
      </c>
      <c r="J41" s="15">
        <v>0</v>
      </c>
      <c r="K41" s="15">
        <v>1</v>
      </c>
      <c r="L41" s="15">
        <v>0</v>
      </c>
      <c r="M41" s="15">
        <v>0</v>
      </c>
      <c r="N41" s="15">
        <v>0</v>
      </c>
      <c r="O41" s="15">
        <v>8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9</v>
      </c>
    </row>
    <row r="42" spans="1:26" ht="75" x14ac:dyDescent="0.25">
      <c r="A42" s="15">
        <v>41</v>
      </c>
      <c r="B42" s="27" t="s">
        <v>120</v>
      </c>
      <c r="C42" s="15" t="s">
        <v>121</v>
      </c>
      <c r="D42" s="15">
        <v>1100</v>
      </c>
      <c r="E42" s="15">
        <v>542</v>
      </c>
      <c r="F42" s="15">
        <v>558</v>
      </c>
      <c r="G42" s="40">
        <v>3990</v>
      </c>
      <c r="H42" s="40">
        <f t="shared" si="0"/>
        <v>2226420</v>
      </c>
      <c r="I42" s="27" t="s">
        <v>419</v>
      </c>
      <c r="J42" s="15">
        <v>69</v>
      </c>
      <c r="K42" s="15">
        <v>0</v>
      </c>
      <c r="L42" s="15">
        <v>0</v>
      </c>
      <c r="M42" s="15">
        <v>135</v>
      </c>
      <c r="N42" s="15">
        <v>78</v>
      </c>
      <c r="O42" s="15">
        <v>250</v>
      </c>
      <c r="P42" s="15">
        <v>26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558</v>
      </c>
    </row>
    <row r="43" spans="1:26" ht="30" x14ac:dyDescent="0.25">
      <c r="A43" s="15">
        <v>42</v>
      </c>
      <c r="B43" s="27" t="s">
        <v>123</v>
      </c>
      <c r="C43" s="15" t="s">
        <v>124</v>
      </c>
      <c r="D43" s="15">
        <v>729</v>
      </c>
      <c r="E43" s="15">
        <v>727</v>
      </c>
      <c r="F43" s="15">
        <v>2</v>
      </c>
      <c r="G43" s="40">
        <v>6443.52</v>
      </c>
      <c r="H43" s="40">
        <f t="shared" si="0"/>
        <v>12887.04</v>
      </c>
      <c r="I43" s="27" t="s">
        <v>87</v>
      </c>
      <c r="J43" s="15">
        <v>2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2</v>
      </c>
    </row>
    <row r="44" spans="1:26" ht="30" x14ac:dyDescent="0.25">
      <c r="A44" s="15">
        <v>43</v>
      </c>
      <c r="B44" s="27" t="s">
        <v>125</v>
      </c>
      <c r="C44" s="15" t="s">
        <v>126</v>
      </c>
      <c r="D44" s="15">
        <v>1657</v>
      </c>
      <c r="E44" s="15">
        <v>1574</v>
      </c>
      <c r="F44" s="15">
        <v>83</v>
      </c>
      <c r="G44" s="40">
        <v>430.72</v>
      </c>
      <c r="H44" s="40">
        <f t="shared" si="0"/>
        <v>35749.760000000002</v>
      </c>
      <c r="I44" s="27" t="s">
        <v>127</v>
      </c>
      <c r="J44" s="15">
        <v>3</v>
      </c>
      <c r="K44" s="15">
        <v>0</v>
      </c>
      <c r="L44" s="15">
        <v>7</v>
      </c>
      <c r="M44" s="15">
        <v>0</v>
      </c>
      <c r="N44" s="15">
        <v>0</v>
      </c>
      <c r="O44" s="15">
        <v>73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83</v>
      </c>
    </row>
    <row r="45" spans="1:26" ht="30" x14ac:dyDescent="0.25">
      <c r="A45" s="15">
        <v>44</v>
      </c>
      <c r="B45" s="27" t="s">
        <v>128</v>
      </c>
      <c r="C45" s="15" t="s">
        <v>129</v>
      </c>
      <c r="D45" s="15">
        <v>57</v>
      </c>
      <c r="E45" s="15">
        <v>37</v>
      </c>
      <c r="F45" s="15">
        <v>20</v>
      </c>
      <c r="G45" s="40">
        <v>8089.68</v>
      </c>
      <c r="H45" s="40">
        <f t="shared" si="0"/>
        <v>161793.60000000001</v>
      </c>
      <c r="I45" s="27" t="s">
        <v>420</v>
      </c>
      <c r="J45" s="15">
        <v>5</v>
      </c>
      <c r="K45" s="15">
        <v>1</v>
      </c>
      <c r="L45" s="15">
        <v>11</v>
      </c>
      <c r="M45" s="15">
        <v>1</v>
      </c>
      <c r="N45" s="15">
        <v>2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20</v>
      </c>
    </row>
    <row r="46" spans="1:26" ht="30" x14ac:dyDescent="0.25">
      <c r="A46" s="15">
        <v>45</v>
      </c>
      <c r="B46" s="27" t="s">
        <v>131</v>
      </c>
      <c r="C46" s="15" t="s">
        <v>132</v>
      </c>
      <c r="D46" s="15">
        <v>47</v>
      </c>
      <c r="E46" s="15">
        <v>16</v>
      </c>
      <c r="F46" s="15">
        <v>31</v>
      </c>
      <c r="G46" s="40">
        <v>20890.07</v>
      </c>
      <c r="H46" s="40">
        <f t="shared" si="0"/>
        <v>647592.17000000004</v>
      </c>
      <c r="I46" s="27" t="s">
        <v>133</v>
      </c>
      <c r="J46" s="15">
        <v>5</v>
      </c>
      <c r="K46" s="15">
        <v>0</v>
      </c>
      <c r="L46" s="15">
        <v>16</v>
      </c>
      <c r="M46" s="15">
        <v>10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31</v>
      </c>
    </row>
    <row r="47" spans="1:26" x14ac:dyDescent="0.25">
      <c r="A47" s="15">
        <v>46</v>
      </c>
      <c r="B47" s="27" t="s">
        <v>134</v>
      </c>
      <c r="C47" s="15" t="s">
        <v>135</v>
      </c>
      <c r="D47" s="15">
        <v>1</v>
      </c>
      <c r="E47" s="15">
        <v>0</v>
      </c>
      <c r="F47" s="15">
        <v>1</v>
      </c>
      <c r="G47" s="40">
        <v>27024</v>
      </c>
      <c r="H47" s="40">
        <f t="shared" si="0"/>
        <v>27024</v>
      </c>
      <c r="I47" s="27" t="s">
        <v>12</v>
      </c>
      <c r="J47" s="15">
        <v>1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1</v>
      </c>
    </row>
    <row r="48" spans="1:26" x14ac:dyDescent="0.25">
      <c r="A48" s="15">
        <v>47</v>
      </c>
      <c r="B48" s="27" t="s">
        <v>136</v>
      </c>
      <c r="C48" s="15" t="s">
        <v>137</v>
      </c>
      <c r="D48" s="15">
        <v>2</v>
      </c>
      <c r="E48" s="15">
        <v>0</v>
      </c>
      <c r="F48" s="15">
        <v>2</v>
      </c>
      <c r="G48" s="40">
        <v>18372</v>
      </c>
      <c r="H48" s="40">
        <f t="shared" si="0"/>
        <v>36744</v>
      </c>
      <c r="I48" s="27" t="s">
        <v>87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2</v>
      </c>
    </row>
    <row r="49" spans="1:26" x14ac:dyDescent="0.25">
      <c r="A49" s="15">
        <v>48</v>
      </c>
      <c r="B49" s="27" t="s">
        <v>134</v>
      </c>
      <c r="C49" s="15" t="s">
        <v>138</v>
      </c>
      <c r="D49" s="15">
        <v>1</v>
      </c>
      <c r="E49" s="15">
        <v>0</v>
      </c>
      <c r="F49" s="15">
        <v>1</v>
      </c>
      <c r="G49" s="40">
        <v>23940</v>
      </c>
      <c r="H49" s="40">
        <f t="shared" si="0"/>
        <v>23940</v>
      </c>
      <c r="I49" s="27" t="s">
        <v>12</v>
      </c>
      <c r="J49" s="15">
        <v>1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1</v>
      </c>
    </row>
    <row r="50" spans="1:26" x14ac:dyDescent="0.25">
      <c r="A50" s="15">
        <v>49</v>
      </c>
      <c r="B50" s="27" t="s">
        <v>139</v>
      </c>
      <c r="C50" s="15" t="s">
        <v>140</v>
      </c>
      <c r="D50" s="15">
        <v>228</v>
      </c>
      <c r="E50" s="15">
        <v>218</v>
      </c>
      <c r="F50" s="15">
        <v>10</v>
      </c>
      <c r="G50" s="40">
        <v>11079.41</v>
      </c>
      <c r="H50" s="40">
        <f t="shared" si="0"/>
        <v>110794.1</v>
      </c>
      <c r="I50" s="27" t="s">
        <v>141</v>
      </c>
      <c r="J50" s="15">
        <v>1</v>
      </c>
      <c r="K50" s="15">
        <v>0</v>
      </c>
      <c r="L50" s="15">
        <v>9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10</v>
      </c>
    </row>
    <row r="51" spans="1:26" ht="30" x14ac:dyDescent="0.25">
      <c r="A51" s="15">
        <v>50</v>
      </c>
      <c r="B51" s="27" t="s">
        <v>142</v>
      </c>
      <c r="C51" s="15" t="s">
        <v>143</v>
      </c>
      <c r="D51" s="15">
        <v>1069</v>
      </c>
      <c r="E51" s="15">
        <v>1047</v>
      </c>
      <c r="F51" s="15">
        <v>22</v>
      </c>
      <c r="G51" s="40">
        <v>3871.7</v>
      </c>
      <c r="H51" s="40">
        <f t="shared" si="0"/>
        <v>85177.4</v>
      </c>
      <c r="I51" s="27" t="s">
        <v>421</v>
      </c>
      <c r="J51" s="15">
        <v>18</v>
      </c>
      <c r="K51" s="15">
        <v>1</v>
      </c>
      <c r="L51" s="15">
        <v>0</v>
      </c>
      <c r="M51" s="15">
        <v>2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22</v>
      </c>
    </row>
    <row r="52" spans="1:26" ht="30" x14ac:dyDescent="0.25">
      <c r="A52" s="15">
        <v>51</v>
      </c>
      <c r="B52" s="27" t="s">
        <v>145</v>
      </c>
      <c r="C52" s="15" t="s">
        <v>146</v>
      </c>
      <c r="D52" s="15">
        <v>3100</v>
      </c>
      <c r="E52" s="15">
        <v>500</v>
      </c>
      <c r="F52" s="15">
        <v>2600</v>
      </c>
      <c r="G52" s="40">
        <v>82.7</v>
      </c>
      <c r="H52" s="40">
        <f t="shared" si="0"/>
        <v>215020</v>
      </c>
      <c r="I52" s="27" t="s">
        <v>147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2600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2600</v>
      </c>
    </row>
    <row r="53" spans="1:26" ht="45" x14ac:dyDescent="0.25">
      <c r="A53" s="15">
        <v>52</v>
      </c>
      <c r="B53" s="27" t="s">
        <v>148</v>
      </c>
      <c r="C53" s="15" t="s">
        <v>149</v>
      </c>
      <c r="D53" s="15">
        <v>20300</v>
      </c>
      <c r="E53" s="15">
        <v>17700</v>
      </c>
      <c r="F53" s="15">
        <v>2600</v>
      </c>
      <c r="G53" s="40">
        <v>50.9</v>
      </c>
      <c r="H53" s="40">
        <f t="shared" si="0"/>
        <v>132340</v>
      </c>
      <c r="I53" s="27" t="s">
        <v>422</v>
      </c>
      <c r="J53" s="15">
        <v>500</v>
      </c>
      <c r="K53" s="15">
        <v>0</v>
      </c>
      <c r="L53" s="15">
        <v>2000</v>
      </c>
      <c r="M53" s="15">
        <v>0</v>
      </c>
      <c r="N53" s="15">
        <v>0</v>
      </c>
      <c r="O53" s="15">
        <v>100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2600</v>
      </c>
    </row>
    <row r="54" spans="1:26" ht="30" x14ac:dyDescent="0.25">
      <c r="A54" s="15">
        <v>53</v>
      </c>
      <c r="B54" s="27" t="s">
        <v>151</v>
      </c>
      <c r="C54" s="15" t="s">
        <v>152</v>
      </c>
      <c r="D54" s="15">
        <v>16000</v>
      </c>
      <c r="E54" s="15">
        <v>15700</v>
      </c>
      <c r="F54" s="15">
        <v>300</v>
      </c>
      <c r="G54" s="40">
        <v>107.57</v>
      </c>
      <c r="H54" s="40">
        <f t="shared" si="0"/>
        <v>32270.999999999996</v>
      </c>
      <c r="I54" s="27" t="s">
        <v>423</v>
      </c>
      <c r="J54" s="15">
        <v>300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300</v>
      </c>
    </row>
    <row r="55" spans="1:26" x14ac:dyDescent="0.25">
      <c r="A55" s="15">
        <v>54</v>
      </c>
      <c r="B55" s="27" t="s">
        <v>154</v>
      </c>
      <c r="C55" s="15" t="s">
        <v>155</v>
      </c>
      <c r="D55" s="15">
        <v>183</v>
      </c>
      <c r="E55" s="15">
        <v>169</v>
      </c>
      <c r="F55" s="15">
        <v>14</v>
      </c>
      <c r="G55" s="40">
        <v>8847.17</v>
      </c>
      <c r="H55" s="40">
        <f t="shared" si="0"/>
        <v>123860.38</v>
      </c>
      <c r="I55" s="27" t="s">
        <v>156</v>
      </c>
      <c r="J55" s="15">
        <v>14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14</v>
      </c>
    </row>
    <row r="56" spans="1:26" ht="30" x14ac:dyDescent="0.25">
      <c r="A56" s="15">
        <v>55</v>
      </c>
      <c r="B56" s="27" t="s">
        <v>157</v>
      </c>
      <c r="C56" s="15" t="s">
        <v>158</v>
      </c>
      <c r="D56" s="15">
        <v>70</v>
      </c>
      <c r="E56" s="15">
        <v>50</v>
      </c>
      <c r="F56" s="15">
        <v>20</v>
      </c>
      <c r="G56" s="40">
        <v>60</v>
      </c>
      <c r="H56" s="40">
        <f t="shared" si="0"/>
        <v>1200</v>
      </c>
      <c r="I56" s="27" t="s">
        <v>159</v>
      </c>
      <c r="J56" s="15">
        <v>20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20</v>
      </c>
    </row>
    <row r="57" spans="1:26" ht="30" x14ac:dyDescent="0.25">
      <c r="A57" s="15">
        <v>56</v>
      </c>
      <c r="B57" s="27" t="s">
        <v>160</v>
      </c>
      <c r="C57" s="15" t="s">
        <v>161</v>
      </c>
      <c r="D57" s="15">
        <v>70</v>
      </c>
      <c r="E57" s="15">
        <v>49</v>
      </c>
      <c r="F57" s="15">
        <v>21</v>
      </c>
      <c r="G57" s="40">
        <v>90</v>
      </c>
      <c r="H57" s="40">
        <f t="shared" si="0"/>
        <v>1890</v>
      </c>
      <c r="I57" s="27" t="s">
        <v>162</v>
      </c>
      <c r="J57" s="15">
        <v>0</v>
      </c>
      <c r="K57" s="15">
        <v>0</v>
      </c>
      <c r="L57" s="15">
        <v>21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21</v>
      </c>
    </row>
    <row r="58" spans="1:26" x14ac:dyDescent="0.25">
      <c r="A58" s="15">
        <v>57</v>
      </c>
      <c r="B58" s="27" t="s">
        <v>163</v>
      </c>
      <c r="C58" s="15" t="s">
        <v>164</v>
      </c>
      <c r="D58" s="15">
        <v>1</v>
      </c>
      <c r="E58" s="15">
        <v>0</v>
      </c>
      <c r="F58" s="15">
        <v>1</v>
      </c>
      <c r="G58" s="40">
        <v>7044</v>
      </c>
      <c r="H58" s="40">
        <f t="shared" si="0"/>
        <v>7044</v>
      </c>
      <c r="I58" s="27" t="s">
        <v>165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</row>
    <row r="59" spans="1:26" x14ac:dyDescent="0.25">
      <c r="A59" s="15">
        <v>58</v>
      </c>
      <c r="B59" s="27" t="s">
        <v>166</v>
      </c>
      <c r="C59" s="15" t="s">
        <v>167</v>
      </c>
      <c r="D59" s="15">
        <v>48</v>
      </c>
      <c r="E59" s="15">
        <v>25</v>
      </c>
      <c r="F59" s="15">
        <v>23</v>
      </c>
      <c r="G59" s="40">
        <v>5681</v>
      </c>
      <c r="H59" s="40">
        <f t="shared" si="0"/>
        <v>130663</v>
      </c>
      <c r="I59" s="27" t="s">
        <v>168</v>
      </c>
      <c r="J59" s="15">
        <v>0</v>
      </c>
      <c r="K59" s="15">
        <v>0</v>
      </c>
      <c r="L59" s="15">
        <v>23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23</v>
      </c>
    </row>
    <row r="60" spans="1:26" x14ac:dyDescent="0.25">
      <c r="A60" s="15">
        <v>59</v>
      </c>
      <c r="B60" s="27" t="s">
        <v>169</v>
      </c>
      <c r="C60" s="15" t="s">
        <v>170</v>
      </c>
      <c r="D60" s="15">
        <v>439</v>
      </c>
      <c r="E60" s="15">
        <v>430</v>
      </c>
      <c r="F60" s="15">
        <v>9</v>
      </c>
      <c r="G60" s="40">
        <v>6839.49</v>
      </c>
      <c r="H60" s="40">
        <f t="shared" si="0"/>
        <v>61555.409999999996</v>
      </c>
      <c r="I60" s="27" t="s">
        <v>424</v>
      </c>
      <c r="J60" s="15">
        <v>0</v>
      </c>
      <c r="K60" s="15">
        <v>0</v>
      </c>
      <c r="L60" s="15">
        <v>9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9</v>
      </c>
    </row>
    <row r="61" spans="1:26" x14ac:dyDescent="0.25">
      <c r="A61" s="15">
        <v>60</v>
      </c>
      <c r="B61" s="27" t="s">
        <v>172</v>
      </c>
      <c r="C61" s="15" t="s">
        <v>173</v>
      </c>
      <c r="D61" s="15">
        <v>38</v>
      </c>
      <c r="E61" s="15">
        <v>37</v>
      </c>
      <c r="F61" s="15">
        <v>1</v>
      </c>
      <c r="G61" s="40">
        <v>14079.58</v>
      </c>
      <c r="H61" s="40">
        <f t="shared" si="0"/>
        <v>14079.58</v>
      </c>
      <c r="I61" s="27" t="s">
        <v>174</v>
      </c>
      <c r="J61" s="15">
        <v>0</v>
      </c>
      <c r="K61" s="15">
        <v>0</v>
      </c>
      <c r="L61" s="15">
        <v>1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1</v>
      </c>
    </row>
    <row r="62" spans="1:26" x14ac:dyDescent="0.25">
      <c r="A62" s="15">
        <v>61</v>
      </c>
      <c r="B62" s="27" t="s">
        <v>175</v>
      </c>
      <c r="C62" s="15" t="s">
        <v>176</v>
      </c>
      <c r="D62" s="15">
        <v>6</v>
      </c>
      <c r="E62" s="15">
        <v>2</v>
      </c>
      <c r="F62" s="15">
        <v>4</v>
      </c>
      <c r="G62" s="40">
        <v>18395</v>
      </c>
      <c r="H62" s="40">
        <f t="shared" si="0"/>
        <v>73580</v>
      </c>
      <c r="I62" s="27" t="s">
        <v>425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4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4</v>
      </c>
    </row>
    <row r="63" spans="1:26" x14ac:dyDescent="0.25">
      <c r="A63" s="15">
        <v>62</v>
      </c>
      <c r="B63" s="27" t="s">
        <v>178</v>
      </c>
      <c r="C63" s="15" t="s">
        <v>179</v>
      </c>
      <c r="D63" s="15">
        <v>2</v>
      </c>
      <c r="E63" s="15">
        <v>0</v>
      </c>
      <c r="F63" s="15">
        <v>2</v>
      </c>
      <c r="G63" s="40">
        <v>153024.5</v>
      </c>
      <c r="H63" s="40">
        <f t="shared" si="0"/>
        <v>306049</v>
      </c>
      <c r="I63" s="27" t="s">
        <v>426</v>
      </c>
      <c r="J63" s="15">
        <v>0</v>
      </c>
      <c r="K63" s="15">
        <v>0</v>
      </c>
      <c r="L63" s="15">
        <v>2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2</v>
      </c>
    </row>
    <row r="64" spans="1:26" ht="30" x14ac:dyDescent="0.25">
      <c r="A64" s="15">
        <v>63</v>
      </c>
      <c r="B64" s="27" t="s">
        <v>181</v>
      </c>
      <c r="C64" s="15" t="s">
        <v>182</v>
      </c>
      <c r="D64" s="15">
        <v>1010</v>
      </c>
      <c r="E64" s="15">
        <v>736</v>
      </c>
      <c r="F64" s="15">
        <v>274</v>
      </c>
      <c r="G64" s="40">
        <v>1224</v>
      </c>
      <c r="H64" s="40">
        <f t="shared" si="0"/>
        <v>335376</v>
      </c>
      <c r="I64" s="27" t="s">
        <v>427</v>
      </c>
      <c r="J64" s="15">
        <v>273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274</v>
      </c>
    </row>
    <row r="65" spans="1:26" ht="30" x14ac:dyDescent="0.25">
      <c r="A65" s="15">
        <v>64</v>
      </c>
      <c r="B65" s="27" t="s">
        <v>184</v>
      </c>
      <c r="C65" s="15" t="s">
        <v>185</v>
      </c>
      <c r="D65" s="15">
        <v>28</v>
      </c>
      <c r="E65" s="15">
        <v>23</v>
      </c>
      <c r="F65" s="15">
        <v>5</v>
      </c>
      <c r="G65" s="40">
        <v>1341</v>
      </c>
      <c r="H65" s="40">
        <f t="shared" si="0"/>
        <v>6705</v>
      </c>
      <c r="I65" s="27" t="s">
        <v>93</v>
      </c>
      <c r="J65" s="15">
        <v>5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5</v>
      </c>
    </row>
    <row r="66" spans="1:26" ht="45" x14ac:dyDescent="0.25">
      <c r="A66" s="15">
        <v>65</v>
      </c>
      <c r="B66" s="27" t="s">
        <v>186</v>
      </c>
      <c r="C66" s="15" t="s">
        <v>187</v>
      </c>
      <c r="D66" s="15">
        <v>451</v>
      </c>
      <c r="E66" s="15">
        <v>251</v>
      </c>
      <c r="F66" s="15">
        <v>200</v>
      </c>
      <c r="G66" s="40">
        <v>878</v>
      </c>
      <c r="H66" s="40">
        <f t="shared" si="0"/>
        <v>175600</v>
      </c>
      <c r="I66" s="27" t="s">
        <v>188</v>
      </c>
      <c r="J66" s="15">
        <v>27</v>
      </c>
      <c r="K66" s="15">
        <v>0</v>
      </c>
      <c r="L66" s="15">
        <v>23</v>
      </c>
      <c r="M66" s="15">
        <v>138</v>
      </c>
      <c r="N66" s="15">
        <v>12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200</v>
      </c>
    </row>
    <row r="67" spans="1:26" ht="45" x14ac:dyDescent="0.25">
      <c r="A67" s="15">
        <v>66</v>
      </c>
      <c r="B67" s="27" t="s">
        <v>189</v>
      </c>
      <c r="C67" s="15" t="s">
        <v>190</v>
      </c>
      <c r="D67" s="15">
        <v>75</v>
      </c>
      <c r="E67" s="15">
        <v>73</v>
      </c>
      <c r="F67" s="15">
        <v>7</v>
      </c>
      <c r="G67" s="40">
        <v>18240</v>
      </c>
      <c r="H67" s="40">
        <f t="shared" si="0"/>
        <v>127680</v>
      </c>
      <c r="I67" s="27" t="s">
        <v>428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5</v>
      </c>
      <c r="X67" s="15">
        <v>0</v>
      </c>
      <c r="Y67" s="15">
        <v>0</v>
      </c>
      <c r="Z67" s="15">
        <v>7</v>
      </c>
    </row>
    <row r="68" spans="1:26" x14ac:dyDescent="0.25">
      <c r="A68" s="15">
        <v>67</v>
      </c>
      <c r="B68" s="27" t="s">
        <v>192</v>
      </c>
      <c r="C68" s="15" t="s">
        <v>193</v>
      </c>
      <c r="D68" s="15">
        <v>85</v>
      </c>
      <c r="E68" s="15">
        <v>84</v>
      </c>
      <c r="F68" s="15">
        <v>1</v>
      </c>
      <c r="G68" s="40">
        <v>25872</v>
      </c>
      <c r="H68" s="40">
        <f t="shared" ref="H68:H131" si="1">G68*F68</f>
        <v>25872</v>
      </c>
      <c r="I68" s="27" t="s">
        <v>257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1</v>
      </c>
    </row>
    <row r="69" spans="1:26" x14ac:dyDescent="0.25">
      <c r="A69" s="15">
        <v>68</v>
      </c>
      <c r="B69" s="27" t="s">
        <v>195</v>
      </c>
      <c r="C69" s="15" t="s">
        <v>196</v>
      </c>
      <c r="D69" s="15">
        <v>19</v>
      </c>
      <c r="E69" s="15">
        <v>17</v>
      </c>
      <c r="F69" s="15">
        <v>2</v>
      </c>
      <c r="G69" s="40">
        <v>18000</v>
      </c>
      <c r="H69" s="40">
        <f t="shared" si="1"/>
        <v>36000</v>
      </c>
      <c r="I69" s="27" t="s">
        <v>87</v>
      </c>
      <c r="J69" s="15">
        <v>2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2</v>
      </c>
    </row>
    <row r="70" spans="1:26" ht="30" x14ac:dyDescent="0.25">
      <c r="A70" s="15">
        <v>69</v>
      </c>
      <c r="B70" s="27" t="s">
        <v>197</v>
      </c>
      <c r="C70" s="15" t="s">
        <v>198</v>
      </c>
      <c r="D70" s="15">
        <v>2</v>
      </c>
      <c r="E70" s="15">
        <v>1</v>
      </c>
      <c r="F70" s="15">
        <v>1</v>
      </c>
      <c r="G70" s="40">
        <v>4322.0200000000004</v>
      </c>
      <c r="H70" s="40">
        <f t="shared" si="1"/>
        <v>4322.0200000000004</v>
      </c>
      <c r="I70" s="27" t="s">
        <v>12</v>
      </c>
      <c r="J70" s="15">
        <v>1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</row>
    <row r="71" spans="1:26" x14ac:dyDescent="0.25">
      <c r="A71" s="15">
        <v>70</v>
      </c>
      <c r="B71" s="27" t="s">
        <v>199</v>
      </c>
      <c r="C71" s="15" t="s">
        <v>200</v>
      </c>
      <c r="D71" s="15">
        <v>944</v>
      </c>
      <c r="E71" s="15">
        <v>926</v>
      </c>
      <c r="F71" s="15">
        <v>18</v>
      </c>
      <c r="G71" s="40">
        <v>2723.31</v>
      </c>
      <c r="H71" s="40">
        <f t="shared" si="1"/>
        <v>49019.58</v>
      </c>
      <c r="I71" s="27" t="s">
        <v>201</v>
      </c>
      <c r="J71" s="15">
        <v>18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18</v>
      </c>
    </row>
    <row r="72" spans="1:26" ht="30" x14ac:dyDescent="0.25">
      <c r="A72" s="15">
        <v>71</v>
      </c>
      <c r="B72" s="27" t="s">
        <v>202</v>
      </c>
      <c r="C72" s="15" t="s">
        <v>203</v>
      </c>
      <c r="D72" s="15">
        <v>150</v>
      </c>
      <c r="E72" s="15">
        <v>137</v>
      </c>
      <c r="F72" s="15">
        <v>13</v>
      </c>
      <c r="G72" s="40">
        <v>7080</v>
      </c>
      <c r="H72" s="40">
        <f t="shared" si="1"/>
        <v>92040</v>
      </c>
      <c r="I72" s="27" t="s">
        <v>204</v>
      </c>
      <c r="J72" s="15">
        <v>11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2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13</v>
      </c>
    </row>
    <row r="73" spans="1:26" ht="30" x14ac:dyDescent="0.25">
      <c r="A73" s="15">
        <v>72</v>
      </c>
      <c r="B73" s="27" t="s">
        <v>205</v>
      </c>
      <c r="C73" s="15" t="s">
        <v>206</v>
      </c>
      <c r="D73" s="15">
        <v>54</v>
      </c>
      <c r="E73" s="15">
        <v>44</v>
      </c>
      <c r="F73" s="15">
        <v>10</v>
      </c>
      <c r="G73" s="40">
        <v>65.650000000000006</v>
      </c>
      <c r="H73" s="40">
        <f t="shared" si="1"/>
        <v>656.5</v>
      </c>
      <c r="I73" s="27" t="s">
        <v>15</v>
      </c>
      <c r="J73" s="15">
        <v>10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10</v>
      </c>
    </row>
    <row r="74" spans="1:26" x14ac:dyDescent="0.25">
      <c r="A74" s="15">
        <v>73</v>
      </c>
      <c r="B74" s="27" t="s">
        <v>207</v>
      </c>
      <c r="C74" s="15" t="s">
        <v>208</v>
      </c>
      <c r="D74" s="15">
        <v>4</v>
      </c>
      <c r="E74" s="15">
        <v>3</v>
      </c>
      <c r="F74" s="15">
        <v>1</v>
      </c>
      <c r="G74" s="40">
        <v>17503</v>
      </c>
      <c r="H74" s="40">
        <f t="shared" si="1"/>
        <v>17503</v>
      </c>
      <c r="I74" s="27" t="s">
        <v>12</v>
      </c>
      <c r="J74" s="15">
        <v>1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1</v>
      </c>
    </row>
    <row r="75" spans="1:26" ht="30" x14ac:dyDescent="0.25">
      <c r="A75" s="15">
        <v>74</v>
      </c>
      <c r="B75" s="27" t="s">
        <v>209</v>
      </c>
      <c r="C75" s="15" t="s">
        <v>210</v>
      </c>
      <c r="D75" s="15">
        <v>460</v>
      </c>
      <c r="E75" s="15">
        <v>458</v>
      </c>
      <c r="F75" s="15">
        <v>2</v>
      </c>
      <c r="G75" s="40">
        <v>8364.3700000000008</v>
      </c>
      <c r="H75" s="40">
        <f t="shared" si="1"/>
        <v>16728.740000000002</v>
      </c>
      <c r="I75" s="27" t="s">
        <v>429</v>
      </c>
      <c r="J75" s="15">
        <v>0</v>
      </c>
      <c r="K75" s="15">
        <v>1</v>
      </c>
      <c r="L75" s="15">
        <v>0</v>
      </c>
      <c r="M75" s="15">
        <v>0</v>
      </c>
      <c r="N75" s="15">
        <v>0</v>
      </c>
      <c r="O75" s="15">
        <v>1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2</v>
      </c>
    </row>
    <row r="76" spans="1:26" ht="30" x14ac:dyDescent="0.25">
      <c r="A76" s="15">
        <v>75</v>
      </c>
      <c r="B76" s="27" t="s">
        <v>212</v>
      </c>
      <c r="C76" s="15" t="s">
        <v>213</v>
      </c>
      <c r="D76" s="15">
        <v>23</v>
      </c>
      <c r="E76" s="15">
        <v>20</v>
      </c>
      <c r="F76" s="15">
        <v>3</v>
      </c>
      <c r="G76" s="40">
        <v>2630.43</v>
      </c>
      <c r="H76" s="40">
        <f t="shared" si="1"/>
        <v>7891.2899999999991</v>
      </c>
      <c r="I76" s="27" t="s">
        <v>214</v>
      </c>
      <c r="J76" s="15">
        <v>0</v>
      </c>
      <c r="K76" s="15">
        <v>3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3</v>
      </c>
    </row>
    <row r="77" spans="1:26" ht="30" x14ac:dyDescent="0.25">
      <c r="A77" s="15">
        <v>76</v>
      </c>
      <c r="B77" s="27" t="s">
        <v>215</v>
      </c>
      <c r="C77" s="15" t="s">
        <v>216</v>
      </c>
      <c r="D77" s="15">
        <v>500</v>
      </c>
      <c r="E77" s="15">
        <v>300</v>
      </c>
      <c r="F77" s="15">
        <v>200</v>
      </c>
      <c r="G77" s="40">
        <v>65.23</v>
      </c>
      <c r="H77" s="40">
        <f t="shared" si="1"/>
        <v>13046</v>
      </c>
      <c r="I77" s="27" t="s">
        <v>217</v>
      </c>
      <c r="J77" s="15">
        <v>0</v>
      </c>
      <c r="K77" s="15">
        <v>0</v>
      </c>
      <c r="L77" s="15">
        <v>200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200</v>
      </c>
    </row>
    <row r="78" spans="1:26" ht="30" x14ac:dyDescent="0.25">
      <c r="A78" s="15">
        <v>77</v>
      </c>
      <c r="B78" s="27" t="s">
        <v>218</v>
      </c>
      <c r="C78" s="15" t="s">
        <v>219</v>
      </c>
      <c r="D78" s="15">
        <v>1854</v>
      </c>
      <c r="E78" s="15">
        <v>1852</v>
      </c>
      <c r="F78" s="15">
        <v>2</v>
      </c>
      <c r="G78" s="40">
        <v>5195.6499999999996</v>
      </c>
      <c r="H78" s="40">
        <f t="shared" si="1"/>
        <v>10391.299999999999</v>
      </c>
      <c r="I78" s="27" t="s">
        <v>87</v>
      </c>
      <c r="J78" s="15">
        <v>2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2</v>
      </c>
    </row>
    <row r="79" spans="1:26" x14ac:dyDescent="0.25">
      <c r="A79" s="15">
        <v>78</v>
      </c>
      <c r="B79" s="27" t="s">
        <v>220</v>
      </c>
      <c r="C79" s="15" t="s">
        <v>221</v>
      </c>
      <c r="D79" s="15">
        <v>42</v>
      </c>
      <c r="E79" s="15">
        <v>40</v>
      </c>
      <c r="F79" s="15">
        <v>2</v>
      </c>
      <c r="G79" s="40">
        <v>11244</v>
      </c>
      <c r="H79" s="40">
        <f t="shared" si="1"/>
        <v>22488</v>
      </c>
      <c r="I79" s="27" t="s">
        <v>87</v>
      </c>
      <c r="J79" s="15">
        <v>2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2</v>
      </c>
    </row>
    <row r="80" spans="1:26" x14ac:dyDescent="0.25">
      <c r="A80" s="15">
        <v>79</v>
      </c>
      <c r="B80" s="27" t="s">
        <v>222</v>
      </c>
      <c r="C80" s="15" t="s">
        <v>223</v>
      </c>
      <c r="D80" s="15">
        <v>4</v>
      </c>
      <c r="E80" s="15">
        <v>0</v>
      </c>
      <c r="F80" s="15">
        <v>4</v>
      </c>
      <c r="G80" s="40">
        <v>15372</v>
      </c>
      <c r="H80" s="40">
        <f t="shared" si="1"/>
        <v>61488</v>
      </c>
      <c r="I80" s="27" t="s">
        <v>51</v>
      </c>
      <c r="J80" s="15">
        <v>4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4</v>
      </c>
    </row>
    <row r="81" spans="1:26" ht="30" x14ac:dyDescent="0.25">
      <c r="A81" s="15">
        <v>80</v>
      </c>
      <c r="B81" s="27" t="s">
        <v>224</v>
      </c>
      <c r="C81" s="15" t="s">
        <v>225</v>
      </c>
      <c r="D81" s="15">
        <v>30</v>
      </c>
      <c r="E81" s="15">
        <v>26</v>
      </c>
      <c r="F81" s="15">
        <v>4</v>
      </c>
      <c r="G81" s="40">
        <v>2148</v>
      </c>
      <c r="H81" s="40">
        <f t="shared" si="1"/>
        <v>8592</v>
      </c>
      <c r="I81" s="27" t="s">
        <v>51</v>
      </c>
      <c r="J81" s="15">
        <v>4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4</v>
      </c>
    </row>
    <row r="82" spans="1:26" ht="30" x14ac:dyDescent="0.25">
      <c r="A82" s="15">
        <v>81</v>
      </c>
      <c r="B82" s="27" t="s">
        <v>226</v>
      </c>
      <c r="C82" s="15" t="s">
        <v>227</v>
      </c>
      <c r="D82" s="15">
        <v>5</v>
      </c>
      <c r="E82" s="15">
        <v>4</v>
      </c>
      <c r="F82" s="15">
        <v>1</v>
      </c>
      <c r="G82" s="40">
        <v>2148</v>
      </c>
      <c r="H82" s="40">
        <f t="shared" si="1"/>
        <v>2148</v>
      </c>
      <c r="I82" s="27" t="s">
        <v>228</v>
      </c>
      <c r="J82" s="15">
        <v>1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1</v>
      </c>
    </row>
    <row r="83" spans="1:26" x14ac:dyDescent="0.25">
      <c r="A83" s="15">
        <v>82</v>
      </c>
      <c r="B83" s="27" t="s">
        <v>229</v>
      </c>
      <c r="C83" s="15" t="s">
        <v>230</v>
      </c>
      <c r="D83" s="15">
        <v>80</v>
      </c>
      <c r="E83" s="15">
        <v>20</v>
      </c>
      <c r="F83" s="15">
        <v>60</v>
      </c>
      <c r="G83" s="40">
        <v>39</v>
      </c>
      <c r="H83" s="40">
        <f t="shared" si="1"/>
        <v>2340</v>
      </c>
      <c r="I83" s="27" t="s">
        <v>231</v>
      </c>
      <c r="J83" s="15">
        <v>60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60</v>
      </c>
    </row>
    <row r="84" spans="1:26" ht="30" x14ac:dyDescent="0.25">
      <c r="A84" s="15">
        <v>83</v>
      </c>
      <c r="B84" s="27" t="s">
        <v>232</v>
      </c>
      <c r="C84" s="15" t="s">
        <v>233</v>
      </c>
      <c r="D84" s="15">
        <v>444</v>
      </c>
      <c r="E84" s="15">
        <v>270</v>
      </c>
      <c r="F84" s="15">
        <v>174</v>
      </c>
      <c r="G84" s="40">
        <v>6002.99</v>
      </c>
      <c r="H84" s="40">
        <f t="shared" si="1"/>
        <v>1044520.26</v>
      </c>
      <c r="I84" s="27" t="s">
        <v>234</v>
      </c>
      <c r="J84" s="15">
        <v>27</v>
      </c>
      <c r="K84" s="15">
        <v>0</v>
      </c>
      <c r="L84" s="15">
        <v>0</v>
      </c>
      <c r="M84" s="15">
        <v>146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174</v>
      </c>
    </row>
    <row r="85" spans="1:26" ht="30" x14ac:dyDescent="0.25">
      <c r="A85" s="15">
        <v>84</v>
      </c>
      <c r="B85" s="27" t="s">
        <v>235</v>
      </c>
      <c r="C85" s="15" t="s">
        <v>236</v>
      </c>
      <c r="D85" s="15">
        <v>23</v>
      </c>
      <c r="E85" s="15">
        <v>2</v>
      </c>
      <c r="F85" s="15">
        <v>21</v>
      </c>
      <c r="G85" s="40">
        <v>21432.34</v>
      </c>
      <c r="H85" s="40">
        <f t="shared" si="1"/>
        <v>450079.14</v>
      </c>
      <c r="I85" s="27" t="s">
        <v>237</v>
      </c>
      <c r="J85" s="15">
        <v>4</v>
      </c>
      <c r="K85" s="15">
        <v>0</v>
      </c>
      <c r="L85" s="15">
        <v>16</v>
      </c>
      <c r="M85" s="15">
        <v>1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21</v>
      </c>
    </row>
    <row r="86" spans="1:26" x14ac:dyDescent="0.25">
      <c r="A86" s="15">
        <v>85</v>
      </c>
      <c r="B86" s="27" t="s">
        <v>238</v>
      </c>
      <c r="C86" s="15" t="s">
        <v>239</v>
      </c>
      <c r="D86" s="15">
        <v>12</v>
      </c>
      <c r="E86" s="15">
        <v>10</v>
      </c>
      <c r="F86" s="15">
        <v>2</v>
      </c>
      <c r="G86" s="40">
        <v>156.66999999999999</v>
      </c>
      <c r="H86" s="40">
        <f t="shared" si="1"/>
        <v>313.33999999999997</v>
      </c>
      <c r="I86" s="27" t="s">
        <v>87</v>
      </c>
      <c r="J86" s="15">
        <v>2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2</v>
      </c>
    </row>
    <row r="87" spans="1:26" x14ac:dyDescent="0.25">
      <c r="A87" s="15">
        <v>86</v>
      </c>
      <c r="B87" s="27" t="s">
        <v>240</v>
      </c>
      <c r="C87" s="15" t="s">
        <v>241</v>
      </c>
      <c r="D87" s="15">
        <v>10</v>
      </c>
      <c r="E87" s="15">
        <v>3</v>
      </c>
      <c r="F87" s="15">
        <v>7</v>
      </c>
      <c r="G87" s="40">
        <v>30960</v>
      </c>
      <c r="H87" s="40">
        <f t="shared" si="1"/>
        <v>216720</v>
      </c>
      <c r="I87" s="27" t="s">
        <v>430</v>
      </c>
      <c r="J87" s="15">
        <v>1</v>
      </c>
      <c r="K87" s="15">
        <v>0</v>
      </c>
      <c r="L87" s="15">
        <v>0</v>
      </c>
      <c r="M87" s="15">
        <v>0</v>
      </c>
      <c r="N87" s="15">
        <v>0</v>
      </c>
      <c r="O87" s="15">
        <v>6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7</v>
      </c>
    </row>
    <row r="88" spans="1:26" x14ac:dyDescent="0.25">
      <c r="A88" s="15">
        <v>87</v>
      </c>
      <c r="B88" s="27" t="s">
        <v>243</v>
      </c>
      <c r="C88" s="15" t="s">
        <v>244</v>
      </c>
      <c r="D88" s="15">
        <v>10</v>
      </c>
      <c r="E88" s="15">
        <v>2</v>
      </c>
      <c r="F88" s="15">
        <v>8</v>
      </c>
      <c r="G88" s="40">
        <v>37560</v>
      </c>
      <c r="H88" s="40">
        <f t="shared" si="1"/>
        <v>300480</v>
      </c>
      <c r="I88" s="27" t="s">
        <v>431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8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8</v>
      </c>
    </row>
    <row r="89" spans="1:26" x14ac:dyDescent="0.25">
      <c r="A89" s="15">
        <v>88</v>
      </c>
      <c r="B89" s="27" t="s">
        <v>246</v>
      </c>
      <c r="C89" s="15" t="s">
        <v>247</v>
      </c>
      <c r="D89" s="15">
        <v>8</v>
      </c>
      <c r="E89" s="15">
        <v>3</v>
      </c>
      <c r="F89" s="15">
        <v>5</v>
      </c>
      <c r="G89" s="40">
        <v>44676</v>
      </c>
      <c r="H89" s="40">
        <f t="shared" si="1"/>
        <v>223380</v>
      </c>
      <c r="I89" s="27" t="s">
        <v>432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5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5</v>
      </c>
    </row>
    <row r="90" spans="1:26" x14ac:dyDescent="0.25">
      <c r="A90" s="15">
        <v>89</v>
      </c>
      <c r="B90" s="27" t="s">
        <v>433</v>
      </c>
      <c r="C90" s="15" t="s">
        <v>250</v>
      </c>
      <c r="D90" s="15">
        <v>1</v>
      </c>
      <c r="E90" s="15">
        <v>0</v>
      </c>
      <c r="F90" s="15">
        <v>1</v>
      </c>
      <c r="G90" s="40">
        <v>16824</v>
      </c>
      <c r="H90" s="40">
        <f t="shared" si="1"/>
        <v>16824</v>
      </c>
      <c r="I90" s="27" t="s">
        <v>12</v>
      </c>
      <c r="J90" s="15">
        <v>1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</row>
    <row r="91" spans="1:26" x14ac:dyDescent="0.25">
      <c r="A91" s="15">
        <v>90</v>
      </c>
      <c r="B91" s="27" t="s">
        <v>434</v>
      </c>
      <c r="C91" s="15" t="s">
        <v>252</v>
      </c>
      <c r="D91" s="15">
        <v>1</v>
      </c>
      <c r="E91" s="15">
        <v>0</v>
      </c>
      <c r="F91" s="15">
        <v>1</v>
      </c>
      <c r="G91" s="40">
        <v>17040</v>
      </c>
      <c r="H91" s="40">
        <f t="shared" si="1"/>
        <v>17040</v>
      </c>
      <c r="I91" s="27" t="s">
        <v>12</v>
      </c>
      <c r="J91" s="15">
        <v>1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1</v>
      </c>
    </row>
    <row r="92" spans="1:26" x14ac:dyDescent="0.25">
      <c r="A92" s="15">
        <v>91</v>
      </c>
      <c r="B92" s="27" t="s">
        <v>435</v>
      </c>
      <c r="C92" s="15" t="s">
        <v>254</v>
      </c>
      <c r="D92" s="15">
        <v>1</v>
      </c>
      <c r="E92" s="15">
        <v>0</v>
      </c>
      <c r="F92" s="15">
        <v>1</v>
      </c>
      <c r="G92" s="40">
        <v>17988</v>
      </c>
      <c r="H92" s="40">
        <f t="shared" si="1"/>
        <v>17988</v>
      </c>
      <c r="I92" s="27" t="s">
        <v>12</v>
      </c>
      <c r="J92" s="15">
        <v>1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1</v>
      </c>
    </row>
    <row r="93" spans="1:26" x14ac:dyDescent="0.25">
      <c r="A93" s="15">
        <v>92</v>
      </c>
      <c r="B93" s="27" t="s">
        <v>436</v>
      </c>
      <c r="C93" s="15" t="s">
        <v>256</v>
      </c>
      <c r="D93" s="15">
        <v>1</v>
      </c>
      <c r="E93" s="15">
        <v>0</v>
      </c>
      <c r="F93" s="15">
        <v>1</v>
      </c>
      <c r="G93" s="40">
        <v>24672</v>
      </c>
      <c r="H93" s="40">
        <f t="shared" si="1"/>
        <v>24672</v>
      </c>
      <c r="I93" s="27" t="s">
        <v>257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1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1</v>
      </c>
    </row>
    <row r="94" spans="1:26" x14ac:dyDescent="0.25">
      <c r="A94" s="15">
        <v>93</v>
      </c>
      <c r="B94" s="27" t="s">
        <v>437</v>
      </c>
      <c r="C94" s="15" t="s">
        <v>259</v>
      </c>
      <c r="D94" s="15">
        <v>1</v>
      </c>
      <c r="E94" s="15">
        <v>0</v>
      </c>
      <c r="F94" s="15">
        <v>1</v>
      </c>
      <c r="G94" s="40">
        <v>28560</v>
      </c>
      <c r="H94" s="40">
        <f t="shared" si="1"/>
        <v>28560</v>
      </c>
      <c r="I94" s="27" t="s">
        <v>257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1</v>
      </c>
    </row>
    <row r="95" spans="1:26" ht="30" x14ac:dyDescent="0.25">
      <c r="A95" s="15">
        <v>94</v>
      </c>
      <c r="B95" s="27" t="s">
        <v>260</v>
      </c>
      <c r="C95" s="15" t="s">
        <v>261</v>
      </c>
      <c r="D95" s="15">
        <v>11600</v>
      </c>
      <c r="E95" s="15">
        <v>11550</v>
      </c>
      <c r="F95" s="15">
        <v>50</v>
      </c>
      <c r="G95" s="40">
        <v>27.93</v>
      </c>
      <c r="H95" s="40">
        <f t="shared" si="1"/>
        <v>1396.5</v>
      </c>
      <c r="I95" s="27" t="s">
        <v>438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50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50</v>
      </c>
    </row>
    <row r="96" spans="1:26" ht="30" x14ac:dyDescent="0.25">
      <c r="A96" s="15">
        <v>95</v>
      </c>
      <c r="B96" s="27" t="s">
        <v>263</v>
      </c>
      <c r="C96" s="15" t="s">
        <v>264</v>
      </c>
      <c r="D96" s="15">
        <v>500</v>
      </c>
      <c r="E96" s="15">
        <v>100</v>
      </c>
      <c r="F96" s="15">
        <v>400</v>
      </c>
      <c r="G96" s="40">
        <v>167.64</v>
      </c>
      <c r="H96" s="40">
        <f t="shared" si="1"/>
        <v>67056</v>
      </c>
      <c r="I96" s="27" t="s">
        <v>265</v>
      </c>
      <c r="J96" s="15">
        <v>0</v>
      </c>
      <c r="K96" s="15">
        <v>0</v>
      </c>
      <c r="L96" s="15">
        <v>400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400</v>
      </c>
    </row>
    <row r="97" spans="1:26" ht="45" x14ac:dyDescent="0.25">
      <c r="A97" s="15">
        <v>96</v>
      </c>
      <c r="B97" s="27" t="s">
        <v>266</v>
      </c>
      <c r="C97" s="15" t="s">
        <v>267</v>
      </c>
      <c r="D97" s="15">
        <v>397</v>
      </c>
      <c r="E97" s="15">
        <v>394</v>
      </c>
      <c r="F97" s="15">
        <v>3</v>
      </c>
      <c r="G97" s="40">
        <v>1128.6500000000001</v>
      </c>
      <c r="H97" s="40">
        <f t="shared" si="1"/>
        <v>3385.9500000000003</v>
      </c>
      <c r="I97" s="27" t="s">
        <v>268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3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3</v>
      </c>
    </row>
    <row r="98" spans="1:26" ht="30" x14ac:dyDescent="0.25">
      <c r="A98" s="15">
        <v>97</v>
      </c>
      <c r="B98" s="27" t="s">
        <v>269</v>
      </c>
      <c r="C98" s="15" t="s">
        <v>270</v>
      </c>
      <c r="D98" s="15">
        <v>10</v>
      </c>
      <c r="E98" s="15">
        <v>0</v>
      </c>
      <c r="F98" s="15">
        <v>10</v>
      </c>
      <c r="G98" s="40">
        <v>28000</v>
      </c>
      <c r="H98" s="40">
        <f t="shared" si="1"/>
        <v>280000</v>
      </c>
      <c r="I98" s="27" t="s">
        <v>15</v>
      </c>
      <c r="J98" s="15">
        <v>10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10</v>
      </c>
    </row>
    <row r="99" spans="1:26" x14ac:dyDescent="0.25">
      <c r="A99" s="15">
        <v>98</v>
      </c>
      <c r="B99" s="27" t="s">
        <v>271</v>
      </c>
      <c r="C99" s="15" t="s">
        <v>272</v>
      </c>
      <c r="D99" s="15">
        <v>2</v>
      </c>
      <c r="E99" s="15">
        <v>0</v>
      </c>
      <c r="F99" s="15">
        <v>2</v>
      </c>
      <c r="G99" s="40">
        <v>175</v>
      </c>
      <c r="H99" s="40">
        <f t="shared" si="1"/>
        <v>350</v>
      </c>
      <c r="I99" s="27" t="s">
        <v>87</v>
      </c>
      <c r="J99" s="15">
        <v>2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2</v>
      </c>
    </row>
    <row r="100" spans="1:26" ht="45" x14ac:dyDescent="0.25">
      <c r="A100" s="15">
        <v>99</v>
      </c>
      <c r="B100" s="27" t="s">
        <v>273</v>
      </c>
      <c r="C100" s="15" t="s">
        <v>274</v>
      </c>
      <c r="D100" s="15">
        <v>61</v>
      </c>
      <c r="E100" s="15">
        <v>4</v>
      </c>
      <c r="F100" s="15">
        <v>57</v>
      </c>
      <c r="G100" s="40">
        <v>5170.49</v>
      </c>
      <c r="H100" s="40">
        <f t="shared" si="1"/>
        <v>294717.93</v>
      </c>
      <c r="I100" s="27" t="s">
        <v>439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57</v>
      </c>
      <c r="V100" s="15">
        <v>0</v>
      </c>
      <c r="W100" s="15">
        <v>0</v>
      </c>
      <c r="X100" s="15">
        <v>0</v>
      </c>
      <c r="Y100" s="15">
        <v>0</v>
      </c>
      <c r="Z100" s="15">
        <v>57</v>
      </c>
    </row>
    <row r="101" spans="1:26" x14ac:dyDescent="0.25">
      <c r="A101" s="15">
        <v>100</v>
      </c>
      <c r="B101" s="27" t="s">
        <v>276</v>
      </c>
      <c r="C101" s="15" t="s">
        <v>277</v>
      </c>
      <c r="D101" s="15">
        <v>303</v>
      </c>
      <c r="E101" s="15">
        <v>47</v>
      </c>
      <c r="F101" s="15">
        <v>256</v>
      </c>
      <c r="G101" s="40">
        <v>4840</v>
      </c>
      <c r="H101" s="40">
        <f t="shared" si="1"/>
        <v>1239040</v>
      </c>
      <c r="I101" s="27" t="s">
        <v>440</v>
      </c>
      <c r="J101" s="15">
        <v>256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256</v>
      </c>
    </row>
    <row r="102" spans="1:26" x14ac:dyDescent="0.25">
      <c r="A102" s="15">
        <v>101</v>
      </c>
      <c r="B102" s="27" t="s">
        <v>279</v>
      </c>
      <c r="C102" s="15" t="s">
        <v>280</v>
      </c>
      <c r="D102" s="15">
        <v>30</v>
      </c>
      <c r="E102" s="15">
        <v>28</v>
      </c>
      <c r="F102" s="15">
        <v>2</v>
      </c>
      <c r="G102" s="40">
        <v>2500</v>
      </c>
      <c r="H102" s="40">
        <f t="shared" si="1"/>
        <v>5000</v>
      </c>
      <c r="I102" s="27" t="s">
        <v>87</v>
      </c>
      <c r="J102" s="15">
        <v>2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2</v>
      </c>
    </row>
    <row r="103" spans="1:26" ht="30" x14ac:dyDescent="0.25">
      <c r="A103" s="15">
        <v>102</v>
      </c>
      <c r="B103" s="27" t="s">
        <v>281</v>
      </c>
      <c r="C103" s="15" t="s">
        <v>282</v>
      </c>
      <c r="D103" s="15">
        <v>303</v>
      </c>
      <c r="E103" s="15">
        <v>55</v>
      </c>
      <c r="F103" s="15">
        <v>248</v>
      </c>
      <c r="G103" s="40">
        <v>2587</v>
      </c>
      <c r="H103" s="40">
        <f t="shared" si="1"/>
        <v>641576</v>
      </c>
      <c r="I103" s="27" t="s">
        <v>441</v>
      </c>
      <c r="J103" s="15">
        <v>0</v>
      </c>
      <c r="K103" s="15">
        <v>0</v>
      </c>
      <c r="L103" s="15">
        <v>0</v>
      </c>
      <c r="M103" s="15">
        <v>0</v>
      </c>
      <c r="N103" s="15">
        <v>248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248</v>
      </c>
    </row>
    <row r="104" spans="1:26" ht="30" x14ac:dyDescent="0.25">
      <c r="A104" s="15">
        <v>103</v>
      </c>
      <c r="B104" s="27" t="s">
        <v>442</v>
      </c>
      <c r="C104" s="15" t="s">
        <v>285</v>
      </c>
      <c r="D104" s="15">
        <v>1701</v>
      </c>
      <c r="E104" s="15">
        <v>1699</v>
      </c>
      <c r="F104" s="15">
        <v>2</v>
      </c>
      <c r="G104" s="40">
        <v>93</v>
      </c>
      <c r="H104" s="40">
        <f t="shared" si="1"/>
        <v>186</v>
      </c>
      <c r="I104" s="27" t="s">
        <v>286</v>
      </c>
      <c r="J104" s="15">
        <v>0</v>
      </c>
      <c r="K104" s="15">
        <v>1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1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2</v>
      </c>
    </row>
    <row r="105" spans="1:26" ht="45" x14ac:dyDescent="0.25">
      <c r="A105" s="15">
        <v>104</v>
      </c>
      <c r="B105" s="27" t="s">
        <v>287</v>
      </c>
      <c r="C105" s="15" t="s">
        <v>288</v>
      </c>
      <c r="D105" s="15">
        <v>600</v>
      </c>
      <c r="E105" s="15">
        <v>0</v>
      </c>
      <c r="F105" s="15">
        <v>600</v>
      </c>
      <c r="G105" s="40">
        <v>22</v>
      </c>
      <c r="H105" s="40">
        <f t="shared" si="1"/>
        <v>13200</v>
      </c>
      <c r="I105" s="27" t="s">
        <v>289</v>
      </c>
      <c r="J105" s="15">
        <v>600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600</v>
      </c>
    </row>
    <row r="106" spans="1:26" ht="45" x14ac:dyDescent="0.25">
      <c r="A106" s="15">
        <v>105</v>
      </c>
      <c r="B106" s="27" t="s">
        <v>290</v>
      </c>
      <c r="C106" s="15" t="s">
        <v>291</v>
      </c>
      <c r="D106" s="15">
        <v>150</v>
      </c>
      <c r="E106" s="15">
        <v>0</v>
      </c>
      <c r="F106" s="15">
        <v>150</v>
      </c>
      <c r="G106" s="40">
        <v>48</v>
      </c>
      <c r="H106" s="40">
        <f t="shared" si="1"/>
        <v>7200</v>
      </c>
      <c r="I106" s="27" t="s">
        <v>292</v>
      </c>
      <c r="J106" s="15">
        <v>150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150</v>
      </c>
    </row>
    <row r="107" spans="1:26" ht="60" x14ac:dyDescent="0.25">
      <c r="A107" s="15">
        <v>106</v>
      </c>
      <c r="B107" s="27" t="s">
        <v>293</v>
      </c>
      <c r="C107" s="15" t="s">
        <v>294</v>
      </c>
      <c r="D107" s="15">
        <v>9</v>
      </c>
      <c r="E107" s="15">
        <v>1</v>
      </c>
      <c r="F107" s="15">
        <v>8</v>
      </c>
      <c r="G107" s="40">
        <v>10222.219999999999</v>
      </c>
      <c r="H107" s="40">
        <f t="shared" si="1"/>
        <v>81777.759999999995</v>
      </c>
      <c r="I107" s="27" t="s">
        <v>295</v>
      </c>
      <c r="J107" s="15">
        <v>1</v>
      </c>
      <c r="K107" s="15">
        <v>6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1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8</v>
      </c>
    </row>
    <row r="108" spans="1:26" ht="30" x14ac:dyDescent="0.25">
      <c r="A108" s="15">
        <v>107</v>
      </c>
      <c r="B108" s="27" t="s">
        <v>296</v>
      </c>
      <c r="C108" s="15" t="s">
        <v>297</v>
      </c>
      <c r="D108" s="15">
        <v>403</v>
      </c>
      <c r="E108" s="15">
        <v>215</v>
      </c>
      <c r="F108" s="15">
        <v>188</v>
      </c>
      <c r="G108" s="40">
        <v>6820.35</v>
      </c>
      <c r="H108" s="40">
        <f t="shared" si="1"/>
        <v>1282225.8</v>
      </c>
      <c r="I108" s="27" t="s">
        <v>298</v>
      </c>
      <c r="J108" s="15">
        <v>186</v>
      </c>
      <c r="K108" s="15">
        <v>2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188</v>
      </c>
    </row>
    <row r="109" spans="1:26" x14ac:dyDescent="0.25">
      <c r="A109" s="15">
        <v>108</v>
      </c>
      <c r="B109" s="27" t="s">
        <v>299</v>
      </c>
      <c r="C109" s="15" t="s">
        <v>300</v>
      </c>
      <c r="D109" s="15">
        <v>3</v>
      </c>
      <c r="E109" s="15">
        <v>0</v>
      </c>
      <c r="F109" s="15">
        <v>3</v>
      </c>
      <c r="G109" s="40">
        <v>20100</v>
      </c>
      <c r="H109" s="40">
        <f t="shared" si="1"/>
        <v>60300</v>
      </c>
      <c r="I109" s="27" t="s">
        <v>60</v>
      </c>
      <c r="J109" s="15">
        <v>3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3</v>
      </c>
    </row>
    <row r="110" spans="1:26" x14ac:dyDescent="0.25">
      <c r="A110" s="15">
        <v>109</v>
      </c>
      <c r="B110" s="27" t="s">
        <v>301</v>
      </c>
      <c r="C110" s="15" t="s">
        <v>302</v>
      </c>
      <c r="D110" s="15">
        <v>2</v>
      </c>
      <c r="E110" s="15">
        <v>1</v>
      </c>
      <c r="F110" s="15">
        <v>1</v>
      </c>
      <c r="G110" s="40">
        <v>20700</v>
      </c>
      <c r="H110" s="40">
        <f t="shared" si="1"/>
        <v>20700</v>
      </c>
      <c r="I110" s="27" t="s">
        <v>12</v>
      </c>
      <c r="J110" s="15">
        <v>1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</row>
    <row r="111" spans="1:26" ht="45" x14ac:dyDescent="0.25">
      <c r="A111" s="15">
        <v>110</v>
      </c>
      <c r="B111" s="27" t="s">
        <v>443</v>
      </c>
      <c r="C111" s="15" t="s">
        <v>304</v>
      </c>
      <c r="D111" s="15">
        <v>6</v>
      </c>
      <c r="E111" s="15">
        <v>0</v>
      </c>
      <c r="F111" s="15">
        <v>6</v>
      </c>
      <c r="G111" s="40">
        <v>16200</v>
      </c>
      <c r="H111" s="40">
        <f t="shared" si="1"/>
        <v>97200</v>
      </c>
      <c r="I111" s="27" t="s">
        <v>305</v>
      </c>
      <c r="J111" s="15">
        <v>6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6</v>
      </c>
    </row>
    <row r="112" spans="1:26" x14ac:dyDescent="0.25">
      <c r="A112" s="15">
        <v>111</v>
      </c>
      <c r="B112" s="27" t="s">
        <v>306</v>
      </c>
      <c r="C112" s="15" t="s">
        <v>307</v>
      </c>
      <c r="D112" s="15">
        <v>2</v>
      </c>
      <c r="E112" s="15">
        <v>1</v>
      </c>
      <c r="F112" s="15">
        <v>1</v>
      </c>
      <c r="G112" s="40">
        <v>26250</v>
      </c>
      <c r="H112" s="40">
        <f t="shared" si="1"/>
        <v>26250</v>
      </c>
      <c r="I112" s="27" t="s">
        <v>12</v>
      </c>
      <c r="J112" s="15">
        <v>1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</row>
    <row r="113" spans="1:26" ht="30" x14ac:dyDescent="0.25">
      <c r="A113" s="15">
        <v>112</v>
      </c>
      <c r="B113" s="27" t="s">
        <v>308</v>
      </c>
      <c r="C113" s="15" t="s">
        <v>309</v>
      </c>
      <c r="D113" s="15">
        <v>2</v>
      </c>
      <c r="E113" s="15">
        <v>1</v>
      </c>
      <c r="F113" s="15">
        <v>1</v>
      </c>
      <c r="G113" s="40">
        <v>5013</v>
      </c>
      <c r="H113" s="40">
        <f t="shared" si="1"/>
        <v>5013</v>
      </c>
      <c r="I113" s="27" t="s">
        <v>12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</row>
    <row r="114" spans="1:26" ht="30" x14ac:dyDescent="0.25">
      <c r="A114" s="15">
        <v>113</v>
      </c>
      <c r="B114" s="27" t="s">
        <v>310</v>
      </c>
      <c r="C114" s="15" t="s">
        <v>311</v>
      </c>
      <c r="D114" s="15">
        <v>1200</v>
      </c>
      <c r="E114" s="15">
        <v>1000</v>
      </c>
      <c r="F114" s="15">
        <v>200</v>
      </c>
      <c r="G114" s="40">
        <v>1.31</v>
      </c>
      <c r="H114" s="40">
        <f t="shared" si="1"/>
        <v>262</v>
      </c>
      <c r="I114" s="27" t="s">
        <v>312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200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200</v>
      </c>
    </row>
    <row r="115" spans="1:26" ht="30" x14ac:dyDescent="0.25">
      <c r="A115" s="15">
        <v>114</v>
      </c>
      <c r="B115" s="27" t="s">
        <v>313</v>
      </c>
      <c r="C115" s="15" t="s">
        <v>314</v>
      </c>
      <c r="D115" s="15">
        <v>5</v>
      </c>
      <c r="E115" s="15">
        <v>0</v>
      </c>
      <c r="F115" s="15">
        <v>5</v>
      </c>
      <c r="G115" s="40">
        <v>4711.2</v>
      </c>
      <c r="H115" s="40">
        <f t="shared" si="1"/>
        <v>23556</v>
      </c>
      <c r="I115" s="27" t="s">
        <v>93</v>
      </c>
      <c r="J115" s="15">
        <v>5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5</v>
      </c>
    </row>
    <row r="116" spans="1:26" x14ac:dyDescent="0.25">
      <c r="A116" s="15">
        <v>115</v>
      </c>
      <c r="B116" s="27" t="s">
        <v>315</v>
      </c>
      <c r="C116" s="15" t="s">
        <v>316</v>
      </c>
      <c r="D116" s="15">
        <v>600</v>
      </c>
      <c r="E116" s="15">
        <v>500</v>
      </c>
      <c r="F116" s="15">
        <v>100</v>
      </c>
      <c r="G116" s="40">
        <v>1.89</v>
      </c>
      <c r="H116" s="40">
        <f t="shared" si="1"/>
        <v>189</v>
      </c>
      <c r="I116" s="27" t="s">
        <v>444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100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100</v>
      </c>
    </row>
    <row r="117" spans="1:26" ht="30" x14ac:dyDescent="0.25">
      <c r="A117" s="15">
        <v>116</v>
      </c>
      <c r="B117" s="27" t="s">
        <v>318</v>
      </c>
      <c r="C117" s="15" t="s">
        <v>319</v>
      </c>
      <c r="D117" s="15">
        <v>8</v>
      </c>
      <c r="E117" s="15">
        <v>0</v>
      </c>
      <c r="F117" s="15">
        <v>8</v>
      </c>
      <c r="G117" s="40">
        <v>17705</v>
      </c>
      <c r="H117" s="40">
        <f t="shared" si="1"/>
        <v>141640</v>
      </c>
      <c r="I117" s="27" t="s">
        <v>73</v>
      </c>
      <c r="J117" s="15">
        <v>8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8</v>
      </c>
    </row>
    <row r="118" spans="1:26" x14ac:dyDescent="0.25">
      <c r="A118" s="15">
        <v>117</v>
      </c>
      <c r="B118" s="27" t="s">
        <v>320</v>
      </c>
      <c r="C118" s="15" t="s">
        <v>321</v>
      </c>
      <c r="D118" s="15">
        <v>3</v>
      </c>
      <c r="E118" s="15">
        <v>2</v>
      </c>
      <c r="F118" s="15">
        <v>1</v>
      </c>
      <c r="G118" s="40">
        <v>575</v>
      </c>
      <c r="H118" s="40">
        <f t="shared" si="1"/>
        <v>575</v>
      </c>
      <c r="I118" s="27" t="s">
        <v>12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</v>
      </c>
    </row>
    <row r="119" spans="1:26" x14ac:dyDescent="0.25">
      <c r="A119" s="15">
        <v>118</v>
      </c>
      <c r="B119" s="27" t="s">
        <v>322</v>
      </c>
      <c r="C119" s="15" t="s">
        <v>323</v>
      </c>
      <c r="D119" s="15">
        <v>3</v>
      </c>
      <c r="E119" s="15">
        <v>2</v>
      </c>
      <c r="F119" s="15">
        <v>1</v>
      </c>
      <c r="G119" s="40">
        <v>295</v>
      </c>
      <c r="H119" s="40">
        <f t="shared" si="1"/>
        <v>295</v>
      </c>
      <c r="I119" s="27" t="s">
        <v>12</v>
      </c>
      <c r="J119" s="15">
        <v>1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</row>
    <row r="120" spans="1:26" ht="60" x14ac:dyDescent="0.25">
      <c r="A120" s="15">
        <v>119</v>
      </c>
      <c r="B120" s="27" t="s">
        <v>324</v>
      </c>
      <c r="C120" s="15" t="s">
        <v>325</v>
      </c>
      <c r="D120" s="15">
        <v>57</v>
      </c>
      <c r="E120" s="15">
        <v>49</v>
      </c>
      <c r="F120" s="15">
        <v>8</v>
      </c>
      <c r="G120" s="40">
        <v>1440</v>
      </c>
      <c r="H120" s="40">
        <f t="shared" si="1"/>
        <v>11520</v>
      </c>
      <c r="I120" s="27" t="s">
        <v>445</v>
      </c>
      <c r="J120" s="15">
        <v>8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8</v>
      </c>
    </row>
    <row r="121" spans="1:26" x14ac:dyDescent="0.25">
      <c r="A121" s="15">
        <v>120</v>
      </c>
      <c r="B121" s="27" t="s">
        <v>446</v>
      </c>
      <c r="C121" s="15" t="s">
        <v>328</v>
      </c>
      <c r="D121" s="15">
        <v>6</v>
      </c>
      <c r="E121" s="15">
        <v>0</v>
      </c>
      <c r="F121" s="15">
        <v>6</v>
      </c>
      <c r="G121" s="40">
        <v>12480</v>
      </c>
      <c r="H121" s="40">
        <f t="shared" si="1"/>
        <v>74880</v>
      </c>
      <c r="I121" s="27" t="s">
        <v>447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6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6</v>
      </c>
    </row>
    <row r="122" spans="1:26" x14ac:dyDescent="0.25">
      <c r="A122" s="15">
        <v>121</v>
      </c>
      <c r="B122" s="27" t="s">
        <v>448</v>
      </c>
      <c r="C122" s="15" t="s">
        <v>331</v>
      </c>
      <c r="D122" s="15">
        <v>90</v>
      </c>
      <c r="E122" s="15">
        <v>0</v>
      </c>
      <c r="F122" s="15">
        <v>90</v>
      </c>
      <c r="G122" s="40">
        <v>13080</v>
      </c>
      <c r="H122" s="40">
        <f t="shared" si="1"/>
        <v>1177200</v>
      </c>
      <c r="I122" s="27" t="s">
        <v>449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90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90</v>
      </c>
    </row>
    <row r="123" spans="1:26" x14ac:dyDescent="0.25">
      <c r="A123" s="15">
        <v>122</v>
      </c>
      <c r="B123" s="27" t="s">
        <v>450</v>
      </c>
      <c r="C123" s="15" t="s">
        <v>334</v>
      </c>
      <c r="D123" s="15">
        <v>35</v>
      </c>
      <c r="E123" s="15">
        <v>29</v>
      </c>
      <c r="F123" s="15">
        <v>6</v>
      </c>
      <c r="G123" s="40">
        <v>15480</v>
      </c>
      <c r="H123" s="40">
        <f t="shared" si="1"/>
        <v>92880</v>
      </c>
      <c r="I123" s="27" t="s">
        <v>447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6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6</v>
      </c>
    </row>
    <row r="124" spans="1:26" x14ac:dyDescent="0.25">
      <c r="A124" s="15">
        <v>123</v>
      </c>
      <c r="B124" s="27" t="s">
        <v>451</v>
      </c>
      <c r="C124" s="15" t="s">
        <v>336</v>
      </c>
      <c r="D124" s="15">
        <v>65</v>
      </c>
      <c r="E124" s="15">
        <v>54</v>
      </c>
      <c r="F124" s="15">
        <v>11</v>
      </c>
      <c r="G124" s="40">
        <v>17040</v>
      </c>
      <c r="H124" s="40">
        <f t="shared" si="1"/>
        <v>187440</v>
      </c>
      <c r="I124" s="27" t="s">
        <v>452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11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11</v>
      </c>
    </row>
    <row r="125" spans="1:26" x14ac:dyDescent="0.25">
      <c r="A125" s="15">
        <v>124</v>
      </c>
      <c r="B125" s="27" t="s">
        <v>453</v>
      </c>
      <c r="C125" s="15" t="s">
        <v>339</v>
      </c>
      <c r="D125" s="15">
        <v>18</v>
      </c>
      <c r="E125" s="15">
        <v>11</v>
      </c>
      <c r="F125" s="15">
        <v>7</v>
      </c>
      <c r="G125" s="40">
        <v>19620</v>
      </c>
      <c r="H125" s="40">
        <f t="shared" si="1"/>
        <v>137340</v>
      </c>
      <c r="I125" s="27" t="s">
        <v>454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7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7</v>
      </c>
    </row>
    <row r="126" spans="1:26" x14ac:dyDescent="0.25">
      <c r="A126" s="15">
        <v>125</v>
      </c>
      <c r="B126" s="27" t="s">
        <v>455</v>
      </c>
      <c r="C126" s="15" t="s">
        <v>342</v>
      </c>
      <c r="D126" s="15">
        <v>18</v>
      </c>
      <c r="E126" s="15">
        <v>13</v>
      </c>
      <c r="F126" s="15">
        <v>5</v>
      </c>
      <c r="G126" s="40">
        <v>22920</v>
      </c>
      <c r="H126" s="40">
        <f t="shared" si="1"/>
        <v>114600</v>
      </c>
      <c r="I126" s="27" t="s">
        <v>432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5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5</v>
      </c>
    </row>
    <row r="127" spans="1:26" x14ac:dyDescent="0.25">
      <c r="A127" s="15">
        <v>126</v>
      </c>
      <c r="B127" s="27" t="s">
        <v>456</v>
      </c>
      <c r="C127" s="15" t="s">
        <v>345</v>
      </c>
      <c r="D127" s="15">
        <v>5</v>
      </c>
      <c r="E127" s="15">
        <v>0</v>
      </c>
      <c r="F127" s="15">
        <v>5</v>
      </c>
      <c r="G127" s="40">
        <v>30360</v>
      </c>
      <c r="H127" s="40">
        <f t="shared" si="1"/>
        <v>151800</v>
      </c>
      <c r="I127" s="27" t="s">
        <v>432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5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5</v>
      </c>
    </row>
    <row r="128" spans="1:26" x14ac:dyDescent="0.25">
      <c r="A128" s="15">
        <v>127</v>
      </c>
      <c r="B128" s="27" t="s">
        <v>457</v>
      </c>
      <c r="C128" s="15" t="s">
        <v>347</v>
      </c>
      <c r="D128" s="15">
        <v>6</v>
      </c>
      <c r="E128" s="15">
        <v>0</v>
      </c>
      <c r="F128" s="15">
        <v>6</v>
      </c>
      <c r="G128" s="40">
        <v>35760</v>
      </c>
      <c r="H128" s="40">
        <f t="shared" si="1"/>
        <v>214560</v>
      </c>
      <c r="I128" s="27" t="s">
        <v>447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6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6</v>
      </c>
    </row>
    <row r="129" spans="1:26" x14ac:dyDescent="0.25">
      <c r="A129" s="15">
        <v>128</v>
      </c>
      <c r="B129" s="27" t="s">
        <v>458</v>
      </c>
      <c r="C129" s="15" t="s">
        <v>349</v>
      </c>
      <c r="D129" s="15">
        <v>1</v>
      </c>
      <c r="E129" s="15">
        <v>0</v>
      </c>
      <c r="F129" s="15">
        <v>1</v>
      </c>
      <c r="G129" s="40">
        <v>39000</v>
      </c>
      <c r="H129" s="40">
        <f t="shared" si="1"/>
        <v>39000</v>
      </c>
      <c r="I129" s="27" t="s">
        <v>257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1</v>
      </c>
    </row>
    <row r="130" spans="1:26" x14ac:dyDescent="0.25">
      <c r="A130" s="15">
        <v>129</v>
      </c>
      <c r="B130" s="27" t="s">
        <v>459</v>
      </c>
      <c r="C130" s="15" t="s">
        <v>351</v>
      </c>
      <c r="D130" s="15">
        <v>1</v>
      </c>
      <c r="E130" s="15">
        <v>0</v>
      </c>
      <c r="F130" s="15">
        <v>1</v>
      </c>
      <c r="G130" s="40">
        <v>44400</v>
      </c>
      <c r="H130" s="40">
        <f t="shared" si="1"/>
        <v>44400</v>
      </c>
      <c r="I130" s="27" t="s">
        <v>257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1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1</v>
      </c>
    </row>
    <row r="131" spans="1:26" x14ac:dyDescent="0.25">
      <c r="A131" s="15">
        <v>130</v>
      </c>
      <c r="B131" s="27" t="s">
        <v>460</v>
      </c>
      <c r="C131" s="15" t="s">
        <v>353</v>
      </c>
      <c r="D131" s="15">
        <v>1</v>
      </c>
      <c r="E131" s="15">
        <v>0</v>
      </c>
      <c r="F131" s="15">
        <v>1</v>
      </c>
      <c r="G131" s="40">
        <v>34200</v>
      </c>
      <c r="H131" s="40">
        <f t="shared" si="1"/>
        <v>34200</v>
      </c>
      <c r="I131" s="27" t="s">
        <v>257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1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1</v>
      </c>
    </row>
    <row r="132" spans="1:26" x14ac:dyDescent="0.25">
      <c r="A132" s="15">
        <v>131</v>
      </c>
      <c r="B132" s="27" t="s">
        <v>461</v>
      </c>
      <c r="C132" s="15" t="s">
        <v>355</v>
      </c>
      <c r="D132" s="15">
        <v>2</v>
      </c>
      <c r="E132" s="15">
        <v>0</v>
      </c>
      <c r="F132" s="15">
        <v>2</v>
      </c>
      <c r="G132" s="40">
        <v>116760</v>
      </c>
      <c r="H132" s="40">
        <f t="shared" ref="H132:H145" si="2">G132*F132</f>
        <v>233520</v>
      </c>
      <c r="I132" s="27" t="s">
        <v>462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2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2</v>
      </c>
    </row>
    <row r="133" spans="1:26" x14ac:dyDescent="0.25">
      <c r="A133" s="15">
        <v>132</v>
      </c>
      <c r="B133" s="27" t="s">
        <v>357</v>
      </c>
      <c r="C133" s="15" t="s">
        <v>358</v>
      </c>
      <c r="D133" s="15">
        <v>142</v>
      </c>
      <c r="E133" s="15">
        <v>140</v>
      </c>
      <c r="F133" s="15">
        <v>2</v>
      </c>
      <c r="G133" s="40">
        <v>685.42</v>
      </c>
      <c r="H133" s="40">
        <f t="shared" si="2"/>
        <v>1370.84</v>
      </c>
      <c r="I133" s="27" t="s">
        <v>359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2</v>
      </c>
      <c r="Z133" s="15">
        <v>2</v>
      </c>
    </row>
    <row r="134" spans="1:26" ht="30" x14ac:dyDescent="0.25">
      <c r="A134" s="15">
        <v>133</v>
      </c>
      <c r="B134" s="27" t="s">
        <v>360</v>
      </c>
      <c r="C134" s="15" t="s">
        <v>361</v>
      </c>
      <c r="D134" s="15">
        <v>4</v>
      </c>
      <c r="E134" s="15">
        <v>0</v>
      </c>
      <c r="F134" s="15">
        <v>4</v>
      </c>
      <c r="G134" s="40">
        <v>150</v>
      </c>
      <c r="H134" s="40">
        <f t="shared" si="2"/>
        <v>600</v>
      </c>
      <c r="I134" s="27" t="s">
        <v>51</v>
      </c>
      <c r="J134" s="15">
        <v>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4</v>
      </c>
    </row>
    <row r="135" spans="1:26" ht="90" x14ac:dyDescent="0.25">
      <c r="A135" s="15">
        <v>134</v>
      </c>
      <c r="B135" s="27" t="s">
        <v>362</v>
      </c>
      <c r="C135" s="15" t="s">
        <v>363</v>
      </c>
      <c r="D135" s="15">
        <v>8</v>
      </c>
      <c r="E135" s="15">
        <v>0</v>
      </c>
      <c r="F135" s="15">
        <v>8</v>
      </c>
      <c r="G135" s="40">
        <v>77990</v>
      </c>
      <c r="H135" s="40">
        <f t="shared" si="2"/>
        <v>623920</v>
      </c>
      <c r="I135" s="27" t="s">
        <v>73</v>
      </c>
      <c r="J135" s="15">
        <v>8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8</v>
      </c>
    </row>
    <row r="136" spans="1:26" ht="30" x14ac:dyDescent="0.25">
      <c r="A136" s="15">
        <v>135</v>
      </c>
      <c r="B136" s="27" t="s">
        <v>364</v>
      </c>
      <c r="C136" s="15" t="s">
        <v>365</v>
      </c>
      <c r="D136" s="15">
        <v>26</v>
      </c>
      <c r="E136" s="15">
        <v>25</v>
      </c>
      <c r="F136" s="15">
        <v>1</v>
      </c>
      <c r="G136" s="40">
        <v>18000</v>
      </c>
      <c r="H136" s="40">
        <f t="shared" si="2"/>
        <v>18000</v>
      </c>
      <c r="I136" s="27" t="s">
        <v>12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</row>
    <row r="137" spans="1:26" ht="30" x14ac:dyDescent="0.25">
      <c r="A137" s="15">
        <v>136</v>
      </c>
      <c r="B137" s="27" t="s">
        <v>366</v>
      </c>
      <c r="C137" s="15" t="s">
        <v>367</v>
      </c>
      <c r="D137" s="15">
        <v>5015</v>
      </c>
      <c r="E137" s="15">
        <v>0</v>
      </c>
      <c r="F137" s="15">
        <v>5015</v>
      </c>
      <c r="G137" s="40">
        <v>68.88</v>
      </c>
      <c r="H137" s="40">
        <f t="shared" si="2"/>
        <v>345433.19999999995</v>
      </c>
      <c r="I137" s="27" t="s">
        <v>463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5015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5015</v>
      </c>
    </row>
    <row r="138" spans="1:26" ht="30" x14ac:dyDescent="0.25">
      <c r="A138" s="15">
        <v>137</v>
      </c>
      <c r="B138" s="27" t="s">
        <v>369</v>
      </c>
      <c r="C138" s="15" t="s">
        <v>370</v>
      </c>
      <c r="D138" s="15">
        <v>1255</v>
      </c>
      <c r="E138" s="15">
        <v>0</v>
      </c>
      <c r="F138" s="15">
        <v>1255</v>
      </c>
      <c r="G138" s="40">
        <v>100.84</v>
      </c>
      <c r="H138" s="40">
        <f t="shared" si="2"/>
        <v>126554.2</v>
      </c>
      <c r="I138" s="27" t="s">
        <v>464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1255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1255</v>
      </c>
    </row>
    <row r="139" spans="1:26" ht="30" x14ac:dyDescent="0.25">
      <c r="A139" s="15">
        <v>138</v>
      </c>
      <c r="B139" s="27" t="s">
        <v>372</v>
      </c>
      <c r="C139" s="15" t="s">
        <v>373</v>
      </c>
      <c r="D139" s="15">
        <v>1655</v>
      </c>
      <c r="E139" s="15">
        <v>0</v>
      </c>
      <c r="F139" s="15">
        <v>1655</v>
      </c>
      <c r="G139" s="40">
        <v>103.74</v>
      </c>
      <c r="H139" s="40">
        <f t="shared" si="2"/>
        <v>171689.69999999998</v>
      </c>
      <c r="I139" s="27" t="s">
        <v>465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1655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1655</v>
      </c>
    </row>
    <row r="140" spans="1:26" ht="30" x14ac:dyDescent="0.25">
      <c r="A140" s="15">
        <v>139</v>
      </c>
      <c r="B140" s="27" t="s">
        <v>375</v>
      </c>
      <c r="C140" s="15" t="s">
        <v>376</v>
      </c>
      <c r="D140" s="15">
        <v>260</v>
      </c>
      <c r="E140" s="15">
        <v>0</v>
      </c>
      <c r="F140" s="15">
        <v>260</v>
      </c>
      <c r="G140" s="40">
        <v>217.98</v>
      </c>
      <c r="H140" s="40">
        <f t="shared" si="2"/>
        <v>56674.799999999996</v>
      </c>
      <c r="I140" s="27" t="s">
        <v>466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260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260</v>
      </c>
    </row>
    <row r="141" spans="1:26" ht="45" x14ac:dyDescent="0.25">
      <c r="A141" s="15">
        <v>140</v>
      </c>
      <c r="B141" s="27" t="s">
        <v>378</v>
      </c>
      <c r="C141" s="15" t="s">
        <v>379</v>
      </c>
      <c r="D141" s="15">
        <v>50</v>
      </c>
      <c r="E141" s="15">
        <v>0</v>
      </c>
      <c r="F141" s="15">
        <v>50</v>
      </c>
      <c r="G141" s="40">
        <v>21.5</v>
      </c>
      <c r="H141" s="40">
        <f t="shared" si="2"/>
        <v>1075</v>
      </c>
      <c r="I141" s="27" t="s">
        <v>467</v>
      </c>
      <c r="J141" s="15">
        <v>50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50</v>
      </c>
    </row>
    <row r="142" spans="1:26" ht="45" x14ac:dyDescent="0.25">
      <c r="A142" s="15">
        <v>141</v>
      </c>
      <c r="B142" s="27" t="s">
        <v>381</v>
      </c>
      <c r="C142" s="15" t="s">
        <v>382</v>
      </c>
      <c r="D142" s="15">
        <v>50</v>
      </c>
      <c r="E142" s="15">
        <v>0</v>
      </c>
      <c r="F142" s="15">
        <v>50</v>
      </c>
      <c r="G142" s="40">
        <v>33.5</v>
      </c>
      <c r="H142" s="40">
        <f t="shared" si="2"/>
        <v>1675</v>
      </c>
      <c r="I142" s="27" t="s">
        <v>467</v>
      </c>
      <c r="J142" s="15">
        <v>50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50</v>
      </c>
    </row>
    <row r="143" spans="1:26" ht="30" x14ac:dyDescent="0.25">
      <c r="A143" s="15">
        <v>142</v>
      </c>
      <c r="B143" s="27" t="s">
        <v>383</v>
      </c>
      <c r="C143" s="15" t="s">
        <v>384</v>
      </c>
      <c r="D143" s="15">
        <v>2</v>
      </c>
      <c r="E143" s="15">
        <v>0</v>
      </c>
      <c r="F143" s="15">
        <v>2</v>
      </c>
      <c r="G143" s="40">
        <v>28000</v>
      </c>
      <c r="H143" s="40">
        <f t="shared" si="2"/>
        <v>56000</v>
      </c>
      <c r="I143" s="27" t="s">
        <v>359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2</v>
      </c>
      <c r="Z143" s="15">
        <v>2</v>
      </c>
    </row>
    <row r="144" spans="1:26" ht="30" x14ac:dyDescent="0.25">
      <c r="A144" s="15">
        <v>143</v>
      </c>
      <c r="B144" s="27" t="s">
        <v>385</v>
      </c>
      <c r="C144" s="15" t="s">
        <v>386</v>
      </c>
      <c r="D144" s="15">
        <v>410</v>
      </c>
      <c r="E144" s="15">
        <v>0</v>
      </c>
      <c r="F144" s="15">
        <v>410</v>
      </c>
      <c r="G144" s="40">
        <v>15</v>
      </c>
      <c r="H144" s="40">
        <f t="shared" si="2"/>
        <v>6150</v>
      </c>
      <c r="I144" s="27" t="s">
        <v>387</v>
      </c>
      <c r="J144" s="15">
        <v>410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410</v>
      </c>
    </row>
    <row r="145" spans="1:26" ht="30" x14ac:dyDescent="0.25">
      <c r="A145" s="28">
        <v>144</v>
      </c>
      <c r="B145" s="29" t="s">
        <v>388</v>
      </c>
      <c r="C145" s="28" t="s">
        <v>389</v>
      </c>
      <c r="D145" s="28">
        <v>1</v>
      </c>
      <c r="E145" s="28">
        <v>0</v>
      </c>
      <c r="F145" s="28">
        <v>1</v>
      </c>
      <c r="G145" s="41">
        <v>27600</v>
      </c>
      <c r="H145" s="40">
        <f t="shared" si="2"/>
        <v>27600</v>
      </c>
      <c r="I145" s="29" t="s">
        <v>12</v>
      </c>
      <c r="J145" s="28">
        <v>1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1</v>
      </c>
    </row>
    <row r="146" spans="1:26" x14ac:dyDescent="0.25">
      <c r="A146" s="42" t="s">
        <v>390</v>
      </c>
      <c r="B146" s="42"/>
      <c r="C146" s="42"/>
      <c r="D146" s="42"/>
      <c r="E146" s="42"/>
      <c r="F146" s="42"/>
      <c r="G146" s="42"/>
      <c r="H146" s="43">
        <f>SUM(H3:H145)</f>
        <v>25006637.609999999</v>
      </c>
      <c r="I146" s="27"/>
      <c r="J146" s="15">
        <f>SUM(J3:J145)</f>
        <v>4842</v>
      </c>
      <c r="K146" s="15">
        <f t="shared" ref="K146:Z146" si="3">SUM(K3:K145)</f>
        <v>21</v>
      </c>
      <c r="L146" s="15">
        <f t="shared" si="3"/>
        <v>3869</v>
      </c>
      <c r="M146" s="15">
        <f t="shared" si="3"/>
        <v>498</v>
      </c>
      <c r="N146" s="15">
        <f t="shared" si="3"/>
        <v>376</v>
      </c>
      <c r="O146" s="15">
        <f t="shared" si="3"/>
        <v>13594</v>
      </c>
      <c r="P146" s="15">
        <f t="shared" si="3"/>
        <v>104</v>
      </c>
      <c r="Q146" s="15">
        <f t="shared" si="3"/>
        <v>5</v>
      </c>
      <c r="R146" s="15">
        <f t="shared" si="3"/>
        <v>1</v>
      </c>
      <c r="S146" s="15">
        <f t="shared" si="3"/>
        <v>1</v>
      </c>
      <c r="T146" s="15">
        <f t="shared" si="3"/>
        <v>1</v>
      </c>
      <c r="U146" s="15">
        <f t="shared" si="3"/>
        <v>57</v>
      </c>
      <c r="V146" s="15">
        <f t="shared" si="3"/>
        <v>0</v>
      </c>
      <c r="W146" s="15">
        <f t="shared" si="3"/>
        <v>5</v>
      </c>
      <c r="X146" s="15">
        <f t="shared" si="3"/>
        <v>42</v>
      </c>
      <c r="Y146" s="15">
        <f t="shared" si="3"/>
        <v>4</v>
      </c>
      <c r="Z146" s="15">
        <f t="shared" si="3"/>
        <v>23420</v>
      </c>
    </row>
  </sheetData>
  <mergeCells count="2">
    <mergeCell ref="A1:Z1"/>
    <mergeCell ref="A146:G1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4201C9370FB4AB4A272EB9645D07B" ma:contentTypeVersion="15" ma:contentTypeDescription="Create a new document." ma:contentTypeScope="" ma:versionID="ca28555bbee79cbfd89f6edf6b596270">
  <xsd:schema xmlns:xsd="http://www.w3.org/2001/XMLSchema" xmlns:xs="http://www.w3.org/2001/XMLSchema" xmlns:p="http://schemas.microsoft.com/office/2006/metadata/properties" xmlns:ns3="1b6ae657-b0c3-4398-8da0-0b7af84b48c9" xmlns:ns4="f580f569-e7b1-478b-9ea2-60b7be2bf1a3" targetNamespace="http://schemas.microsoft.com/office/2006/metadata/properties" ma:root="true" ma:fieldsID="eb7b0a50495731fb608ff697064be79d" ns3:_="" ns4:_="">
    <xsd:import namespace="1b6ae657-b0c3-4398-8da0-0b7af84b48c9"/>
    <xsd:import namespace="f580f569-e7b1-478b-9ea2-60b7be2bf1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e657-b0c3-4398-8da0-0b7af84b4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0f569-e7b1-478b-9ea2-60b7be2bf1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6ae657-b0c3-4398-8da0-0b7af84b48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E17096-7933-48C9-98B1-5BCD6227E5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ae657-b0c3-4398-8da0-0b7af84b48c9"/>
    <ds:schemaRef ds:uri="f580f569-e7b1-478b-9ea2-60b7be2bf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21FCDC-FE87-455F-BCBF-9C651559BCF0}">
  <ds:schemaRefs>
    <ds:schemaRef ds:uri="http://purl.org/dc/elements/1.1/"/>
    <ds:schemaRef ds:uri="http://schemas.microsoft.com/office/2006/documentManagement/types"/>
    <ds:schemaRef ds:uri="1b6ae657-b0c3-4398-8da0-0b7af84b48c9"/>
    <ds:schemaRef ds:uri="http://purl.org/dc/dcmitype/"/>
    <ds:schemaRef ds:uri="f580f569-e7b1-478b-9ea2-60b7be2bf1a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9ED5800-ED27-4A8A-9479-A08335811E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14425</vt:lpstr>
      <vt:lpstr>14425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Patel</dc:creator>
  <cp:keywords/>
  <dc:description/>
  <cp:lastModifiedBy>Harsh Patel</cp:lastModifiedBy>
  <cp:revision/>
  <dcterms:created xsi:type="dcterms:W3CDTF">2025-04-11T15:13:52Z</dcterms:created>
  <dcterms:modified xsi:type="dcterms:W3CDTF">2025-04-15T12:46:23Z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0x0101007514201C9370FB4AB4A272EB9645D07B</vt:lpwstr>
  </property>
</Properties>
</file>