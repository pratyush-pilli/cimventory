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pratyushp\Downloads\"/>
    </mc:Choice>
  </mc:AlternateContent>
  <xr:revisionPtr revIDLastSave="0" documentId="13_ncr:1_{5456AD86-8EC6-4361-A7D1-FF94B1BECAC6}" xr6:coauthVersionLast="47" xr6:coauthVersionMax="47" xr10:uidLastSave="{00000000-0000-0000-0000-000000000000}"/>
  <bookViews>
    <workbookView xWindow="-25320" yWindow="-1050" windowWidth="25440" windowHeight="15270" xr2:uid="{00000000-000D-0000-FFFF-FFFF00000000}"/>
  </bookViews>
  <sheets>
    <sheet name="MainCategory" sheetId="1" r:id="rId1"/>
    <sheet name="ProductRating" sheetId="3" r:id="rId2"/>
    <sheet name="SubCategory" sheetId="2" r:id="rId3"/>
    <sheet name="Make" sheetId="4" r:id="rId4"/>
    <sheet name="ProductModel" sheetId="5" r:id="rId5"/>
    <sheet name="Remarks" sheetId="6" r:id="rId6"/>
    <sheet name="ItemMaster" sheetId="7" r:id="rId7"/>
  </sheets>
  <externalReferences>
    <externalReference r:id="rId8"/>
  </externalReferences>
  <definedNames>
    <definedName name="_xlnm._FilterDatabase" localSheetId="6" hidden="1">ItemMaster!$A$1:$T$1549</definedName>
    <definedName name="_xlnm._FilterDatabase" localSheetId="0" hidden="1">MainCategory!$A$3:$C$5</definedName>
    <definedName name="_xlnm._FilterDatabase" localSheetId="3" hidden="1">Make!$A$1:$D$334</definedName>
    <definedName name="_xlnm._FilterDatabase" localSheetId="4" hidden="1">ProductModel!$B$1:$D$284</definedName>
    <definedName name="_xlnm._FilterDatabase" localSheetId="1" hidden="1">ProductRating!$B$1:$E$1926</definedName>
    <definedName name="_xlnm._FilterDatabase" localSheetId="5" hidden="1">Remarks!$B$1:$D$111</definedName>
    <definedName name="_xlnm._FilterDatabase" localSheetId="2" hidden="1">SubCategory!$A$1:$D$324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6" l="1"/>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2" i="6"/>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2" i="5"/>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2" i="3"/>
  <c r="D854" i="7"/>
  <c r="D855" i="7"/>
  <c r="I299" i="7" l="1"/>
  <c r="I300" i="7"/>
  <c r="I301" i="7"/>
  <c r="I302" i="7"/>
  <c r="I303" i="7"/>
  <c r="I304" i="7"/>
  <c r="I305" i="7"/>
  <c r="I306" i="7"/>
  <c r="I307" i="7"/>
  <c r="I308" i="7"/>
  <c r="I1273" i="7"/>
  <c r="I1274" i="7"/>
  <c r="I1275" i="7"/>
  <c r="I140" i="7"/>
  <c r="I141" i="7"/>
  <c r="I142" i="7"/>
  <c r="I143" i="7"/>
  <c r="I144" i="7"/>
  <c r="I1151" i="7"/>
  <c r="I1152" i="7"/>
  <c r="I1153" i="7"/>
  <c r="I1154" i="7"/>
  <c r="I1256" i="7"/>
  <c r="I1155" i="7"/>
  <c r="I237" i="7"/>
  <c r="I145" i="7"/>
  <c r="I1156" i="7"/>
  <c r="I1157" i="7"/>
  <c r="I1158" i="7"/>
  <c r="I146" i="7"/>
  <c r="I568" i="7"/>
  <c r="I147" i="7"/>
  <c r="I148" i="7"/>
  <c r="I149" i="7"/>
  <c r="I150" i="7"/>
  <c r="I1159" i="7"/>
  <c r="I1235" i="7"/>
  <c r="I1160" i="7"/>
  <c r="I1276" i="7"/>
  <c r="I1277" i="7"/>
  <c r="I1278" i="7"/>
  <c r="I1173" i="7"/>
  <c r="I1176" i="7"/>
  <c r="I1174" i="7"/>
  <c r="I1180" i="7"/>
  <c r="I238" i="7"/>
  <c r="I239" i="7"/>
  <c r="I240" i="7"/>
  <c r="I241" i="7"/>
  <c r="I242" i="7"/>
  <c r="I243" i="7"/>
  <c r="I244" i="7"/>
  <c r="I245" i="7"/>
  <c r="I956" i="7"/>
  <c r="I957" i="7"/>
  <c r="I958" i="7"/>
  <c r="I959" i="7"/>
  <c r="I389" i="7"/>
  <c r="I390" i="7"/>
  <c r="I391" i="7"/>
  <c r="I392" i="7"/>
  <c r="I393" i="7"/>
  <c r="I394" i="7"/>
  <c r="I395" i="7"/>
  <c r="I396" i="7"/>
  <c r="I397" i="7"/>
  <c r="I398" i="7"/>
  <c r="I399" i="7"/>
  <c r="I400" i="7"/>
  <c r="I401" i="7"/>
  <c r="I402" i="7"/>
  <c r="I1441" i="7"/>
  <c r="I152" i="7"/>
  <c r="I1161" i="7"/>
  <c r="I1517" i="7"/>
  <c r="I1470" i="7"/>
  <c r="I1518" i="7"/>
  <c r="I1471" i="7"/>
  <c r="I1519" i="7"/>
  <c r="I1520" i="7"/>
  <c r="I1521" i="7"/>
  <c r="I1522" i="7"/>
  <c r="I1523" i="7"/>
  <c r="I1524" i="7"/>
  <c r="I1525" i="7"/>
  <c r="I416" i="7"/>
  <c r="I417" i="7"/>
  <c r="I154" i="7"/>
  <c r="I155" i="7"/>
  <c r="I34" i="7"/>
  <c r="I156" i="7"/>
  <c r="I157" i="7"/>
  <c r="I158" i="7"/>
  <c r="I831" i="7"/>
  <c r="I832" i="7"/>
  <c r="I1547" i="7"/>
  <c r="I1548" i="7"/>
  <c r="I1549" i="7"/>
  <c r="I569" i="7"/>
  <c r="I570" i="7"/>
  <c r="I960" i="7"/>
  <c r="H299" i="7"/>
  <c r="H300" i="7"/>
  <c r="H301" i="7"/>
  <c r="H302" i="7"/>
  <c r="H303" i="7"/>
  <c r="H304" i="7"/>
  <c r="H305" i="7"/>
  <c r="H306" i="7"/>
  <c r="H307" i="7"/>
  <c r="H308" i="7"/>
  <c r="H1273" i="7"/>
  <c r="H1274" i="7"/>
  <c r="H1275" i="7"/>
  <c r="H140" i="7"/>
  <c r="H141" i="7"/>
  <c r="H142" i="7"/>
  <c r="H143" i="7"/>
  <c r="H144" i="7"/>
  <c r="H1151" i="7"/>
  <c r="H1152" i="7"/>
  <c r="H1153" i="7"/>
  <c r="H1154" i="7"/>
  <c r="H1256" i="7"/>
  <c r="H1155" i="7"/>
  <c r="H237" i="7"/>
  <c r="H145" i="7"/>
  <c r="H1156" i="7"/>
  <c r="H1157" i="7"/>
  <c r="H1158" i="7"/>
  <c r="H146" i="7"/>
  <c r="H568" i="7"/>
  <c r="H147" i="7"/>
  <c r="H148" i="7"/>
  <c r="H149" i="7"/>
  <c r="H150" i="7"/>
  <c r="H1159" i="7"/>
  <c r="H1235" i="7"/>
  <c r="H1160" i="7"/>
  <c r="H1276" i="7"/>
  <c r="H1277" i="7"/>
  <c r="H1278" i="7"/>
  <c r="H1173" i="7"/>
  <c r="H1176" i="7"/>
  <c r="H1174" i="7"/>
  <c r="H1180" i="7"/>
  <c r="H238" i="7"/>
  <c r="H239" i="7"/>
  <c r="H240" i="7"/>
  <c r="H241" i="7"/>
  <c r="H242" i="7"/>
  <c r="H243" i="7"/>
  <c r="H244" i="7"/>
  <c r="H245" i="7"/>
  <c r="H956" i="7"/>
  <c r="H957" i="7"/>
  <c r="H958" i="7"/>
  <c r="H959" i="7"/>
  <c r="H389" i="7"/>
  <c r="H390" i="7"/>
  <c r="H391" i="7"/>
  <c r="H392" i="7"/>
  <c r="H393" i="7"/>
  <c r="H394" i="7"/>
  <c r="H395" i="7"/>
  <c r="H396" i="7"/>
  <c r="H397" i="7"/>
  <c r="H398" i="7"/>
  <c r="H399" i="7"/>
  <c r="H400" i="7"/>
  <c r="H401" i="7"/>
  <c r="H402" i="7"/>
  <c r="H1441" i="7"/>
  <c r="H152" i="7"/>
  <c r="H1161" i="7"/>
  <c r="H1517" i="7"/>
  <c r="H1470" i="7"/>
  <c r="H1518" i="7"/>
  <c r="H1471" i="7"/>
  <c r="H1519" i="7"/>
  <c r="H1520" i="7"/>
  <c r="H1521" i="7"/>
  <c r="H1522" i="7"/>
  <c r="H1523" i="7"/>
  <c r="H1524" i="7"/>
  <c r="H1525" i="7"/>
  <c r="H416" i="7"/>
  <c r="H417" i="7"/>
  <c r="H154" i="7"/>
  <c r="H155" i="7"/>
  <c r="H34" i="7"/>
  <c r="H156" i="7"/>
  <c r="H157" i="7"/>
  <c r="H158" i="7"/>
  <c r="H831" i="7"/>
  <c r="H832" i="7"/>
  <c r="H1547" i="7"/>
  <c r="H1548" i="7"/>
  <c r="H1549" i="7"/>
  <c r="H569" i="7"/>
  <c r="H570" i="7"/>
  <c r="H960" i="7"/>
  <c r="I161" i="7"/>
  <c r="I162" i="7"/>
  <c r="I163" i="7"/>
  <c r="I164" i="7"/>
  <c r="I2" i="7"/>
  <c r="I1177" i="7"/>
  <c r="I1167" i="7"/>
  <c r="I1281" i="7"/>
  <c r="I3" i="7"/>
  <c r="I4" i="7"/>
  <c r="I5" i="7"/>
  <c r="I6" i="7"/>
  <c r="I1187" i="7"/>
  <c r="I833" i="7"/>
  <c r="I7" i="7"/>
  <c r="I1010" i="7"/>
  <c r="I1282" i="7"/>
  <c r="I1283" i="7"/>
  <c r="I1284" i="7"/>
  <c r="I834" i="7"/>
  <c r="I418" i="7"/>
  <c r="I8" i="7"/>
  <c r="I9" i="7"/>
  <c r="I10" i="7"/>
  <c r="I11" i="7"/>
  <c r="I12" i="7"/>
  <c r="I13" i="7"/>
  <c r="I14" i="7"/>
  <c r="I15" i="7"/>
  <c r="I286" i="7"/>
  <c r="I16" i="7"/>
  <c r="I17" i="7"/>
  <c r="I18" i="7"/>
  <c r="I19" i="7"/>
  <c r="I20" i="7"/>
  <c r="I21" i="7"/>
  <c r="I1457" i="7"/>
  <c r="I961" i="7"/>
  <c r="I1285" i="7"/>
  <c r="I1286" i="7"/>
  <c r="I1287" i="7"/>
  <c r="I1288" i="7"/>
  <c r="I1289" i="7"/>
  <c r="I1443" i="7"/>
  <c r="I403" i="7"/>
  <c r="I962" i="7"/>
  <c r="I22" i="7"/>
  <c r="I106" i="7"/>
  <c r="I835" i="7"/>
  <c r="I419" i="7"/>
  <c r="I420" i="7"/>
  <c r="I574" i="7"/>
  <c r="I404" i="7"/>
  <c r="I421" i="7"/>
  <c r="I1290" i="7"/>
  <c r="I1291" i="7"/>
  <c r="I575" i="7"/>
  <c r="I576" i="7"/>
  <c r="I577" i="7"/>
  <c r="I836" i="7"/>
  <c r="I837" i="7"/>
  <c r="I1292" i="7"/>
  <c r="I1293" i="7"/>
  <c r="I422" i="7"/>
  <c r="I423" i="7"/>
  <c r="I424" i="7"/>
  <c r="I838" i="7"/>
  <c r="I1294" i="7"/>
  <c r="I1295" i="7"/>
  <c r="I839" i="7"/>
  <c r="I23" i="7"/>
  <c r="I1168" i="7"/>
  <c r="I325" i="7"/>
  <c r="I326" i="7"/>
  <c r="I327" i="7"/>
  <c r="I1296" i="7"/>
  <c r="I1297" i="7"/>
  <c r="I328" i="7"/>
  <c r="I329" i="7"/>
  <c r="I330" i="7"/>
  <c r="I1162" i="7"/>
  <c r="I578" i="7"/>
  <c r="I617" i="7"/>
  <c r="I618" i="7"/>
  <c r="I24" i="7"/>
  <c r="I347" i="7"/>
  <c r="I331" i="7"/>
  <c r="I619" i="7"/>
  <c r="I165" i="7"/>
  <c r="I963" i="7"/>
  <c r="I1298" i="7"/>
  <c r="I840" i="7"/>
  <c r="I1190" i="7"/>
  <c r="I425" i="7"/>
  <c r="I620" i="7"/>
  <c r="I1229" i="7"/>
  <c r="I1230" i="7"/>
  <c r="I426" i="7"/>
  <c r="I622" i="7"/>
  <c r="I1257" i="7"/>
  <c r="I606" i="7"/>
  <c r="I1299" i="7"/>
  <c r="I1300" i="7"/>
  <c r="I1301" i="7"/>
  <c r="I427" i="7"/>
  <c r="I1011" i="7"/>
  <c r="I1012" i="7"/>
  <c r="I1013" i="7"/>
  <c r="I1014" i="7"/>
  <c r="I166" i="7"/>
  <c r="I167" i="7"/>
  <c r="I168" i="7"/>
  <c r="I169" i="7"/>
  <c r="I170" i="7"/>
  <c r="I1458" i="7"/>
  <c r="I1015" i="7"/>
  <c r="I1016" i="7"/>
  <c r="I1017" i="7"/>
  <c r="I1018" i="7"/>
  <c r="I1019" i="7"/>
  <c r="I1020" i="7"/>
  <c r="I1021" i="7"/>
  <c r="I1022" i="7"/>
  <c r="I1023" i="7"/>
  <c r="I1024" i="7"/>
  <c r="I1025" i="7"/>
  <c r="I1026" i="7"/>
  <c r="I1027" i="7"/>
  <c r="I1028" i="7"/>
  <c r="I1029" i="7"/>
  <c r="I1030" i="7"/>
  <c r="I1031" i="7"/>
  <c r="I1032" i="7"/>
  <c r="I1033" i="7"/>
  <c r="I1459" i="7"/>
  <c r="I1034" i="7"/>
  <c r="I1035" i="7"/>
  <c r="I1036" i="7"/>
  <c r="I1037" i="7"/>
  <c r="I1038" i="7"/>
  <c r="I1039" i="7"/>
  <c r="I1040" i="7"/>
  <c r="I1041" i="7"/>
  <c r="I1042" i="7"/>
  <c r="I1043" i="7"/>
  <c r="I1044" i="7"/>
  <c r="I1045" i="7"/>
  <c r="I1046" i="7"/>
  <c r="I284" i="7"/>
  <c r="I1047" i="7"/>
  <c r="I1048" i="7"/>
  <c r="I25" i="7"/>
  <c r="I841" i="7"/>
  <c r="I26" i="7"/>
  <c r="I27" i="7"/>
  <c r="I28" i="7"/>
  <c r="I29" i="7"/>
  <c r="I842" i="7"/>
  <c r="I1444" i="7"/>
  <c r="I1302" i="7"/>
  <c r="I623" i="7"/>
  <c r="I624" i="7"/>
  <c r="I30" i="7"/>
  <c r="I31" i="7"/>
  <c r="I1303" i="7"/>
  <c r="I1304" i="7"/>
  <c r="I405" i="7"/>
  <c r="I1305" i="7"/>
  <c r="I1306" i="7"/>
  <c r="I1307" i="7"/>
  <c r="I1308" i="7"/>
  <c r="I1309" i="7"/>
  <c r="I1310" i="7"/>
  <c r="I1311" i="7"/>
  <c r="I1192" i="7"/>
  <c r="I1312" i="7"/>
  <c r="I1313" i="7"/>
  <c r="I1314" i="7"/>
  <c r="I1315" i="7"/>
  <c r="I171" i="7"/>
  <c r="I1460" i="7"/>
  <c r="I579" i="7"/>
  <c r="I172" i="7"/>
  <c r="I173" i="7"/>
  <c r="I174" i="7"/>
  <c r="I175" i="7"/>
  <c r="I176" i="7"/>
  <c r="I177" i="7"/>
  <c r="I32" i="7"/>
  <c r="I178" i="7"/>
  <c r="I843" i="7"/>
  <c r="I844" i="7"/>
  <c r="I845" i="7"/>
  <c r="I846" i="7"/>
  <c r="I1236" i="7"/>
  <c r="I1237" i="7"/>
  <c r="I1526" i="7"/>
  <c r="I428" i="7"/>
  <c r="I1445" i="7"/>
  <c r="I1316" i="7"/>
  <c r="I1317" i="7"/>
  <c r="I429" i="7"/>
  <c r="I430" i="7"/>
  <c r="I431" i="7"/>
  <c r="I847" i="7"/>
  <c r="I625" i="7"/>
  <c r="I626" i="7"/>
  <c r="I627" i="7"/>
  <c r="I628" i="7"/>
  <c r="I629" i="7"/>
  <c r="I580" i="7"/>
  <c r="I1527" i="7"/>
  <c r="I607" i="7"/>
  <c r="I608" i="7"/>
  <c r="I609" i="7"/>
  <c r="I630" i="7"/>
  <c r="I631" i="7"/>
  <c r="I632" i="7"/>
  <c r="I633" i="7"/>
  <c r="I179" i="7"/>
  <c r="I634" i="7"/>
  <c r="I635" i="7"/>
  <c r="I636" i="7"/>
  <c r="I637" i="7"/>
  <c r="I638" i="7"/>
  <c r="I1163" i="7"/>
  <c r="I1461" i="7"/>
  <c r="I1462" i="7"/>
  <c r="I1463" i="7"/>
  <c r="I1464" i="7"/>
  <c r="I1465" i="7"/>
  <c r="I1466" i="7"/>
  <c r="I1467" i="7"/>
  <c r="I1468" i="7"/>
  <c r="I1469" i="7"/>
  <c r="I1164" i="7"/>
  <c r="I432" i="7"/>
  <c r="I433" i="7"/>
  <c r="I1318" i="7"/>
  <c r="I848" i="7"/>
  <c r="I849" i="7"/>
  <c r="I434" i="7"/>
  <c r="I435" i="7"/>
  <c r="I334" i="7"/>
  <c r="I335" i="7"/>
  <c r="I336" i="7"/>
  <c r="I337" i="7"/>
  <c r="I340" i="7"/>
  <c r="I341" i="7"/>
  <c r="I342" i="7"/>
  <c r="I343" i="7"/>
  <c r="I344" i="7"/>
  <c r="I345" i="7"/>
  <c r="I348" i="7"/>
  <c r="I349" i="7"/>
  <c r="I1528" i="7"/>
  <c r="I581" i="7"/>
  <c r="I1169" i="7"/>
  <c r="I1184" i="7"/>
  <c r="I1175" i="7"/>
  <c r="I1193" i="7"/>
  <c r="I1194" i="7"/>
  <c r="I1049" i="7"/>
  <c r="I1050" i="7"/>
  <c r="I1051" i="7"/>
  <c r="I1052" i="7"/>
  <c r="I1053" i="7"/>
  <c r="I1054" i="7"/>
  <c r="I1055" i="7"/>
  <c r="I1195" i="7"/>
  <c r="I1196" i="7"/>
  <c r="I1197" i="7"/>
  <c r="I582" i="7"/>
  <c r="I583" i="7"/>
  <c r="I964" i="7"/>
  <c r="I350" i="7"/>
  <c r="I351" i="7"/>
  <c r="I352" i="7"/>
  <c r="I436" i="7"/>
  <c r="I1472" i="7"/>
  <c r="I1473" i="7"/>
  <c r="I1474" i="7"/>
  <c r="I1475" i="7"/>
  <c r="I1056" i="7"/>
  <c r="I180" i="7"/>
  <c r="I650" i="7"/>
  <c r="I1319" i="7"/>
  <c r="I1320" i="7"/>
  <c r="I1321" i="7"/>
  <c r="I1198" i="7"/>
  <c r="I1322" i="7"/>
  <c r="I1323" i="7"/>
  <c r="I1238" i="7"/>
  <c r="I1239" i="7"/>
  <c r="I1324" i="7"/>
  <c r="I1325" i="7"/>
  <c r="I1326" i="7"/>
  <c r="I1327" i="7"/>
  <c r="I1328" i="7"/>
  <c r="I1329" i="7"/>
  <c r="I1330" i="7"/>
  <c r="I1331" i="7"/>
  <c r="I35" i="7"/>
  <c r="I36" i="7"/>
  <c r="I37" i="7"/>
  <c r="I406" i="7"/>
  <c r="I38" i="7"/>
  <c r="I1258" i="7"/>
  <c r="I1057" i="7"/>
  <c r="I610" i="7"/>
  <c r="I611" i="7"/>
  <c r="I612" i="7"/>
  <c r="I651" i="7"/>
  <c r="I850" i="7"/>
  <c r="I1199" i="7"/>
  <c r="I39" i="7"/>
  <c r="I1058" i="7"/>
  <c r="I1059" i="7"/>
  <c r="I1060" i="7"/>
  <c r="I1061" i="7"/>
  <c r="I1062" i="7"/>
  <c r="I1063" i="7"/>
  <c r="I1064" i="7"/>
  <c r="I1476" i="7"/>
  <c r="I1332" i="7"/>
  <c r="I1333" i="7"/>
  <c r="I1334" i="7"/>
  <c r="I1335" i="7"/>
  <c r="I1336" i="7"/>
  <c r="I652" i="7"/>
  <c r="I653" i="7"/>
  <c r="I654" i="7"/>
  <c r="I1253" i="7"/>
  <c r="I1254" i="7"/>
  <c r="I437" i="7"/>
  <c r="I1259" i="7"/>
  <c r="I1260" i="7"/>
  <c r="I1261" i="7"/>
  <c r="I1279" i="7"/>
  <c r="I40" i="7"/>
  <c r="I41" i="7"/>
  <c r="I438" i="7"/>
  <c r="I1337" i="7"/>
  <c r="I1240" i="7"/>
  <c r="I1338" i="7"/>
  <c r="I1065" i="7"/>
  <c r="I1066" i="7"/>
  <c r="I1067" i="7"/>
  <c r="I1068" i="7"/>
  <c r="I1069" i="7"/>
  <c r="I1070" i="7"/>
  <c r="I1071" i="7"/>
  <c r="I1072" i="7"/>
  <c r="I1073" i="7"/>
  <c r="I1074" i="7"/>
  <c r="I1075" i="7"/>
  <c r="I1076" i="7"/>
  <c r="I1077" i="7"/>
  <c r="I1078" i="7"/>
  <c r="I1079" i="7"/>
  <c r="I1080" i="7"/>
  <c r="I1081" i="7"/>
  <c r="I1082" i="7"/>
  <c r="I1083" i="7"/>
  <c r="I1084" i="7"/>
  <c r="I1085" i="7"/>
  <c r="I1086" i="7"/>
  <c r="I1446" i="7"/>
  <c r="I1447" i="7"/>
  <c r="I851" i="7"/>
  <c r="I658" i="7"/>
  <c r="I1087" i="7"/>
  <c r="I1088" i="7"/>
  <c r="I1477" i="7"/>
  <c r="I1262" i="7"/>
  <c r="I181" i="7"/>
  <c r="I1200" i="7"/>
  <c r="I1201" i="7"/>
  <c r="I1089" i="7"/>
  <c r="I1090" i="7"/>
  <c r="I1091" i="7"/>
  <c r="I1092" i="7"/>
  <c r="I1093" i="7"/>
  <c r="I1094" i="7"/>
  <c r="I1095" i="7"/>
  <c r="I613" i="7"/>
  <c r="I1339" i="7"/>
  <c r="I439" i="7"/>
  <c r="I440" i="7"/>
  <c r="I441" i="7"/>
  <c r="I442" i="7"/>
  <c r="I443" i="7"/>
  <c r="I506" i="7"/>
  <c r="I512" i="7"/>
  <c r="I332" i="7"/>
  <c r="I661" i="7"/>
  <c r="I42" i="7"/>
  <c r="I43" i="7"/>
  <c r="I44" i="7"/>
  <c r="I45" i="7"/>
  <c r="I1529" i="7"/>
  <c r="I1537" i="7"/>
  <c r="I664" i="7"/>
  <c r="I665" i="7"/>
  <c r="I648" i="7"/>
  <c r="I663" i="7"/>
  <c r="I660" i="7"/>
  <c r="I669" i="7"/>
  <c r="I670" i="7"/>
  <c r="I1241" i="7"/>
  <c r="I1242" i="7"/>
  <c r="I671" i="7"/>
  <c r="I1448" i="7"/>
  <c r="I407" i="7"/>
  <c r="I1202" i="7"/>
  <c r="I1203" i="7"/>
  <c r="I1204" i="7"/>
  <c r="I46" i="7"/>
  <c r="I47" i="7"/>
  <c r="I48" i="7"/>
  <c r="I49" i="7"/>
  <c r="I50" i="7"/>
  <c r="I182" i="7"/>
  <c r="I584" i="7"/>
  <c r="I1170" i="7"/>
  <c r="I1178" i="7"/>
  <c r="I1205" i="7"/>
  <c r="I183" i="7"/>
  <c r="I585" i="7"/>
  <c r="I852" i="7"/>
  <c r="I853" i="7"/>
  <c r="I51" i="7"/>
  <c r="I52" i="7"/>
  <c r="I309" i="7"/>
  <c r="I310" i="7"/>
  <c r="I444" i="7"/>
  <c r="I445" i="7"/>
  <c r="I333" i="7"/>
  <c r="I1340" i="7"/>
  <c r="I1341" i="7"/>
  <c r="I53" i="7"/>
  <c r="I54" i="7"/>
  <c r="I1206" i="7"/>
  <c r="I446" i="7"/>
  <c r="I55" i="7"/>
  <c r="I56" i="7"/>
  <c r="I1342" i="7"/>
  <c r="I1343" i="7"/>
  <c r="I1344" i="7"/>
  <c r="I1345" i="7"/>
  <c r="I1346" i="7"/>
  <c r="I1347" i="7"/>
  <c r="I1348" i="7"/>
  <c r="I1349" i="7"/>
  <c r="I1096" i="7"/>
  <c r="I1097" i="7"/>
  <c r="I1098" i="7"/>
  <c r="I1530" i="7"/>
  <c r="I1538" i="7"/>
  <c r="I447" i="7"/>
  <c r="I1350" i="7"/>
  <c r="I1351" i="7"/>
  <c r="I448" i="7"/>
  <c r="I449" i="7"/>
  <c r="I450" i="7"/>
  <c r="I451" i="7"/>
  <c r="I452" i="7"/>
  <c r="I453" i="7"/>
  <c r="I454" i="7"/>
  <c r="I455" i="7"/>
  <c r="I456" i="7"/>
  <c r="I1207" i="7"/>
  <c r="I457" i="7"/>
  <c r="I458" i="7"/>
  <c r="I459" i="7"/>
  <c r="I460" i="7"/>
  <c r="I1449" i="7"/>
  <c r="I461" i="7"/>
  <c r="I1208" i="7"/>
  <c r="I1209" i="7"/>
  <c r="I1210" i="7"/>
  <c r="I1211" i="7"/>
  <c r="I1219" i="7"/>
  <c r="I1220" i="7"/>
  <c r="I1188" i="7"/>
  <c r="I1189" i="7"/>
  <c r="I1191" i="7"/>
  <c r="I1212" i="7"/>
  <c r="I1213" i="7"/>
  <c r="I1263" i="7"/>
  <c r="I1264" i="7"/>
  <c r="I1265" i="7"/>
  <c r="I1352" i="7"/>
  <c r="I854" i="7"/>
  <c r="I855" i="7"/>
  <c r="I856" i="7"/>
  <c r="I857" i="7"/>
  <c r="I858" i="7"/>
  <c r="I33" i="7"/>
  <c r="I59" i="7"/>
  <c r="I60" i="7"/>
  <c r="I61" i="7"/>
  <c r="I62" i="7"/>
  <c r="I63" i="7"/>
  <c r="I64" i="7"/>
  <c r="I65" i="7"/>
  <c r="I66" i="7"/>
  <c r="I67" i="7"/>
  <c r="I68" i="7"/>
  <c r="I69" i="7"/>
  <c r="I70" i="7"/>
  <c r="I71" i="7"/>
  <c r="I72" i="7"/>
  <c r="I73" i="7"/>
  <c r="I74" i="7"/>
  <c r="I1214" i="7"/>
  <c r="I1353" i="7"/>
  <c r="I75" i="7"/>
  <c r="I462" i="7"/>
  <c r="I1354" i="7"/>
  <c r="I1099" i="7"/>
  <c r="I76" i="7"/>
  <c r="I1243" i="7"/>
  <c r="I1355" i="7"/>
  <c r="I1244" i="7"/>
  <c r="I1245" i="7"/>
  <c r="I1356" i="7"/>
  <c r="I674" i="7"/>
  <c r="I1478" i="7"/>
  <c r="I463" i="7"/>
  <c r="I464" i="7"/>
  <c r="I465" i="7"/>
  <c r="I1100" i="7"/>
  <c r="I965" i="7"/>
  <c r="I1357" i="7"/>
  <c r="I1450" i="7"/>
  <c r="I1101" i="7"/>
  <c r="I184" i="7"/>
  <c r="I185" i="7"/>
  <c r="I186" i="7"/>
  <c r="I187" i="7"/>
  <c r="I188" i="7"/>
  <c r="I189" i="7"/>
  <c r="I966" i="7"/>
  <c r="I675" i="7"/>
  <c r="I1165" i="7"/>
  <c r="I1358" i="7"/>
  <c r="I859" i="7"/>
  <c r="I860" i="7"/>
  <c r="I861" i="7"/>
  <c r="I676" i="7"/>
  <c r="I677" i="7"/>
  <c r="I678" i="7"/>
  <c r="I679" i="7"/>
  <c r="I680" i="7"/>
  <c r="I586" i="7"/>
  <c r="I862" i="7"/>
  <c r="I1102" i="7"/>
  <c r="I1215" i="7"/>
  <c r="I466" i="7"/>
  <c r="I338" i="7"/>
  <c r="I339" i="7"/>
  <c r="I1359" i="7"/>
  <c r="I467" i="7"/>
  <c r="I468" i="7"/>
  <c r="I469" i="7"/>
  <c r="I470" i="7"/>
  <c r="I1360" i="7"/>
  <c r="I681" i="7"/>
  <c r="I1361" i="7"/>
  <c r="I572" i="7"/>
  <c r="I573" i="7"/>
  <c r="I571" i="7"/>
  <c r="I311" i="7"/>
  <c r="I312" i="7"/>
  <c r="I313" i="7"/>
  <c r="I314" i="7"/>
  <c r="I1216" i="7"/>
  <c r="I1217" i="7"/>
  <c r="I1362" i="7"/>
  <c r="I471" i="7"/>
  <c r="I863" i="7"/>
  <c r="I1363" i="7"/>
  <c r="I1364" i="7"/>
  <c r="I408" i="7"/>
  <c r="I1365" i="7"/>
  <c r="I472" i="7"/>
  <c r="I473" i="7"/>
  <c r="I474" i="7"/>
  <c r="I475" i="7"/>
  <c r="I476" i="7"/>
  <c r="I477" i="7"/>
  <c r="I478" i="7"/>
  <c r="I479" i="7"/>
  <c r="I480" i="7"/>
  <c r="I481" i="7"/>
  <c r="I482" i="7"/>
  <c r="I483" i="7"/>
  <c r="I1103" i="7"/>
  <c r="I587" i="7"/>
  <c r="I614" i="7"/>
  <c r="I615" i="7"/>
  <c r="I616" i="7"/>
  <c r="I1246" i="7"/>
  <c r="I1247" i="7"/>
  <c r="I1248" i="7"/>
  <c r="I1249" i="7"/>
  <c r="I1250" i="7"/>
  <c r="I1251" i="7"/>
  <c r="I1252" i="7"/>
  <c r="I484" i="7"/>
  <c r="I485" i="7"/>
  <c r="I682" i="7"/>
  <c r="I683" i="7"/>
  <c r="I684" i="7"/>
  <c r="I685" i="7"/>
  <c r="I756" i="7"/>
  <c r="I864" i="7"/>
  <c r="I77" i="7"/>
  <c r="I1451" i="7"/>
  <c r="I190" i="7"/>
  <c r="I191" i="7"/>
  <c r="I192" i="7"/>
  <c r="I193" i="7"/>
  <c r="I194" i="7"/>
  <c r="I486" i="7"/>
  <c r="I487" i="7"/>
  <c r="I488" i="7"/>
  <c r="I489" i="7"/>
  <c r="I490" i="7"/>
  <c r="I1218" i="7"/>
  <c r="I491" i="7"/>
  <c r="I492" i="7"/>
  <c r="I493" i="7"/>
  <c r="I1266" i="7"/>
  <c r="I1267" i="7"/>
  <c r="I1280" i="7"/>
  <c r="I686" i="7"/>
  <c r="I1452" i="7"/>
  <c r="I195" i="7"/>
  <c r="I78" i="7"/>
  <c r="I79" i="7"/>
  <c r="I1453" i="7"/>
  <c r="I494" i="7"/>
  <c r="I687" i="7"/>
  <c r="I667" i="7"/>
  <c r="I672" i="7"/>
  <c r="I646" i="7"/>
  <c r="I621" i="7"/>
  <c r="I642" i="7"/>
  <c r="I640" i="7"/>
  <c r="I688" i="7"/>
  <c r="I655" i="7"/>
  <c r="I662" i="7"/>
  <c r="I644" i="7"/>
  <c r="I657" i="7"/>
  <c r="I689" i="7"/>
  <c r="I690" i="7"/>
  <c r="I691" i="7"/>
  <c r="I692" i="7"/>
  <c r="I693" i="7"/>
  <c r="I80" i="7"/>
  <c r="I694" i="7"/>
  <c r="I695" i="7"/>
  <c r="I696" i="7"/>
  <c r="I697" i="7"/>
  <c r="I346" i="7"/>
  <c r="I81" i="7"/>
  <c r="I82" i="7"/>
  <c r="I285" i="7"/>
  <c r="I83" i="7"/>
  <c r="I84" i="7"/>
  <c r="I196" i="7"/>
  <c r="I495" i="7"/>
  <c r="I668" i="7"/>
  <c r="I673" i="7"/>
  <c r="I647" i="7"/>
  <c r="I639" i="7"/>
  <c r="I643" i="7"/>
  <c r="I641" i="7"/>
  <c r="I649" i="7"/>
  <c r="I656" i="7"/>
  <c r="I700" i="7"/>
  <c r="I701" i="7"/>
  <c r="I666" i="7"/>
  <c r="I496" i="7"/>
  <c r="I497" i="7"/>
  <c r="I498" i="7"/>
  <c r="I1221" i="7"/>
  <c r="I588" i="7"/>
  <c r="I353" i="7"/>
  <c r="I85" i="7"/>
  <c r="I1104" i="7"/>
  <c r="I86" i="7"/>
  <c r="I87" i="7"/>
  <c r="I88" i="7"/>
  <c r="I89" i="7"/>
  <c r="I90" i="7"/>
  <c r="I91" i="7"/>
  <c r="I499" i="7"/>
  <c r="I1268" i="7"/>
  <c r="I1269" i="7"/>
  <c r="I1270" i="7"/>
  <c r="I1222" i="7"/>
  <c r="I703" i="7"/>
  <c r="I704" i="7"/>
  <c r="I1105" i="7"/>
  <c r="I589" i="7"/>
  <c r="I1106" i="7"/>
  <c r="I865" i="7"/>
  <c r="I246" i="7"/>
  <c r="I247" i="7"/>
  <c r="I248" i="7"/>
  <c r="I1271" i="7"/>
  <c r="I1107" i="7"/>
  <c r="I1108" i="7"/>
  <c r="I1109" i="7"/>
  <c r="I705" i="7"/>
  <c r="I706" i="7"/>
  <c r="I707" i="7"/>
  <c r="I708" i="7"/>
  <c r="I709" i="7"/>
  <c r="I710" i="7"/>
  <c r="I711" i="7"/>
  <c r="I1479" i="7"/>
  <c r="I1480" i="7"/>
  <c r="I1481" i="7"/>
  <c r="I1482" i="7"/>
  <c r="I1483" i="7"/>
  <c r="I1484" i="7"/>
  <c r="I1485" i="7"/>
  <c r="I1486" i="7"/>
  <c r="I1487" i="7"/>
  <c r="I1366" i="7"/>
  <c r="I500" i="7"/>
  <c r="I501" i="7"/>
  <c r="I354" i="7"/>
  <c r="I249" i="7"/>
  <c r="I250" i="7"/>
  <c r="I1223" i="7"/>
  <c r="I251" i="7"/>
  <c r="I252" i="7"/>
  <c r="I712" i="7"/>
  <c r="I713" i="7"/>
  <c r="I714" i="7"/>
  <c r="I1531" i="7"/>
  <c r="I715" i="7"/>
  <c r="I151" i="7"/>
  <c r="I57" i="7"/>
  <c r="I1110" i="7"/>
  <c r="I1367" i="7"/>
  <c r="I1368" i="7"/>
  <c r="I1532" i="7"/>
  <c r="I1111" i="7"/>
  <c r="I1171" i="7"/>
  <c r="I718" i="7"/>
  <c r="I866" i="7"/>
  <c r="I719" i="7"/>
  <c r="I720" i="7"/>
  <c r="I721" i="7"/>
  <c r="I867" i="7"/>
  <c r="I722" i="7"/>
  <c r="I645" i="7"/>
  <c r="I724" i="7"/>
  <c r="I725" i="7"/>
  <c r="I659" i="7"/>
  <c r="I726" i="7"/>
  <c r="I1488" i="7"/>
  <c r="I1112" i="7"/>
  <c r="I1113" i="7"/>
  <c r="I1114" i="7"/>
  <c r="I1115" i="7"/>
  <c r="I1116" i="7"/>
  <c r="I1370" i="7"/>
  <c r="I868" i="7"/>
  <c r="I869" i="7"/>
  <c r="I1185" i="7"/>
  <c r="I197" i="7"/>
  <c r="I198" i="7"/>
  <c r="I199" i="7"/>
  <c r="I502" i="7"/>
  <c r="I503" i="7"/>
  <c r="I355" i="7"/>
  <c r="I356" i="7"/>
  <c r="I357" i="7"/>
  <c r="I358" i="7"/>
  <c r="I359" i="7"/>
  <c r="I727" i="7"/>
  <c r="I1117" i="7"/>
  <c r="I504" i="7"/>
  <c r="I505" i="7"/>
  <c r="I870" i="7"/>
  <c r="I1272" i="7"/>
  <c r="I728" i="7"/>
  <c r="I92" i="7"/>
  <c r="I93" i="7"/>
  <c r="I94" i="7"/>
  <c r="I729" i="7"/>
  <c r="I730" i="7"/>
  <c r="I871" i="7"/>
  <c r="I872" i="7"/>
  <c r="I873" i="7"/>
  <c r="I874" i="7"/>
  <c r="I875" i="7"/>
  <c r="I876" i="7"/>
  <c r="I877" i="7"/>
  <c r="I878" i="7"/>
  <c r="I879" i="7"/>
  <c r="I1224" i="7"/>
  <c r="I731" i="7"/>
  <c r="I880" i="7"/>
  <c r="I881" i="7"/>
  <c r="I1489" i="7"/>
  <c r="I1490" i="7"/>
  <c r="I732" i="7"/>
  <c r="I733" i="7"/>
  <c r="I734" i="7"/>
  <c r="I735" i="7"/>
  <c r="I736" i="7"/>
  <c r="I737" i="7"/>
  <c r="I738" i="7"/>
  <c r="I739" i="7"/>
  <c r="I785" i="7"/>
  <c r="I786" i="7"/>
  <c r="I507" i="7"/>
  <c r="I508" i="7"/>
  <c r="I253" i="7"/>
  <c r="I509" i="7"/>
  <c r="I510" i="7"/>
  <c r="I511" i="7"/>
  <c r="I95" i="7"/>
  <c r="I1533" i="7"/>
  <c r="I360" i="7"/>
  <c r="I882" i="7"/>
  <c r="I883" i="7"/>
  <c r="I764" i="7"/>
  <c r="I1372" i="7"/>
  <c r="I315" i="7"/>
  <c r="I884" i="7"/>
  <c r="I885" i="7"/>
  <c r="I200" i="7"/>
  <c r="I201" i="7"/>
  <c r="I886" i="7"/>
  <c r="I361" i="7"/>
  <c r="I967" i="7"/>
  <c r="I513" i="7"/>
  <c r="I514" i="7"/>
  <c r="I515" i="7"/>
  <c r="I516" i="7"/>
  <c r="I517" i="7"/>
  <c r="I316" i="7"/>
  <c r="I202" i="7"/>
  <c r="I887" i="7"/>
  <c r="I518" i="7"/>
  <c r="I519" i="7"/>
  <c r="I1373" i="7"/>
  <c r="I1369" i="7"/>
  <c r="I1371" i="7"/>
  <c r="I362" i="7"/>
  <c r="I363" i="7"/>
  <c r="I364" i="7"/>
  <c r="I365" i="7"/>
  <c r="I366" i="7"/>
  <c r="I367" i="7"/>
  <c r="I740" i="7"/>
  <c r="I1225" i="7"/>
  <c r="I520" i="7"/>
  <c r="I597" i="7"/>
  <c r="I741" i="7"/>
  <c r="I368" i="7"/>
  <c r="I1118" i="7"/>
  <c r="I742" i="7"/>
  <c r="I203" i="7"/>
  <c r="I890" i="7"/>
  <c r="I891" i="7"/>
  <c r="I892" i="7"/>
  <c r="I893" i="7"/>
  <c r="I894" i="7"/>
  <c r="I743" i="7"/>
  <c r="I204" i="7"/>
  <c r="I205" i="7"/>
  <c r="I96" i="7"/>
  <c r="I97" i="7"/>
  <c r="I1374" i="7"/>
  <c r="I744" i="7"/>
  <c r="I745" i="7"/>
  <c r="I746" i="7"/>
  <c r="I747" i="7"/>
  <c r="I748" i="7"/>
  <c r="I749" i="7"/>
  <c r="I750" i="7"/>
  <c r="I751" i="7"/>
  <c r="I752" i="7"/>
  <c r="I895" i="7"/>
  <c r="I896" i="7"/>
  <c r="I753" i="7"/>
  <c r="I1226" i="7"/>
  <c r="I1454" i="7"/>
  <c r="I1375" i="7"/>
  <c r="I1491" i="7"/>
  <c r="I1492" i="7"/>
  <c r="I1119" i="7"/>
  <c r="I1120" i="7"/>
  <c r="I1121" i="7"/>
  <c r="I1122" i="7"/>
  <c r="I1123" i="7"/>
  <c r="I1124" i="7"/>
  <c r="I1125" i="7"/>
  <c r="I409" i="7"/>
  <c r="I754" i="7"/>
  <c r="I317" i="7"/>
  <c r="I1376" i="7"/>
  <c r="I897" i="7"/>
  <c r="I898" i="7"/>
  <c r="I755" i="7"/>
  <c r="I1377" i="7"/>
  <c r="I1378" i="7"/>
  <c r="I206" i="7"/>
  <c r="I207" i="7"/>
  <c r="I899" i="7"/>
  <c r="I590" i="7"/>
  <c r="I591" i="7"/>
  <c r="I153" i="7"/>
  <c r="I58" i="7"/>
  <c r="I98" i="7"/>
  <c r="I900" i="7"/>
  <c r="I1379" i="7"/>
  <c r="I1380" i="7"/>
  <c r="I521" i="7"/>
  <c r="I522" i="7"/>
  <c r="I208" i="7"/>
  <c r="I523" i="7"/>
  <c r="I524" i="7"/>
  <c r="I525" i="7"/>
  <c r="I526" i="7"/>
  <c r="I527" i="7"/>
  <c r="I1381" i="7"/>
  <c r="I528" i="7"/>
  <c r="I901" i="7"/>
  <c r="I757" i="7"/>
  <c r="I1227" i="7"/>
  <c r="I902" i="7"/>
  <c r="I99" i="7"/>
  <c r="I758" i="7"/>
  <c r="I903" i="7"/>
  <c r="I904" i="7"/>
  <c r="I905" i="7"/>
  <c r="I906" i="7"/>
  <c r="I907" i="7"/>
  <c r="I908" i="7"/>
  <c r="I909" i="7"/>
  <c r="I910" i="7"/>
  <c r="I529" i="7"/>
  <c r="I530" i="7"/>
  <c r="I1382" i="7"/>
  <c r="I159" i="7"/>
  <c r="I759" i="7"/>
  <c r="I760" i="7"/>
  <c r="I761" i="7"/>
  <c r="I762" i="7"/>
  <c r="I763" i="7"/>
  <c r="I968" i="7"/>
  <c r="I969" i="7"/>
  <c r="I100" i="7"/>
  <c r="I101" i="7"/>
  <c r="I970" i="7"/>
  <c r="I971" i="7"/>
  <c r="I102" i="7"/>
  <c r="I103" i="7"/>
  <c r="I1255" i="7"/>
  <c r="I1126" i="7"/>
  <c r="I1127" i="7"/>
  <c r="I1128" i="7"/>
  <c r="I1129" i="7"/>
  <c r="I1130" i="7"/>
  <c r="I1131" i="7"/>
  <c r="I1132" i="7"/>
  <c r="I1133" i="7"/>
  <c r="I1134" i="7"/>
  <c r="I604" i="7"/>
  <c r="I911" i="7"/>
  <c r="I765" i="7"/>
  <c r="I1534" i="7"/>
  <c r="I1228" i="7"/>
  <c r="I766" i="7"/>
  <c r="I531" i="7"/>
  <c r="I1383" i="7"/>
  <c r="I369" i="7"/>
  <c r="I1535" i="7"/>
  <c r="I912" i="7"/>
  <c r="I913" i="7"/>
  <c r="I914" i="7"/>
  <c r="I915" i="7"/>
  <c r="I916" i="7"/>
  <c r="I917" i="7"/>
  <c r="I410" i="7"/>
  <c r="I209" i="7"/>
  <c r="I210" i="7"/>
  <c r="I918" i="7"/>
  <c r="I254" i="7"/>
  <c r="I255" i="7"/>
  <c r="I256" i="7"/>
  <c r="I370" i="7"/>
  <c r="I767" i="7"/>
  <c r="I768" i="7"/>
  <c r="I769" i="7"/>
  <c r="I770" i="7"/>
  <c r="I771" i="7"/>
  <c r="I772" i="7"/>
  <c r="I773" i="7"/>
  <c r="I774" i="7"/>
  <c r="I775" i="7"/>
  <c r="I776" i="7"/>
  <c r="I777" i="7"/>
  <c r="I778" i="7"/>
  <c r="I779" i="7"/>
  <c r="I780" i="7"/>
  <c r="I781" i="7"/>
  <c r="I211" i="7"/>
  <c r="I212" i="7"/>
  <c r="I213" i="7"/>
  <c r="I1384" i="7"/>
  <c r="I214" i="7"/>
  <c r="I215" i="7"/>
  <c r="I216" i="7"/>
  <c r="I1135" i="7"/>
  <c r="I919" i="7"/>
  <c r="I920" i="7"/>
  <c r="I782" i="7"/>
  <c r="I783" i="7"/>
  <c r="I532" i="7"/>
  <c r="I371" i="7"/>
  <c r="I1493" i="7"/>
  <c r="I1494" i="7"/>
  <c r="I1495" i="7"/>
  <c r="I1496" i="7"/>
  <c r="I217" i="7"/>
  <c r="I1136" i="7"/>
  <c r="I1137" i="7"/>
  <c r="I1138" i="7"/>
  <c r="I1139" i="7"/>
  <c r="I1385" i="7"/>
  <c r="I972" i="7"/>
  <c r="I973" i="7"/>
  <c r="I974" i="7"/>
  <c r="I975" i="7"/>
  <c r="I976" i="7"/>
  <c r="I977" i="7"/>
  <c r="I978" i="7"/>
  <c r="I1386" i="7"/>
  <c r="I1140" i="7"/>
  <c r="I1141" i="7"/>
  <c r="I1142" i="7"/>
  <c r="I104" i="7"/>
  <c r="I784" i="7"/>
  <c r="I105" i="7"/>
  <c r="I1179" i="7"/>
  <c r="I698" i="7"/>
  <c r="I699" i="7"/>
  <c r="I702" i="7"/>
  <c r="I716" i="7"/>
  <c r="I717" i="7"/>
  <c r="I723" i="7"/>
  <c r="I1387" i="7"/>
  <c r="I533" i="7"/>
  <c r="I923" i="7"/>
  <c r="I1186" i="7"/>
  <c r="I1536" i="7"/>
  <c r="I592" i="7"/>
  <c r="I593" i="7"/>
  <c r="I787" i="7"/>
  <c r="I788" i="7"/>
  <c r="I789" i="7"/>
  <c r="I790" i="7"/>
  <c r="I791" i="7"/>
  <c r="I1143" i="7"/>
  <c r="I594" i="7"/>
  <c r="I595" i="7"/>
  <c r="I534" i="7"/>
  <c r="I924" i="7"/>
  <c r="I925" i="7"/>
  <c r="I926" i="7"/>
  <c r="I535" i="7"/>
  <c r="I536" i="7"/>
  <c r="I537" i="7"/>
  <c r="I538" i="7"/>
  <c r="I539" i="7"/>
  <c r="I540" i="7"/>
  <c r="I541" i="7"/>
  <c r="I542" i="7"/>
  <c r="I543" i="7"/>
  <c r="I544" i="7"/>
  <c r="I545" i="7"/>
  <c r="I546" i="7"/>
  <c r="I1388" i="7"/>
  <c r="I792" i="7"/>
  <c r="I1455" i="7"/>
  <c r="I927" i="7"/>
  <c r="I928" i="7"/>
  <c r="I929" i="7"/>
  <c r="I108" i="7"/>
  <c r="I793" i="7"/>
  <c r="I794" i="7"/>
  <c r="I795" i="7"/>
  <c r="I109" i="7"/>
  <c r="I110" i="7"/>
  <c r="I111" i="7"/>
  <c r="I1389" i="7"/>
  <c r="I1390" i="7"/>
  <c r="I1391" i="7"/>
  <c r="I1392" i="7"/>
  <c r="I1393" i="7"/>
  <c r="I1394" i="7"/>
  <c r="I1395" i="7"/>
  <c r="I218" i="7"/>
  <c r="I219" i="7"/>
  <c r="I220" i="7"/>
  <c r="I1144" i="7"/>
  <c r="I1145" i="7"/>
  <c r="I221" i="7"/>
  <c r="I257" i="7"/>
  <c r="I258" i="7"/>
  <c r="I259" i="7"/>
  <c r="I112" i="7"/>
  <c r="I1396" i="7"/>
  <c r="I222" i="7"/>
  <c r="I796" i="7"/>
  <c r="I107" i="7"/>
  <c r="I797" i="7"/>
  <c r="I921" i="7"/>
  <c r="I922" i="7"/>
  <c r="I547" i="7"/>
  <c r="I548" i="7"/>
  <c r="I549" i="7"/>
  <c r="I1397" i="7"/>
  <c r="I1398" i="7"/>
  <c r="I1399" i="7"/>
  <c r="I260" i="7"/>
  <c r="I930" i="7"/>
  <c r="I223" i="7"/>
  <c r="I931" i="7"/>
  <c r="I550" i="7"/>
  <c r="I1400" i="7"/>
  <c r="I113" i="7"/>
  <c r="I114" i="7"/>
  <c r="I261" i="7"/>
  <c r="I262" i="7"/>
  <c r="I263" i="7"/>
  <c r="I115" i="7"/>
  <c r="I116" i="7"/>
  <c r="I117" i="7"/>
  <c r="I118" i="7"/>
  <c r="I798" i="7"/>
  <c r="I224" i="7"/>
  <c r="I596" i="7"/>
  <c r="I1181" i="7"/>
  <c r="I1497" i="7"/>
  <c r="I119" i="7"/>
  <c r="I120" i="7"/>
  <c r="I121" i="7"/>
  <c r="I122" i="7"/>
  <c r="I932" i="7"/>
  <c r="I123" i="7"/>
  <c r="I124" i="7"/>
  <c r="I933" i="7"/>
  <c r="I934" i="7"/>
  <c r="I935" i="7"/>
  <c r="I936" i="7"/>
  <c r="I937" i="7"/>
  <c r="I938" i="7"/>
  <c r="I939" i="7"/>
  <c r="I940" i="7"/>
  <c r="I941" i="7"/>
  <c r="I942" i="7"/>
  <c r="I943" i="7"/>
  <c r="I1401" i="7"/>
  <c r="I125" i="7"/>
  <c r="I126" i="7"/>
  <c r="I127" i="7"/>
  <c r="I1146" i="7"/>
  <c r="I128" i="7"/>
  <c r="I1147" i="7"/>
  <c r="I264" i="7"/>
  <c r="I1402" i="7"/>
  <c r="I265" i="7"/>
  <c r="I266" i="7"/>
  <c r="I551" i="7"/>
  <c r="I267" i="7"/>
  <c r="I268" i="7"/>
  <c r="I269" i="7"/>
  <c r="I270" i="7"/>
  <c r="I271" i="7"/>
  <c r="I272" i="7"/>
  <c r="I273" i="7"/>
  <c r="I274" i="7"/>
  <c r="I275" i="7"/>
  <c r="I276" i="7"/>
  <c r="I277" i="7"/>
  <c r="I278" i="7"/>
  <c r="I318" i="7"/>
  <c r="I319" i="7"/>
  <c r="I320" i="7"/>
  <c r="I321" i="7"/>
  <c r="I129" i="7"/>
  <c r="I888" i="7"/>
  <c r="I225" i="7"/>
  <c r="I1403" i="7"/>
  <c r="I1148" i="7"/>
  <c r="I799" i="7"/>
  <c r="I800" i="7"/>
  <c r="I1404" i="7"/>
  <c r="I1539" i="7"/>
  <c r="I1231" i="7"/>
  <c r="I1232" i="7"/>
  <c r="I1233" i="7"/>
  <c r="I552" i="7"/>
  <c r="I1149" i="7"/>
  <c r="I801" i="7"/>
  <c r="I802" i="7"/>
  <c r="I803" i="7"/>
  <c r="I160" i="7"/>
  <c r="I553" i="7"/>
  <c r="I279" i="7"/>
  <c r="I280" i="7"/>
  <c r="I372" i="7"/>
  <c r="I373" i="7"/>
  <c r="I374" i="7"/>
  <c r="I375" i="7"/>
  <c r="I376" i="7"/>
  <c r="I377" i="7"/>
  <c r="I378" i="7"/>
  <c r="I379" i="7"/>
  <c r="I380" i="7"/>
  <c r="I381" i="7"/>
  <c r="I382" i="7"/>
  <c r="I383" i="7"/>
  <c r="I598" i="7"/>
  <c r="I1182" i="7"/>
  <c r="I384" i="7"/>
  <c r="I385" i="7"/>
  <c r="I386" i="7"/>
  <c r="I1498" i="7"/>
  <c r="I1499" i="7"/>
  <c r="I1500" i="7"/>
  <c r="I1501" i="7"/>
  <c r="I1502" i="7"/>
  <c r="I1503" i="7"/>
  <c r="I1504" i="7"/>
  <c r="I1505" i="7"/>
  <c r="I1506" i="7"/>
  <c r="I1507" i="7"/>
  <c r="I1508" i="7"/>
  <c r="I1509" i="7"/>
  <c r="I1510" i="7"/>
  <c r="I1511" i="7"/>
  <c r="I1540" i="7"/>
  <c r="I411" i="7"/>
  <c r="I226" i="7"/>
  <c r="I1541" i="7"/>
  <c r="I1405" i="7"/>
  <c r="I281" i="7"/>
  <c r="I282" i="7"/>
  <c r="I412" i="7"/>
  <c r="I1150" i="7"/>
  <c r="I944" i="7"/>
  <c r="I804" i="7"/>
  <c r="I387" i="7"/>
  <c r="I388" i="7"/>
  <c r="I227" i="7"/>
  <c r="I1406" i="7"/>
  <c r="I554" i="7"/>
  <c r="I1456" i="7"/>
  <c r="I322" i="7"/>
  <c r="I945" i="7"/>
  <c r="I1512" i="7"/>
  <c r="I1513" i="7"/>
  <c r="I805" i="7"/>
  <c r="I806" i="7"/>
  <c r="I555" i="7"/>
  <c r="I228" i="7"/>
  <c r="I130" i="7"/>
  <c r="I1407" i="7"/>
  <c r="I1183" i="7"/>
  <c r="I599" i="7"/>
  <c r="I807" i="7"/>
  <c r="I946" i="7"/>
  <c r="I808" i="7"/>
  <c r="I809" i="7"/>
  <c r="I556" i="7"/>
  <c r="I1408" i="7"/>
  <c r="I557" i="7"/>
  <c r="I558" i="7"/>
  <c r="I559" i="7"/>
  <c r="I560" i="7"/>
  <c r="I1409" i="7"/>
  <c r="I1410" i="7"/>
  <c r="I1411" i="7"/>
  <c r="I1412" i="7"/>
  <c r="I1413" i="7"/>
  <c r="I1414" i="7"/>
  <c r="I1415" i="7"/>
  <c r="I1416" i="7"/>
  <c r="I1417" i="7"/>
  <c r="I810" i="7"/>
  <c r="I811" i="7"/>
  <c r="I812" i="7"/>
  <c r="I813" i="7"/>
  <c r="I814" i="7"/>
  <c r="I815" i="7"/>
  <c r="I816" i="7"/>
  <c r="I817" i="7"/>
  <c r="I818" i="7"/>
  <c r="I819" i="7"/>
  <c r="I820" i="7"/>
  <c r="I131" i="7"/>
  <c r="I1418" i="7"/>
  <c r="I1419" i="7"/>
  <c r="I600" i="7"/>
  <c r="I601" i="7"/>
  <c r="I602" i="7"/>
  <c r="I603" i="7"/>
  <c r="I889" i="7"/>
  <c r="I1542" i="7"/>
  <c r="I1543" i="7"/>
  <c r="I1544" i="7"/>
  <c r="I821" i="7"/>
  <c r="I822" i="7"/>
  <c r="I561" i="7"/>
  <c r="I1514" i="7"/>
  <c r="I1515" i="7"/>
  <c r="I1420" i="7"/>
  <c r="I1234" i="7"/>
  <c r="I283" i="7"/>
  <c r="I132" i="7"/>
  <c r="I229" i="7"/>
  <c r="I1421" i="7"/>
  <c r="I230" i="7"/>
  <c r="I231" i="7"/>
  <c r="I232" i="7"/>
  <c r="I823" i="7"/>
  <c r="I133" i="7"/>
  <c r="I1422" i="7"/>
  <c r="I824" i="7"/>
  <c r="I947" i="7"/>
  <c r="I825" i="7"/>
  <c r="I233" i="7"/>
  <c r="I1423" i="7"/>
  <c r="I1172" i="7"/>
  <c r="I979" i="7"/>
  <c r="I980" i="7"/>
  <c r="I981" i="7"/>
  <c r="I982" i="7"/>
  <c r="I413" i="7"/>
  <c r="I414" i="7"/>
  <c r="I983" i="7"/>
  <c r="I984" i="7"/>
  <c r="I985" i="7"/>
  <c r="I986" i="7"/>
  <c r="I987" i="7"/>
  <c r="I988" i="7"/>
  <c r="I989" i="7"/>
  <c r="I990" i="7"/>
  <c r="I991" i="7"/>
  <c r="I992" i="7"/>
  <c r="I993" i="7"/>
  <c r="I994" i="7"/>
  <c r="I995" i="7"/>
  <c r="I996" i="7"/>
  <c r="I997" i="7"/>
  <c r="I998" i="7"/>
  <c r="I999" i="7"/>
  <c r="I562" i="7"/>
  <c r="I1424" i="7"/>
  <c r="I1425" i="7"/>
  <c r="I1426" i="7"/>
  <c r="I1427" i="7"/>
  <c r="I1428" i="7"/>
  <c r="I134" i="7"/>
  <c r="I826" i="7"/>
  <c r="I563" i="7"/>
  <c r="I827" i="7"/>
  <c r="I1000" i="7"/>
  <c r="I135" i="7"/>
  <c r="I323" i="7"/>
  <c r="I324" i="7"/>
  <c r="I948" i="7"/>
  <c r="I949" i="7"/>
  <c r="I564" i="7"/>
  <c r="I136" i="7"/>
  <c r="I137" i="7"/>
  <c r="I138" i="7"/>
  <c r="I139" i="7"/>
  <c r="I1429" i="7"/>
  <c r="I950" i="7"/>
  <c r="I1545" i="7"/>
  <c r="I1546" i="7"/>
  <c r="I1516" i="7"/>
  <c r="I951" i="7"/>
  <c r="I952" i="7"/>
  <c r="I953" i="7"/>
  <c r="I954" i="7"/>
  <c r="I828" i="7"/>
  <c r="I1430" i="7"/>
  <c r="I1431" i="7"/>
  <c r="I1432" i="7"/>
  <c r="I1433" i="7"/>
  <c r="I1434" i="7"/>
  <c r="I1435" i="7"/>
  <c r="I1436" i="7"/>
  <c r="I1437" i="7"/>
  <c r="I605" i="7"/>
  <c r="I415" i="7"/>
  <c r="I1166" i="7"/>
  <c r="I1001" i="7"/>
  <c r="I1002" i="7"/>
  <c r="I1003" i="7"/>
  <c r="I1004" i="7"/>
  <c r="I1005" i="7"/>
  <c r="I1006" i="7"/>
  <c r="I1007" i="7"/>
  <c r="I1008" i="7"/>
  <c r="I1009" i="7"/>
  <c r="I1438" i="7"/>
  <c r="I1439" i="7"/>
  <c r="I1440" i="7"/>
  <c r="I565" i="7"/>
  <c r="I566" i="7"/>
  <c r="I567" i="7"/>
  <c r="I287" i="7"/>
  <c r="I234" i="7"/>
  <c r="I235" i="7"/>
  <c r="I236" i="7"/>
  <c r="I829" i="7"/>
  <c r="I830" i="7"/>
  <c r="I955" i="7"/>
  <c r="I288" i="7"/>
  <c r="I289" i="7"/>
  <c r="I290" i="7"/>
  <c r="I291" i="7"/>
  <c r="I292" i="7"/>
  <c r="I293" i="7"/>
  <c r="I294" i="7"/>
  <c r="I295" i="7"/>
  <c r="I296" i="7"/>
  <c r="I297" i="7"/>
  <c r="I298" i="7"/>
  <c r="H161" i="7"/>
  <c r="H162" i="7"/>
  <c r="H163" i="7"/>
  <c r="H164" i="7"/>
  <c r="H2" i="7"/>
  <c r="H1177" i="7"/>
  <c r="H1167" i="7"/>
  <c r="H1281" i="7"/>
  <c r="H3" i="7"/>
  <c r="H4" i="7"/>
  <c r="H5" i="7"/>
  <c r="H6" i="7"/>
  <c r="H1187" i="7"/>
  <c r="H833" i="7"/>
  <c r="H7" i="7"/>
  <c r="H1010" i="7"/>
  <c r="H1282" i="7"/>
  <c r="H1283" i="7"/>
  <c r="H1284" i="7"/>
  <c r="H834" i="7"/>
  <c r="H418" i="7"/>
  <c r="H8" i="7"/>
  <c r="H9" i="7"/>
  <c r="H10" i="7"/>
  <c r="H11" i="7"/>
  <c r="H12" i="7"/>
  <c r="H13" i="7"/>
  <c r="H14" i="7"/>
  <c r="H15" i="7"/>
  <c r="H286" i="7"/>
  <c r="H16" i="7"/>
  <c r="H17" i="7"/>
  <c r="H18" i="7"/>
  <c r="H19" i="7"/>
  <c r="H20" i="7"/>
  <c r="H21" i="7"/>
  <c r="H1457" i="7"/>
  <c r="H961" i="7"/>
  <c r="H1285" i="7"/>
  <c r="H1286" i="7"/>
  <c r="H1287" i="7"/>
  <c r="H1288" i="7"/>
  <c r="H1289" i="7"/>
  <c r="H1443" i="7"/>
  <c r="H403" i="7"/>
  <c r="H962" i="7"/>
  <c r="H22" i="7"/>
  <c r="H106" i="7"/>
  <c r="H835" i="7"/>
  <c r="H419" i="7"/>
  <c r="H420" i="7"/>
  <c r="H574" i="7"/>
  <c r="H404" i="7"/>
  <c r="H421" i="7"/>
  <c r="H1290" i="7"/>
  <c r="H1291" i="7"/>
  <c r="H575" i="7"/>
  <c r="H576" i="7"/>
  <c r="H577" i="7"/>
  <c r="H836" i="7"/>
  <c r="H837" i="7"/>
  <c r="H1292" i="7"/>
  <c r="H1293" i="7"/>
  <c r="H422" i="7"/>
  <c r="H423" i="7"/>
  <c r="H424" i="7"/>
  <c r="H838" i="7"/>
  <c r="H1294" i="7"/>
  <c r="H1295" i="7"/>
  <c r="H839" i="7"/>
  <c r="H23" i="7"/>
  <c r="H1168" i="7"/>
  <c r="H325" i="7"/>
  <c r="H326" i="7"/>
  <c r="H327" i="7"/>
  <c r="H1296" i="7"/>
  <c r="H1297" i="7"/>
  <c r="H328" i="7"/>
  <c r="H329" i="7"/>
  <c r="H330" i="7"/>
  <c r="H1162" i="7"/>
  <c r="H578" i="7"/>
  <c r="H617" i="7"/>
  <c r="H618" i="7"/>
  <c r="H24" i="7"/>
  <c r="H347" i="7"/>
  <c r="H331" i="7"/>
  <c r="H619" i="7"/>
  <c r="H165" i="7"/>
  <c r="H963" i="7"/>
  <c r="H1298" i="7"/>
  <c r="H840" i="7"/>
  <c r="H1190" i="7"/>
  <c r="H425" i="7"/>
  <c r="H620" i="7"/>
  <c r="H1229" i="7"/>
  <c r="H1230" i="7"/>
  <c r="H426" i="7"/>
  <c r="H622" i="7"/>
  <c r="H1257" i="7"/>
  <c r="H606" i="7"/>
  <c r="H1299" i="7"/>
  <c r="H1300" i="7"/>
  <c r="H1301" i="7"/>
  <c r="H427" i="7"/>
  <c r="H1011" i="7"/>
  <c r="H1012" i="7"/>
  <c r="H1013" i="7"/>
  <c r="H1014" i="7"/>
  <c r="H166" i="7"/>
  <c r="H167" i="7"/>
  <c r="H168" i="7"/>
  <c r="H169" i="7"/>
  <c r="H170" i="7"/>
  <c r="H1458" i="7"/>
  <c r="H1015" i="7"/>
  <c r="H1016" i="7"/>
  <c r="H1017" i="7"/>
  <c r="H1018" i="7"/>
  <c r="H1019" i="7"/>
  <c r="H1020" i="7"/>
  <c r="H1021" i="7"/>
  <c r="H1022" i="7"/>
  <c r="H1023" i="7"/>
  <c r="H1024" i="7"/>
  <c r="H1025" i="7"/>
  <c r="H1026" i="7"/>
  <c r="H1027" i="7"/>
  <c r="H1028" i="7"/>
  <c r="H1029" i="7"/>
  <c r="H1030" i="7"/>
  <c r="H1031" i="7"/>
  <c r="H1032" i="7"/>
  <c r="H1033" i="7"/>
  <c r="H1459" i="7"/>
  <c r="H1034" i="7"/>
  <c r="H1035" i="7"/>
  <c r="H1036" i="7"/>
  <c r="H1037" i="7"/>
  <c r="H1038" i="7"/>
  <c r="H1039" i="7"/>
  <c r="H1040" i="7"/>
  <c r="H1041" i="7"/>
  <c r="H1042" i="7"/>
  <c r="H1043" i="7"/>
  <c r="H1044" i="7"/>
  <c r="H1045" i="7"/>
  <c r="H1046" i="7"/>
  <c r="H284" i="7"/>
  <c r="H1047" i="7"/>
  <c r="H1048" i="7"/>
  <c r="H25" i="7"/>
  <c r="H841" i="7"/>
  <c r="H26" i="7"/>
  <c r="H27" i="7"/>
  <c r="H28" i="7"/>
  <c r="H29" i="7"/>
  <c r="H842" i="7"/>
  <c r="H1444" i="7"/>
  <c r="H1302" i="7"/>
  <c r="H623" i="7"/>
  <c r="H624" i="7"/>
  <c r="H30" i="7"/>
  <c r="H31" i="7"/>
  <c r="H1303" i="7"/>
  <c r="H1304" i="7"/>
  <c r="H405" i="7"/>
  <c r="H1305" i="7"/>
  <c r="H1306" i="7"/>
  <c r="H1307" i="7"/>
  <c r="H1308" i="7"/>
  <c r="H1309" i="7"/>
  <c r="H1310" i="7"/>
  <c r="H1311" i="7"/>
  <c r="H1192" i="7"/>
  <c r="H1312" i="7"/>
  <c r="H1313" i="7"/>
  <c r="H1314" i="7"/>
  <c r="H1315" i="7"/>
  <c r="H171" i="7"/>
  <c r="H1460" i="7"/>
  <c r="H579" i="7"/>
  <c r="H172" i="7"/>
  <c r="H173" i="7"/>
  <c r="H174" i="7"/>
  <c r="H175" i="7"/>
  <c r="H176" i="7"/>
  <c r="H177" i="7"/>
  <c r="H32" i="7"/>
  <c r="H178" i="7"/>
  <c r="H843" i="7"/>
  <c r="H844" i="7"/>
  <c r="H845" i="7"/>
  <c r="H846" i="7"/>
  <c r="H1236" i="7"/>
  <c r="H1237" i="7"/>
  <c r="H1526" i="7"/>
  <c r="H428" i="7"/>
  <c r="H1445" i="7"/>
  <c r="H1316" i="7"/>
  <c r="H1317" i="7"/>
  <c r="H429" i="7"/>
  <c r="H430" i="7"/>
  <c r="H431" i="7"/>
  <c r="H847" i="7"/>
  <c r="H625" i="7"/>
  <c r="H626" i="7"/>
  <c r="H627" i="7"/>
  <c r="H628" i="7"/>
  <c r="H629" i="7"/>
  <c r="H580" i="7"/>
  <c r="H1527" i="7"/>
  <c r="H607" i="7"/>
  <c r="H608" i="7"/>
  <c r="H609" i="7"/>
  <c r="H630" i="7"/>
  <c r="H631" i="7"/>
  <c r="H632" i="7"/>
  <c r="H633" i="7"/>
  <c r="H179" i="7"/>
  <c r="H634" i="7"/>
  <c r="H635" i="7"/>
  <c r="H636" i="7"/>
  <c r="H637" i="7"/>
  <c r="H638" i="7"/>
  <c r="H1163" i="7"/>
  <c r="H1461" i="7"/>
  <c r="H1462" i="7"/>
  <c r="H1463" i="7"/>
  <c r="H1464" i="7"/>
  <c r="H1465" i="7"/>
  <c r="H1466" i="7"/>
  <c r="H1467" i="7"/>
  <c r="H1468" i="7"/>
  <c r="H1469" i="7"/>
  <c r="H1164" i="7"/>
  <c r="H432" i="7"/>
  <c r="H433" i="7"/>
  <c r="H1318" i="7"/>
  <c r="H848" i="7"/>
  <c r="H849" i="7"/>
  <c r="H434" i="7"/>
  <c r="H435" i="7"/>
  <c r="H334" i="7"/>
  <c r="H335" i="7"/>
  <c r="H336" i="7"/>
  <c r="H337" i="7"/>
  <c r="H340" i="7"/>
  <c r="H341" i="7"/>
  <c r="H342" i="7"/>
  <c r="H343" i="7"/>
  <c r="H344" i="7"/>
  <c r="H345" i="7"/>
  <c r="H348" i="7"/>
  <c r="H349" i="7"/>
  <c r="H1528" i="7"/>
  <c r="H581" i="7"/>
  <c r="H1169" i="7"/>
  <c r="H1184" i="7"/>
  <c r="H1175" i="7"/>
  <c r="H1193" i="7"/>
  <c r="H1194" i="7"/>
  <c r="H1049" i="7"/>
  <c r="H1050" i="7"/>
  <c r="H1051" i="7"/>
  <c r="H1052" i="7"/>
  <c r="H1053" i="7"/>
  <c r="H1054" i="7"/>
  <c r="H1055" i="7"/>
  <c r="H1195" i="7"/>
  <c r="H1196" i="7"/>
  <c r="H1197" i="7"/>
  <c r="H582" i="7"/>
  <c r="H583" i="7"/>
  <c r="H964" i="7"/>
  <c r="H350" i="7"/>
  <c r="H351" i="7"/>
  <c r="H352" i="7"/>
  <c r="H436" i="7"/>
  <c r="H1472" i="7"/>
  <c r="H1473" i="7"/>
  <c r="H1474" i="7"/>
  <c r="H1475" i="7"/>
  <c r="H1056" i="7"/>
  <c r="H180" i="7"/>
  <c r="H650" i="7"/>
  <c r="H1319" i="7"/>
  <c r="H1320" i="7"/>
  <c r="H1321" i="7"/>
  <c r="H1198" i="7"/>
  <c r="H1322" i="7"/>
  <c r="H1323" i="7"/>
  <c r="H1238" i="7"/>
  <c r="H1239" i="7"/>
  <c r="H1324" i="7"/>
  <c r="H1325" i="7"/>
  <c r="H1326" i="7"/>
  <c r="H1327" i="7"/>
  <c r="H1328" i="7"/>
  <c r="H1329" i="7"/>
  <c r="H1330" i="7"/>
  <c r="H1331" i="7"/>
  <c r="H35" i="7"/>
  <c r="H36" i="7"/>
  <c r="H37" i="7"/>
  <c r="H406" i="7"/>
  <c r="H38" i="7"/>
  <c r="H1258" i="7"/>
  <c r="H1057" i="7"/>
  <c r="H610" i="7"/>
  <c r="H611" i="7"/>
  <c r="H612" i="7"/>
  <c r="H651" i="7"/>
  <c r="H850" i="7"/>
  <c r="H1199" i="7"/>
  <c r="H39" i="7"/>
  <c r="H1058" i="7"/>
  <c r="H1059" i="7"/>
  <c r="H1060" i="7"/>
  <c r="H1061" i="7"/>
  <c r="H1062" i="7"/>
  <c r="H1063" i="7"/>
  <c r="H1064" i="7"/>
  <c r="H1476" i="7"/>
  <c r="H1332" i="7"/>
  <c r="H1333" i="7"/>
  <c r="H1334" i="7"/>
  <c r="H1335" i="7"/>
  <c r="H1336" i="7"/>
  <c r="H652" i="7"/>
  <c r="H653" i="7"/>
  <c r="H654" i="7"/>
  <c r="H1253" i="7"/>
  <c r="H1254" i="7"/>
  <c r="H437" i="7"/>
  <c r="H1259" i="7"/>
  <c r="H1260" i="7"/>
  <c r="H1261" i="7"/>
  <c r="H1279" i="7"/>
  <c r="H40" i="7"/>
  <c r="H41" i="7"/>
  <c r="H438" i="7"/>
  <c r="H1337" i="7"/>
  <c r="H1240" i="7"/>
  <c r="H1338" i="7"/>
  <c r="H1065" i="7"/>
  <c r="H1066" i="7"/>
  <c r="H1067" i="7"/>
  <c r="H1068" i="7"/>
  <c r="H1069" i="7"/>
  <c r="H1070" i="7"/>
  <c r="H1071" i="7"/>
  <c r="H1072" i="7"/>
  <c r="H1073" i="7"/>
  <c r="H1074" i="7"/>
  <c r="H1075" i="7"/>
  <c r="H1076" i="7"/>
  <c r="H1077" i="7"/>
  <c r="H1078" i="7"/>
  <c r="H1079" i="7"/>
  <c r="H1080" i="7"/>
  <c r="H1081" i="7"/>
  <c r="H1082" i="7"/>
  <c r="H1083" i="7"/>
  <c r="H1084" i="7"/>
  <c r="H1085" i="7"/>
  <c r="H1086" i="7"/>
  <c r="H1446" i="7"/>
  <c r="H1447" i="7"/>
  <c r="H851" i="7"/>
  <c r="H658" i="7"/>
  <c r="H1087" i="7"/>
  <c r="H1088" i="7"/>
  <c r="H1477" i="7"/>
  <c r="H1262" i="7"/>
  <c r="H181" i="7"/>
  <c r="H1200" i="7"/>
  <c r="H1201" i="7"/>
  <c r="H1089" i="7"/>
  <c r="H1090" i="7"/>
  <c r="H1091" i="7"/>
  <c r="H1092" i="7"/>
  <c r="H1093" i="7"/>
  <c r="H1094" i="7"/>
  <c r="H1095" i="7"/>
  <c r="H613" i="7"/>
  <c r="H1339" i="7"/>
  <c r="H439" i="7"/>
  <c r="H440" i="7"/>
  <c r="H441" i="7"/>
  <c r="H442" i="7"/>
  <c r="H443" i="7"/>
  <c r="H506" i="7"/>
  <c r="H512" i="7"/>
  <c r="H332" i="7"/>
  <c r="H661" i="7"/>
  <c r="H42" i="7"/>
  <c r="H43" i="7"/>
  <c r="H44" i="7"/>
  <c r="H45" i="7"/>
  <c r="H1529" i="7"/>
  <c r="H1537" i="7"/>
  <c r="H664" i="7"/>
  <c r="H665" i="7"/>
  <c r="H648" i="7"/>
  <c r="H663" i="7"/>
  <c r="H660" i="7"/>
  <c r="H669" i="7"/>
  <c r="H670" i="7"/>
  <c r="H1241" i="7"/>
  <c r="H1242" i="7"/>
  <c r="H671" i="7"/>
  <c r="H1448" i="7"/>
  <c r="H407" i="7"/>
  <c r="H1202" i="7"/>
  <c r="H1203" i="7"/>
  <c r="H1204" i="7"/>
  <c r="H46" i="7"/>
  <c r="H47" i="7"/>
  <c r="H48" i="7"/>
  <c r="H49" i="7"/>
  <c r="H50" i="7"/>
  <c r="H182" i="7"/>
  <c r="H584" i="7"/>
  <c r="H1170" i="7"/>
  <c r="H1178" i="7"/>
  <c r="H1205" i="7"/>
  <c r="H183" i="7"/>
  <c r="H585" i="7"/>
  <c r="H852" i="7"/>
  <c r="H853" i="7"/>
  <c r="H51" i="7"/>
  <c r="H52" i="7"/>
  <c r="H309" i="7"/>
  <c r="H310" i="7"/>
  <c r="H444" i="7"/>
  <c r="H445" i="7"/>
  <c r="H333" i="7"/>
  <c r="H1340" i="7"/>
  <c r="H1341" i="7"/>
  <c r="H53" i="7"/>
  <c r="H54" i="7"/>
  <c r="H1206" i="7"/>
  <c r="H446" i="7"/>
  <c r="H55" i="7"/>
  <c r="H56" i="7"/>
  <c r="H1342" i="7"/>
  <c r="H1343" i="7"/>
  <c r="H1344" i="7"/>
  <c r="H1345" i="7"/>
  <c r="H1346" i="7"/>
  <c r="H1347" i="7"/>
  <c r="H1348" i="7"/>
  <c r="H1349" i="7"/>
  <c r="H1096" i="7"/>
  <c r="H1097" i="7"/>
  <c r="H1098" i="7"/>
  <c r="H1530" i="7"/>
  <c r="H1538" i="7"/>
  <c r="H447" i="7"/>
  <c r="H1350" i="7"/>
  <c r="H1351" i="7"/>
  <c r="H448" i="7"/>
  <c r="H449" i="7"/>
  <c r="H450" i="7"/>
  <c r="H451" i="7"/>
  <c r="H452" i="7"/>
  <c r="H453" i="7"/>
  <c r="H454" i="7"/>
  <c r="H455" i="7"/>
  <c r="H456" i="7"/>
  <c r="H1207" i="7"/>
  <c r="H457" i="7"/>
  <c r="H458" i="7"/>
  <c r="H459" i="7"/>
  <c r="H460" i="7"/>
  <c r="H1449" i="7"/>
  <c r="H461" i="7"/>
  <c r="H1208" i="7"/>
  <c r="H1209" i="7"/>
  <c r="H1210" i="7"/>
  <c r="H1211" i="7"/>
  <c r="H1219" i="7"/>
  <c r="H1220" i="7"/>
  <c r="H1188" i="7"/>
  <c r="H1189" i="7"/>
  <c r="H1191" i="7"/>
  <c r="H1212" i="7"/>
  <c r="H1213" i="7"/>
  <c r="H1263" i="7"/>
  <c r="H1264" i="7"/>
  <c r="H1265" i="7"/>
  <c r="H1352" i="7"/>
  <c r="H854" i="7"/>
  <c r="H855" i="7"/>
  <c r="H856" i="7"/>
  <c r="H857" i="7"/>
  <c r="H858" i="7"/>
  <c r="H33" i="7"/>
  <c r="H59" i="7"/>
  <c r="H60" i="7"/>
  <c r="H61" i="7"/>
  <c r="H62" i="7"/>
  <c r="H63" i="7"/>
  <c r="H64" i="7"/>
  <c r="H65" i="7"/>
  <c r="H66" i="7"/>
  <c r="H67" i="7"/>
  <c r="H68" i="7"/>
  <c r="H69" i="7"/>
  <c r="H70" i="7"/>
  <c r="H71" i="7"/>
  <c r="H72" i="7"/>
  <c r="H73" i="7"/>
  <c r="H74" i="7"/>
  <c r="H1214" i="7"/>
  <c r="H1353" i="7"/>
  <c r="H75" i="7"/>
  <c r="H462" i="7"/>
  <c r="H1354" i="7"/>
  <c r="H1099" i="7"/>
  <c r="H76" i="7"/>
  <c r="H1243" i="7"/>
  <c r="H1355" i="7"/>
  <c r="H1244" i="7"/>
  <c r="H1245" i="7"/>
  <c r="H1356" i="7"/>
  <c r="H674" i="7"/>
  <c r="H1478" i="7"/>
  <c r="H463" i="7"/>
  <c r="H464" i="7"/>
  <c r="H465" i="7"/>
  <c r="H1100" i="7"/>
  <c r="H965" i="7"/>
  <c r="H1357" i="7"/>
  <c r="H1450" i="7"/>
  <c r="H1101" i="7"/>
  <c r="H184" i="7"/>
  <c r="H185" i="7"/>
  <c r="H186" i="7"/>
  <c r="H187" i="7"/>
  <c r="H188" i="7"/>
  <c r="H189" i="7"/>
  <c r="H966" i="7"/>
  <c r="H675" i="7"/>
  <c r="H1165" i="7"/>
  <c r="H1358" i="7"/>
  <c r="H859" i="7"/>
  <c r="H860" i="7"/>
  <c r="H861" i="7"/>
  <c r="H676" i="7"/>
  <c r="H677" i="7"/>
  <c r="H678" i="7"/>
  <c r="H679" i="7"/>
  <c r="H680" i="7"/>
  <c r="H586" i="7"/>
  <c r="H862" i="7"/>
  <c r="H1102" i="7"/>
  <c r="H1215" i="7"/>
  <c r="H466" i="7"/>
  <c r="H338" i="7"/>
  <c r="H339" i="7"/>
  <c r="H1359" i="7"/>
  <c r="H467" i="7"/>
  <c r="H468" i="7"/>
  <c r="H469" i="7"/>
  <c r="H470" i="7"/>
  <c r="H1360" i="7"/>
  <c r="H681" i="7"/>
  <c r="H1361" i="7"/>
  <c r="H572" i="7"/>
  <c r="H573" i="7"/>
  <c r="H571" i="7"/>
  <c r="H311" i="7"/>
  <c r="H312" i="7"/>
  <c r="H313" i="7"/>
  <c r="H314" i="7"/>
  <c r="H1216" i="7"/>
  <c r="H1217" i="7"/>
  <c r="H1362" i="7"/>
  <c r="H471" i="7"/>
  <c r="H863" i="7"/>
  <c r="H1363" i="7"/>
  <c r="H1364" i="7"/>
  <c r="H408" i="7"/>
  <c r="H1365" i="7"/>
  <c r="H472" i="7"/>
  <c r="H473" i="7"/>
  <c r="H474" i="7"/>
  <c r="H475" i="7"/>
  <c r="H476" i="7"/>
  <c r="H477" i="7"/>
  <c r="H478" i="7"/>
  <c r="H479" i="7"/>
  <c r="H480" i="7"/>
  <c r="H481" i="7"/>
  <c r="H482" i="7"/>
  <c r="H483" i="7"/>
  <c r="H1103" i="7"/>
  <c r="H587" i="7"/>
  <c r="H614" i="7"/>
  <c r="H615" i="7"/>
  <c r="H616" i="7"/>
  <c r="H1246" i="7"/>
  <c r="H1247" i="7"/>
  <c r="H1248" i="7"/>
  <c r="H1249" i="7"/>
  <c r="H1250" i="7"/>
  <c r="H1251" i="7"/>
  <c r="H1252" i="7"/>
  <c r="H484" i="7"/>
  <c r="H485" i="7"/>
  <c r="H682" i="7"/>
  <c r="H683" i="7"/>
  <c r="H684" i="7"/>
  <c r="H685" i="7"/>
  <c r="H756" i="7"/>
  <c r="H864" i="7"/>
  <c r="H77" i="7"/>
  <c r="H1451" i="7"/>
  <c r="H190" i="7"/>
  <c r="H191" i="7"/>
  <c r="H192" i="7"/>
  <c r="H193" i="7"/>
  <c r="H194" i="7"/>
  <c r="H486" i="7"/>
  <c r="H487" i="7"/>
  <c r="H488" i="7"/>
  <c r="H489" i="7"/>
  <c r="H490" i="7"/>
  <c r="H1218" i="7"/>
  <c r="H491" i="7"/>
  <c r="H492" i="7"/>
  <c r="H493" i="7"/>
  <c r="H1266" i="7"/>
  <c r="H1267" i="7"/>
  <c r="H1280" i="7"/>
  <c r="H686" i="7"/>
  <c r="H1452" i="7"/>
  <c r="H195" i="7"/>
  <c r="H78" i="7"/>
  <c r="H79" i="7"/>
  <c r="H1453" i="7"/>
  <c r="H494" i="7"/>
  <c r="H687" i="7"/>
  <c r="H667" i="7"/>
  <c r="H672" i="7"/>
  <c r="H646" i="7"/>
  <c r="H621" i="7"/>
  <c r="H642" i="7"/>
  <c r="H640" i="7"/>
  <c r="H688" i="7"/>
  <c r="H655" i="7"/>
  <c r="H662" i="7"/>
  <c r="H644" i="7"/>
  <c r="H657" i="7"/>
  <c r="H689" i="7"/>
  <c r="H690" i="7"/>
  <c r="H691" i="7"/>
  <c r="H692" i="7"/>
  <c r="H693" i="7"/>
  <c r="H80" i="7"/>
  <c r="H694" i="7"/>
  <c r="H695" i="7"/>
  <c r="H696" i="7"/>
  <c r="H697" i="7"/>
  <c r="H346" i="7"/>
  <c r="H81" i="7"/>
  <c r="H82" i="7"/>
  <c r="H285" i="7"/>
  <c r="H83" i="7"/>
  <c r="H84" i="7"/>
  <c r="H196" i="7"/>
  <c r="H495" i="7"/>
  <c r="H668" i="7"/>
  <c r="H673" i="7"/>
  <c r="H647" i="7"/>
  <c r="H639" i="7"/>
  <c r="H643" i="7"/>
  <c r="H641" i="7"/>
  <c r="H649" i="7"/>
  <c r="H656" i="7"/>
  <c r="H700" i="7"/>
  <c r="H701" i="7"/>
  <c r="H666" i="7"/>
  <c r="H496" i="7"/>
  <c r="H497" i="7"/>
  <c r="H498" i="7"/>
  <c r="H1221" i="7"/>
  <c r="H588" i="7"/>
  <c r="H353" i="7"/>
  <c r="H85" i="7"/>
  <c r="H1104" i="7"/>
  <c r="H86" i="7"/>
  <c r="H87" i="7"/>
  <c r="H88" i="7"/>
  <c r="H89" i="7"/>
  <c r="H90" i="7"/>
  <c r="H91" i="7"/>
  <c r="H499" i="7"/>
  <c r="H1268" i="7"/>
  <c r="H1269" i="7"/>
  <c r="H1270" i="7"/>
  <c r="H1222" i="7"/>
  <c r="H703" i="7"/>
  <c r="H704" i="7"/>
  <c r="H1105" i="7"/>
  <c r="H589" i="7"/>
  <c r="H1106" i="7"/>
  <c r="H865" i="7"/>
  <c r="H246" i="7"/>
  <c r="H247" i="7"/>
  <c r="H248" i="7"/>
  <c r="H1271" i="7"/>
  <c r="H1107" i="7"/>
  <c r="H1108" i="7"/>
  <c r="H1109" i="7"/>
  <c r="H705" i="7"/>
  <c r="H706" i="7"/>
  <c r="H707" i="7"/>
  <c r="H708" i="7"/>
  <c r="H709" i="7"/>
  <c r="H710" i="7"/>
  <c r="H711" i="7"/>
  <c r="H1479" i="7"/>
  <c r="H1480" i="7"/>
  <c r="H1481" i="7"/>
  <c r="H1482" i="7"/>
  <c r="H1483" i="7"/>
  <c r="H1484" i="7"/>
  <c r="H1485" i="7"/>
  <c r="H1486" i="7"/>
  <c r="H1487" i="7"/>
  <c r="H1366" i="7"/>
  <c r="H500" i="7"/>
  <c r="H501" i="7"/>
  <c r="H354" i="7"/>
  <c r="H249" i="7"/>
  <c r="H250" i="7"/>
  <c r="H1223" i="7"/>
  <c r="H251" i="7"/>
  <c r="H252" i="7"/>
  <c r="H712" i="7"/>
  <c r="H713" i="7"/>
  <c r="H714" i="7"/>
  <c r="H1531" i="7"/>
  <c r="H715" i="7"/>
  <c r="H151" i="7"/>
  <c r="H57" i="7"/>
  <c r="H1110" i="7"/>
  <c r="H1367" i="7"/>
  <c r="H1368" i="7"/>
  <c r="H1532" i="7"/>
  <c r="H1111" i="7"/>
  <c r="H1171" i="7"/>
  <c r="H718" i="7"/>
  <c r="H866" i="7"/>
  <c r="H719" i="7"/>
  <c r="H720" i="7"/>
  <c r="H721" i="7"/>
  <c r="H867" i="7"/>
  <c r="H722" i="7"/>
  <c r="H645" i="7"/>
  <c r="H724" i="7"/>
  <c r="H725" i="7"/>
  <c r="H659" i="7"/>
  <c r="H726" i="7"/>
  <c r="H1488" i="7"/>
  <c r="H1112" i="7"/>
  <c r="H1113" i="7"/>
  <c r="H1114" i="7"/>
  <c r="H1115" i="7"/>
  <c r="H1116" i="7"/>
  <c r="H1370" i="7"/>
  <c r="H868" i="7"/>
  <c r="H869" i="7"/>
  <c r="H1185" i="7"/>
  <c r="H197" i="7"/>
  <c r="H198" i="7"/>
  <c r="H199" i="7"/>
  <c r="H502" i="7"/>
  <c r="H503" i="7"/>
  <c r="H355" i="7"/>
  <c r="H356" i="7"/>
  <c r="H357" i="7"/>
  <c r="H358" i="7"/>
  <c r="H359" i="7"/>
  <c r="H727" i="7"/>
  <c r="H1117" i="7"/>
  <c r="H504" i="7"/>
  <c r="H505" i="7"/>
  <c r="H870" i="7"/>
  <c r="H1272" i="7"/>
  <c r="H728" i="7"/>
  <c r="H92" i="7"/>
  <c r="H93" i="7"/>
  <c r="H94" i="7"/>
  <c r="H729" i="7"/>
  <c r="H730" i="7"/>
  <c r="H871" i="7"/>
  <c r="H872" i="7"/>
  <c r="H873" i="7"/>
  <c r="H874" i="7"/>
  <c r="H875" i="7"/>
  <c r="H876" i="7"/>
  <c r="H877" i="7"/>
  <c r="H878" i="7"/>
  <c r="H879" i="7"/>
  <c r="H1224" i="7"/>
  <c r="H731" i="7"/>
  <c r="H880" i="7"/>
  <c r="H881" i="7"/>
  <c r="H1489" i="7"/>
  <c r="H1490" i="7"/>
  <c r="H732" i="7"/>
  <c r="H733" i="7"/>
  <c r="H734" i="7"/>
  <c r="H735" i="7"/>
  <c r="H736" i="7"/>
  <c r="H737" i="7"/>
  <c r="H738" i="7"/>
  <c r="H739" i="7"/>
  <c r="H785" i="7"/>
  <c r="H786" i="7"/>
  <c r="H507" i="7"/>
  <c r="H508" i="7"/>
  <c r="H253" i="7"/>
  <c r="H509" i="7"/>
  <c r="H510" i="7"/>
  <c r="H511" i="7"/>
  <c r="H95" i="7"/>
  <c r="H1533" i="7"/>
  <c r="H360" i="7"/>
  <c r="H882" i="7"/>
  <c r="H883" i="7"/>
  <c r="H764" i="7"/>
  <c r="H1372" i="7"/>
  <c r="H315" i="7"/>
  <c r="H884" i="7"/>
  <c r="H885" i="7"/>
  <c r="H200" i="7"/>
  <c r="H201" i="7"/>
  <c r="H886" i="7"/>
  <c r="H361" i="7"/>
  <c r="H967" i="7"/>
  <c r="H513" i="7"/>
  <c r="H514" i="7"/>
  <c r="H515" i="7"/>
  <c r="H516" i="7"/>
  <c r="H517" i="7"/>
  <c r="H316" i="7"/>
  <c r="H202" i="7"/>
  <c r="H887" i="7"/>
  <c r="H518" i="7"/>
  <c r="H519" i="7"/>
  <c r="H1373" i="7"/>
  <c r="H1369" i="7"/>
  <c r="H1371" i="7"/>
  <c r="H362" i="7"/>
  <c r="H363" i="7"/>
  <c r="H364" i="7"/>
  <c r="H365" i="7"/>
  <c r="H366" i="7"/>
  <c r="H367" i="7"/>
  <c r="H740" i="7"/>
  <c r="H1225" i="7"/>
  <c r="H520" i="7"/>
  <c r="H597" i="7"/>
  <c r="H741" i="7"/>
  <c r="H368" i="7"/>
  <c r="H1118" i="7"/>
  <c r="H742" i="7"/>
  <c r="H203" i="7"/>
  <c r="H890" i="7"/>
  <c r="H891" i="7"/>
  <c r="H892" i="7"/>
  <c r="H893" i="7"/>
  <c r="H894" i="7"/>
  <c r="H743" i="7"/>
  <c r="H204" i="7"/>
  <c r="H205" i="7"/>
  <c r="H96" i="7"/>
  <c r="H97" i="7"/>
  <c r="H1374" i="7"/>
  <c r="H744" i="7"/>
  <c r="H745" i="7"/>
  <c r="H746" i="7"/>
  <c r="H747" i="7"/>
  <c r="H748" i="7"/>
  <c r="H749" i="7"/>
  <c r="H750" i="7"/>
  <c r="H751" i="7"/>
  <c r="H752" i="7"/>
  <c r="H895" i="7"/>
  <c r="H896" i="7"/>
  <c r="H753" i="7"/>
  <c r="H1226" i="7"/>
  <c r="H1454" i="7"/>
  <c r="H1375" i="7"/>
  <c r="H1491" i="7"/>
  <c r="H1492" i="7"/>
  <c r="H1119" i="7"/>
  <c r="H1120" i="7"/>
  <c r="H1121" i="7"/>
  <c r="H1122" i="7"/>
  <c r="H1123" i="7"/>
  <c r="H1124" i="7"/>
  <c r="H1125" i="7"/>
  <c r="H409" i="7"/>
  <c r="H754" i="7"/>
  <c r="H317" i="7"/>
  <c r="H1376" i="7"/>
  <c r="H897" i="7"/>
  <c r="H898" i="7"/>
  <c r="H755" i="7"/>
  <c r="H1377" i="7"/>
  <c r="H1378" i="7"/>
  <c r="H206" i="7"/>
  <c r="H207" i="7"/>
  <c r="H899" i="7"/>
  <c r="H590" i="7"/>
  <c r="H591" i="7"/>
  <c r="H153" i="7"/>
  <c r="H58" i="7"/>
  <c r="H98" i="7"/>
  <c r="H900" i="7"/>
  <c r="H1379" i="7"/>
  <c r="H1380" i="7"/>
  <c r="H521" i="7"/>
  <c r="H522" i="7"/>
  <c r="H208" i="7"/>
  <c r="H523" i="7"/>
  <c r="H524" i="7"/>
  <c r="H525" i="7"/>
  <c r="H526" i="7"/>
  <c r="H527" i="7"/>
  <c r="H1381" i="7"/>
  <c r="H528" i="7"/>
  <c r="H901" i="7"/>
  <c r="H757" i="7"/>
  <c r="H1227" i="7"/>
  <c r="H902" i="7"/>
  <c r="H99" i="7"/>
  <c r="H758" i="7"/>
  <c r="H903" i="7"/>
  <c r="H904" i="7"/>
  <c r="H905" i="7"/>
  <c r="H906" i="7"/>
  <c r="H907" i="7"/>
  <c r="H908" i="7"/>
  <c r="H909" i="7"/>
  <c r="H910" i="7"/>
  <c r="H529" i="7"/>
  <c r="H530" i="7"/>
  <c r="H1382" i="7"/>
  <c r="H159" i="7"/>
  <c r="H759" i="7"/>
  <c r="H760" i="7"/>
  <c r="H761" i="7"/>
  <c r="H762" i="7"/>
  <c r="H763" i="7"/>
  <c r="H968" i="7"/>
  <c r="H969" i="7"/>
  <c r="H100" i="7"/>
  <c r="H101" i="7"/>
  <c r="H970" i="7"/>
  <c r="H971" i="7"/>
  <c r="H102" i="7"/>
  <c r="H103" i="7"/>
  <c r="H1255" i="7"/>
  <c r="H1126" i="7"/>
  <c r="H1127" i="7"/>
  <c r="H1128" i="7"/>
  <c r="H1129" i="7"/>
  <c r="H1130" i="7"/>
  <c r="H1131" i="7"/>
  <c r="H1132" i="7"/>
  <c r="H1133" i="7"/>
  <c r="H1134" i="7"/>
  <c r="H604" i="7"/>
  <c r="H911" i="7"/>
  <c r="H765" i="7"/>
  <c r="H1534" i="7"/>
  <c r="H1228" i="7"/>
  <c r="H766" i="7"/>
  <c r="H531" i="7"/>
  <c r="H1383" i="7"/>
  <c r="H369" i="7"/>
  <c r="H1535" i="7"/>
  <c r="H912" i="7"/>
  <c r="H913" i="7"/>
  <c r="H914" i="7"/>
  <c r="H915" i="7"/>
  <c r="H916" i="7"/>
  <c r="H917" i="7"/>
  <c r="H410" i="7"/>
  <c r="H209" i="7"/>
  <c r="H210" i="7"/>
  <c r="H918" i="7"/>
  <c r="H254" i="7"/>
  <c r="H255" i="7"/>
  <c r="H256" i="7"/>
  <c r="H370" i="7"/>
  <c r="H767" i="7"/>
  <c r="H768" i="7"/>
  <c r="H769" i="7"/>
  <c r="H770" i="7"/>
  <c r="H771" i="7"/>
  <c r="H772" i="7"/>
  <c r="H773" i="7"/>
  <c r="H774" i="7"/>
  <c r="H775" i="7"/>
  <c r="H776" i="7"/>
  <c r="H777" i="7"/>
  <c r="H778" i="7"/>
  <c r="H779" i="7"/>
  <c r="H780" i="7"/>
  <c r="H781" i="7"/>
  <c r="H211" i="7"/>
  <c r="H212" i="7"/>
  <c r="H213" i="7"/>
  <c r="H1384" i="7"/>
  <c r="H214" i="7"/>
  <c r="H215" i="7"/>
  <c r="H216" i="7"/>
  <c r="H1135" i="7"/>
  <c r="H919" i="7"/>
  <c r="H920" i="7"/>
  <c r="H782" i="7"/>
  <c r="H783" i="7"/>
  <c r="H532" i="7"/>
  <c r="H371" i="7"/>
  <c r="H1493" i="7"/>
  <c r="H1494" i="7"/>
  <c r="H1495" i="7"/>
  <c r="H1496" i="7"/>
  <c r="H217" i="7"/>
  <c r="H1136" i="7"/>
  <c r="H1137" i="7"/>
  <c r="H1138" i="7"/>
  <c r="H1139" i="7"/>
  <c r="H1385" i="7"/>
  <c r="H972" i="7"/>
  <c r="H973" i="7"/>
  <c r="H974" i="7"/>
  <c r="H975" i="7"/>
  <c r="H976" i="7"/>
  <c r="H977" i="7"/>
  <c r="H978" i="7"/>
  <c r="H1386" i="7"/>
  <c r="H1140" i="7"/>
  <c r="H1141" i="7"/>
  <c r="H1142" i="7"/>
  <c r="H104" i="7"/>
  <c r="H784" i="7"/>
  <c r="H105" i="7"/>
  <c r="H1179" i="7"/>
  <c r="H698" i="7"/>
  <c r="H699" i="7"/>
  <c r="H702" i="7"/>
  <c r="H716" i="7"/>
  <c r="H717" i="7"/>
  <c r="H723" i="7"/>
  <c r="H1387" i="7"/>
  <c r="H533" i="7"/>
  <c r="H923" i="7"/>
  <c r="H1186" i="7"/>
  <c r="H1536" i="7"/>
  <c r="H592" i="7"/>
  <c r="H593" i="7"/>
  <c r="H787" i="7"/>
  <c r="H788" i="7"/>
  <c r="H789" i="7"/>
  <c r="H790" i="7"/>
  <c r="H791" i="7"/>
  <c r="H1143" i="7"/>
  <c r="H594" i="7"/>
  <c r="H595" i="7"/>
  <c r="H534" i="7"/>
  <c r="H924" i="7"/>
  <c r="H925" i="7"/>
  <c r="H926" i="7"/>
  <c r="H535" i="7"/>
  <c r="H536" i="7"/>
  <c r="H537" i="7"/>
  <c r="H538" i="7"/>
  <c r="H539" i="7"/>
  <c r="H540" i="7"/>
  <c r="H541" i="7"/>
  <c r="H542" i="7"/>
  <c r="H543" i="7"/>
  <c r="H544" i="7"/>
  <c r="H545" i="7"/>
  <c r="H546" i="7"/>
  <c r="H1388" i="7"/>
  <c r="H792" i="7"/>
  <c r="H1455" i="7"/>
  <c r="H927" i="7"/>
  <c r="H928" i="7"/>
  <c r="H929" i="7"/>
  <c r="H108" i="7"/>
  <c r="H793" i="7"/>
  <c r="H794" i="7"/>
  <c r="H795" i="7"/>
  <c r="H109" i="7"/>
  <c r="H110" i="7"/>
  <c r="H111" i="7"/>
  <c r="H1389" i="7"/>
  <c r="H1390" i="7"/>
  <c r="H1391" i="7"/>
  <c r="H1392" i="7"/>
  <c r="H1393" i="7"/>
  <c r="H1394" i="7"/>
  <c r="H1395" i="7"/>
  <c r="H218" i="7"/>
  <c r="H219" i="7"/>
  <c r="H220" i="7"/>
  <c r="H1144" i="7"/>
  <c r="H1145" i="7"/>
  <c r="H221" i="7"/>
  <c r="H257" i="7"/>
  <c r="H258" i="7"/>
  <c r="H259" i="7"/>
  <c r="H112" i="7"/>
  <c r="H1396" i="7"/>
  <c r="H222" i="7"/>
  <c r="H796" i="7"/>
  <c r="H107" i="7"/>
  <c r="H797" i="7"/>
  <c r="H921" i="7"/>
  <c r="H922" i="7"/>
  <c r="H547" i="7"/>
  <c r="H548" i="7"/>
  <c r="H549" i="7"/>
  <c r="H1397" i="7"/>
  <c r="H1398" i="7"/>
  <c r="H1399" i="7"/>
  <c r="H260" i="7"/>
  <c r="H930" i="7"/>
  <c r="H223" i="7"/>
  <c r="H931" i="7"/>
  <c r="H550" i="7"/>
  <c r="H1400" i="7"/>
  <c r="H113" i="7"/>
  <c r="H114" i="7"/>
  <c r="H261" i="7"/>
  <c r="H262" i="7"/>
  <c r="H263" i="7"/>
  <c r="H115" i="7"/>
  <c r="H116" i="7"/>
  <c r="H117" i="7"/>
  <c r="H118" i="7"/>
  <c r="H798" i="7"/>
  <c r="H224" i="7"/>
  <c r="H596" i="7"/>
  <c r="H1181" i="7"/>
  <c r="H1497" i="7"/>
  <c r="H119" i="7"/>
  <c r="H120" i="7"/>
  <c r="H121" i="7"/>
  <c r="H122" i="7"/>
  <c r="H932" i="7"/>
  <c r="H123" i="7"/>
  <c r="H124" i="7"/>
  <c r="H933" i="7"/>
  <c r="H934" i="7"/>
  <c r="H935" i="7"/>
  <c r="H936" i="7"/>
  <c r="H937" i="7"/>
  <c r="H938" i="7"/>
  <c r="H939" i="7"/>
  <c r="H940" i="7"/>
  <c r="H941" i="7"/>
  <c r="H942" i="7"/>
  <c r="H943" i="7"/>
  <c r="H1401" i="7"/>
  <c r="H125" i="7"/>
  <c r="H126" i="7"/>
  <c r="H127" i="7"/>
  <c r="H1146" i="7"/>
  <c r="H128" i="7"/>
  <c r="H1147" i="7"/>
  <c r="H264" i="7"/>
  <c r="H1402" i="7"/>
  <c r="H265" i="7"/>
  <c r="H266" i="7"/>
  <c r="H551" i="7"/>
  <c r="H267" i="7"/>
  <c r="H268" i="7"/>
  <c r="H269" i="7"/>
  <c r="H270" i="7"/>
  <c r="H271" i="7"/>
  <c r="H272" i="7"/>
  <c r="H273" i="7"/>
  <c r="H274" i="7"/>
  <c r="H275" i="7"/>
  <c r="H276" i="7"/>
  <c r="H277" i="7"/>
  <c r="H278" i="7"/>
  <c r="H318" i="7"/>
  <c r="H319" i="7"/>
  <c r="H320" i="7"/>
  <c r="H321" i="7"/>
  <c r="H129" i="7"/>
  <c r="H888" i="7"/>
  <c r="H225" i="7"/>
  <c r="H1403" i="7"/>
  <c r="H1148" i="7"/>
  <c r="H799" i="7"/>
  <c r="H800" i="7"/>
  <c r="H1404" i="7"/>
  <c r="H1539" i="7"/>
  <c r="H1231" i="7"/>
  <c r="H1232" i="7"/>
  <c r="H1233" i="7"/>
  <c r="H552" i="7"/>
  <c r="H1149" i="7"/>
  <c r="H801" i="7"/>
  <c r="H802" i="7"/>
  <c r="H803" i="7"/>
  <c r="H160" i="7"/>
  <c r="H553" i="7"/>
  <c r="H279" i="7"/>
  <c r="H280" i="7"/>
  <c r="H372" i="7"/>
  <c r="H373" i="7"/>
  <c r="H374" i="7"/>
  <c r="H375" i="7"/>
  <c r="H376" i="7"/>
  <c r="H377" i="7"/>
  <c r="H378" i="7"/>
  <c r="H379" i="7"/>
  <c r="H380" i="7"/>
  <c r="H381" i="7"/>
  <c r="H382" i="7"/>
  <c r="H383" i="7"/>
  <c r="H598" i="7"/>
  <c r="H1182" i="7"/>
  <c r="H384" i="7"/>
  <c r="H385" i="7"/>
  <c r="H386" i="7"/>
  <c r="H1498" i="7"/>
  <c r="H1499" i="7"/>
  <c r="H1500" i="7"/>
  <c r="H1501" i="7"/>
  <c r="H1502" i="7"/>
  <c r="H1503" i="7"/>
  <c r="H1504" i="7"/>
  <c r="H1505" i="7"/>
  <c r="H1506" i="7"/>
  <c r="H1507" i="7"/>
  <c r="H1508" i="7"/>
  <c r="H1509" i="7"/>
  <c r="H1510" i="7"/>
  <c r="H1511" i="7"/>
  <c r="H1540" i="7"/>
  <c r="H411" i="7"/>
  <c r="H226" i="7"/>
  <c r="H1541" i="7"/>
  <c r="H1405" i="7"/>
  <c r="H281" i="7"/>
  <c r="H282" i="7"/>
  <c r="H412" i="7"/>
  <c r="H1150" i="7"/>
  <c r="H944" i="7"/>
  <c r="H804" i="7"/>
  <c r="H387" i="7"/>
  <c r="H388" i="7"/>
  <c r="H227" i="7"/>
  <c r="H1406" i="7"/>
  <c r="H554" i="7"/>
  <c r="H1456" i="7"/>
  <c r="H322" i="7"/>
  <c r="H945" i="7"/>
  <c r="H1512" i="7"/>
  <c r="H1513" i="7"/>
  <c r="H805" i="7"/>
  <c r="H806" i="7"/>
  <c r="H555" i="7"/>
  <c r="H228" i="7"/>
  <c r="H130" i="7"/>
  <c r="H1407" i="7"/>
  <c r="H1183" i="7"/>
  <c r="H599" i="7"/>
  <c r="H807" i="7"/>
  <c r="H946" i="7"/>
  <c r="H808" i="7"/>
  <c r="H809" i="7"/>
  <c r="H556" i="7"/>
  <c r="H1408" i="7"/>
  <c r="H557" i="7"/>
  <c r="H558" i="7"/>
  <c r="H559" i="7"/>
  <c r="H560" i="7"/>
  <c r="H1409" i="7"/>
  <c r="H1410" i="7"/>
  <c r="H1411" i="7"/>
  <c r="H1412" i="7"/>
  <c r="H1413" i="7"/>
  <c r="H1414" i="7"/>
  <c r="H1415" i="7"/>
  <c r="H1416" i="7"/>
  <c r="H1417" i="7"/>
  <c r="H810" i="7"/>
  <c r="H811" i="7"/>
  <c r="H812" i="7"/>
  <c r="H813" i="7"/>
  <c r="H814" i="7"/>
  <c r="H815" i="7"/>
  <c r="H816" i="7"/>
  <c r="H817" i="7"/>
  <c r="H818" i="7"/>
  <c r="H819" i="7"/>
  <c r="H820" i="7"/>
  <c r="H131" i="7"/>
  <c r="H1418" i="7"/>
  <c r="H1419" i="7"/>
  <c r="H600" i="7"/>
  <c r="H601" i="7"/>
  <c r="H602" i="7"/>
  <c r="H603" i="7"/>
  <c r="H889" i="7"/>
  <c r="H1542" i="7"/>
  <c r="H1543" i="7"/>
  <c r="H1544" i="7"/>
  <c r="H821" i="7"/>
  <c r="H822" i="7"/>
  <c r="H561" i="7"/>
  <c r="H1514" i="7"/>
  <c r="H1515" i="7"/>
  <c r="H1420" i="7"/>
  <c r="H1234" i="7"/>
  <c r="H283" i="7"/>
  <c r="H132" i="7"/>
  <c r="H229" i="7"/>
  <c r="H1421" i="7"/>
  <c r="H230" i="7"/>
  <c r="H231" i="7"/>
  <c r="H232" i="7"/>
  <c r="H823" i="7"/>
  <c r="H133" i="7"/>
  <c r="H1422" i="7"/>
  <c r="H824" i="7"/>
  <c r="H947" i="7"/>
  <c r="H825" i="7"/>
  <c r="H233" i="7"/>
  <c r="H1423" i="7"/>
  <c r="H1172" i="7"/>
  <c r="H979" i="7"/>
  <c r="H980" i="7"/>
  <c r="H981" i="7"/>
  <c r="H982" i="7"/>
  <c r="H413" i="7"/>
  <c r="H414" i="7"/>
  <c r="H983" i="7"/>
  <c r="H984" i="7"/>
  <c r="H985" i="7"/>
  <c r="H986" i="7"/>
  <c r="H987" i="7"/>
  <c r="H988" i="7"/>
  <c r="H989" i="7"/>
  <c r="H990" i="7"/>
  <c r="H991" i="7"/>
  <c r="H992" i="7"/>
  <c r="H993" i="7"/>
  <c r="H994" i="7"/>
  <c r="H995" i="7"/>
  <c r="H996" i="7"/>
  <c r="H997" i="7"/>
  <c r="H998" i="7"/>
  <c r="H999" i="7"/>
  <c r="H562" i="7"/>
  <c r="H1424" i="7"/>
  <c r="H1425" i="7"/>
  <c r="H1426" i="7"/>
  <c r="H1427" i="7"/>
  <c r="H1428" i="7"/>
  <c r="H134" i="7"/>
  <c r="H826" i="7"/>
  <c r="H563" i="7"/>
  <c r="H827" i="7"/>
  <c r="H1000" i="7"/>
  <c r="H135" i="7"/>
  <c r="H323" i="7"/>
  <c r="H324" i="7"/>
  <c r="H948" i="7"/>
  <c r="H949" i="7"/>
  <c r="H564" i="7"/>
  <c r="H136" i="7"/>
  <c r="H137" i="7"/>
  <c r="H138" i="7"/>
  <c r="H139" i="7"/>
  <c r="H1429" i="7"/>
  <c r="H950" i="7"/>
  <c r="H1545" i="7"/>
  <c r="H1546" i="7"/>
  <c r="H1516" i="7"/>
  <c r="H951" i="7"/>
  <c r="H952" i="7"/>
  <c r="H953" i="7"/>
  <c r="H954" i="7"/>
  <c r="H828" i="7"/>
  <c r="H1430" i="7"/>
  <c r="H1431" i="7"/>
  <c r="H1432" i="7"/>
  <c r="H1433" i="7"/>
  <c r="H1434" i="7"/>
  <c r="H1435" i="7"/>
  <c r="H1436" i="7"/>
  <c r="H1437" i="7"/>
  <c r="H605" i="7"/>
  <c r="H415" i="7"/>
  <c r="H1166" i="7"/>
  <c r="H1001" i="7"/>
  <c r="H1002" i="7"/>
  <c r="H1003" i="7"/>
  <c r="H1004" i="7"/>
  <c r="H1005" i="7"/>
  <c r="H1006" i="7"/>
  <c r="H1007" i="7"/>
  <c r="H1008" i="7"/>
  <c r="H1009" i="7"/>
  <c r="H1438" i="7"/>
  <c r="H1439" i="7"/>
  <c r="H1440" i="7"/>
  <c r="H565" i="7"/>
  <c r="H566" i="7"/>
  <c r="H567" i="7"/>
  <c r="H287" i="7"/>
  <c r="H234" i="7"/>
  <c r="H235" i="7"/>
  <c r="H236" i="7"/>
  <c r="H829" i="7"/>
  <c r="H830" i="7"/>
  <c r="H955" i="7"/>
  <c r="H288" i="7"/>
  <c r="H289" i="7"/>
  <c r="H290" i="7"/>
  <c r="H291" i="7"/>
  <c r="H292" i="7"/>
  <c r="H293" i="7"/>
  <c r="H294" i="7"/>
  <c r="H295" i="7"/>
  <c r="H296" i="7"/>
  <c r="H297" i="7"/>
  <c r="H298" i="7"/>
  <c r="G299" i="7"/>
  <c r="G300" i="7"/>
  <c r="G301" i="7"/>
  <c r="G302" i="7"/>
  <c r="G303" i="7"/>
  <c r="G304" i="7"/>
  <c r="G305" i="7"/>
  <c r="G306" i="7"/>
  <c r="G307" i="7"/>
  <c r="G308" i="7"/>
  <c r="G1273" i="7"/>
  <c r="G1274" i="7"/>
  <c r="G1275" i="7"/>
  <c r="G140" i="7"/>
  <c r="G141" i="7"/>
  <c r="G142" i="7"/>
  <c r="G143" i="7"/>
  <c r="G144" i="7"/>
  <c r="G1151" i="7"/>
  <c r="G1152" i="7"/>
  <c r="G1153" i="7"/>
  <c r="G1154" i="7"/>
  <c r="G1256" i="7"/>
  <c r="G1155" i="7"/>
  <c r="G237" i="7"/>
  <c r="G145" i="7"/>
  <c r="G1156" i="7"/>
  <c r="G1157" i="7"/>
  <c r="G1158" i="7"/>
  <c r="G146" i="7"/>
  <c r="G568" i="7"/>
  <c r="G147" i="7"/>
  <c r="G148" i="7"/>
  <c r="G149" i="7"/>
  <c r="G150" i="7"/>
  <c r="G1159" i="7"/>
  <c r="G1235" i="7"/>
  <c r="G1160" i="7"/>
  <c r="G1276" i="7"/>
  <c r="G1277" i="7"/>
  <c r="G1278" i="7"/>
  <c r="G1173" i="7"/>
  <c r="G1176" i="7"/>
  <c r="G1174" i="7"/>
  <c r="G1180" i="7"/>
  <c r="G238" i="7"/>
  <c r="G239" i="7"/>
  <c r="G240" i="7"/>
  <c r="G241" i="7"/>
  <c r="G242" i="7"/>
  <c r="G243" i="7"/>
  <c r="G244" i="7"/>
  <c r="G245" i="7"/>
  <c r="G956" i="7"/>
  <c r="G957" i="7"/>
  <c r="G958" i="7"/>
  <c r="G959" i="7"/>
  <c r="G389" i="7"/>
  <c r="G390" i="7"/>
  <c r="G391" i="7"/>
  <c r="G392" i="7"/>
  <c r="G393" i="7"/>
  <c r="G394" i="7"/>
  <c r="G395" i="7"/>
  <c r="G396" i="7"/>
  <c r="G397" i="7"/>
  <c r="G398" i="7"/>
  <c r="G399" i="7"/>
  <c r="G400" i="7"/>
  <c r="G401" i="7"/>
  <c r="G402" i="7"/>
  <c r="G1441" i="7"/>
  <c r="G152" i="7"/>
  <c r="G1161" i="7"/>
  <c r="G1517" i="7"/>
  <c r="G1470" i="7"/>
  <c r="G1518" i="7"/>
  <c r="G1471" i="7"/>
  <c r="G1519" i="7"/>
  <c r="G1520" i="7"/>
  <c r="G1521" i="7"/>
  <c r="G1522" i="7"/>
  <c r="G1523" i="7"/>
  <c r="G1524" i="7"/>
  <c r="G1525" i="7"/>
  <c r="G416" i="7"/>
  <c r="G417" i="7"/>
  <c r="G154" i="7"/>
  <c r="G155" i="7"/>
  <c r="G34" i="7"/>
  <c r="G156" i="7"/>
  <c r="G157" i="7"/>
  <c r="G158" i="7"/>
  <c r="G831" i="7"/>
  <c r="G832" i="7"/>
  <c r="G1547" i="7"/>
  <c r="G1548" i="7"/>
  <c r="G1549" i="7"/>
  <c r="G569" i="7"/>
  <c r="G570" i="7"/>
  <c r="G960" i="7"/>
  <c r="G161" i="7"/>
  <c r="G162" i="7"/>
  <c r="G163" i="7"/>
  <c r="G164" i="7"/>
  <c r="G2" i="7"/>
  <c r="G1177" i="7"/>
  <c r="G1167" i="7"/>
  <c r="G1281" i="7"/>
  <c r="G3" i="7"/>
  <c r="G4" i="7"/>
  <c r="G5" i="7"/>
  <c r="G6" i="7"/>
  <c r="G1187" i="7"/>
  <c r="G833" i="7"/>
  <c r="G7" i="7"/>
  <c r="G1010" i="7"/>
  <c r="G1282" i="7"/>
  <c r="G1283" i="7"/>
  <c r="G1284" i="7"/>
  <c r="G834" i="7"/>
  <c r="G418" i="7"/>
  <c r="G8" i="7"/>
  <c r="G9" i="7"/>
  <c r="G10" i="7"/>
  <c r="G11" i="7"/>
  <c r="G12" i="7"/>
  <c r="G13" i="7"/>
  <c r="G14" i="7"/>
  <c r="G15" i="7"/>
  <c r="G286" i="7"/>
  <c r="G16" i="7"/>
  <c r="G17" i="7"/>
  <c r="G18" i="7"/>
  <c r="G19" i="7"/>
  <c r="G20" i="7"/>
  <c r="G21" i="7"/>
  <c r="G1457" i="7"/>
  <c r="G961" i="7"/>
  <c r="G1285" i="7"/>
  <c r="G1286" i="7"/>
  <c r="G1287" i="7"/>
  <c r="G1288" i="7"/>
  <c r="G1289" i="7"/>
  <c r="G1443" i="7"/>
  <c r="G403" i="7"/>
  <c r="G962" i="7"/>
  <c r="G22" i="7"/>
  <c r="G106" i="7"/>
  <c r="G835" i="7"/>
  <c r="G419" i="7"/>
  <c r="G420" i="7"/>
  <c r="G574" i="7"/>
  <c r="G404" i="7"/>
  <c r="G421" i="7"/>
  <c r="G1290" i="7"/>
  <c r="G1291" i="7"/>
  <c r="G575" i="7"/>
  <c r="G576" i="7"/>
  <c r="G577" i="7"/>
  <c r="G836" i="7"/>
  <c r="G837" i="7"/>
  <c r="G1292" i="7"/>
  <c r="G1293" i="7"/>
  <c r="G422" i="7"/>
  <c r="G423" i="7"/>
  <c r="G424" i="7"/>
  <c r="G838" i="7"/>
  <c r="G1294" i="7"/>
  <c r="G1295" i="7"/>
  <c r="G839" i="7"/>
  <c r="G23" i="7"/>
  <c r="G1168" i="7"/>
  <c r="G325" i="7"/>
  <c r="G326" i="7"/>
  <c r="G327" i="7"/>
  <c r="G1296" i="7"/>
  <c r="G1297" i="7"/>
  <c r="G328" i="7"/>
  <c r="G329" i="7"/>
  <c r="G330" i="7"/>
  <c r="G1162" i="7"/>
  <c r="G578" i="7"/>
  <c r="G617" i="7"/>
  <c r="G618" i="7"/>
  <c r="G24" i="7"/>
  <c r="G347" i="7"/>
  <c r="G331" i="7"/>
  <c r="G619" i="7"/>
  <c r="G165" i="7"/>
  <c r="G963" i="7"/>
  <c r="G1298" i="7"/>
  <c r="G840" i="7"/>
  <c r="G1190" i="7"/>
  <c r="G425" i="7"/>
  <c r="G620" i="7"/>
  <c r="G1229" i="7"/>
  <c r="G1230" i="7"/>
  <c r="G426" i="7"/>
  <c r="G622" i="7"/>
  <c r="G1257" i="7"/>
  <c r="G606" i="7"/>
  <c r="G1299" i="7"/>
  <c r="G1300" i="7"/>
  <c r="G1301" i="7"/>
  <c r="G427" i="7"/>
  <c r="G1011" i="7"/>
  <c r="G1012" i="7"/>
  <c r="G1013" i="7"/>
  <c r="G1014" i="7"/>
  <c r="G166" i="7"/>
  <c r="G167" i="7"/>
  <c r="G168" i="7"/>
  <c r="G169" i="7"/>
  <c r="G170" i="7"/>
  <c r="G1458" i="7"/>
  <c r="G1015" i="7"/>
  <c r="G1016" i="7"/>
  <c r="G1017" i="7"/>
  <c r="G1018" i="7"/>
  <c r="G1019" i="7"/>
  <c r="G1020" i="7"/>
  <c r="G1021" i="7"/>
  <c r="G1022" i="7"/>
  <c r="G1023" i="7"/>
  <c r="G1024" i="7"/>
  <c r="G1025" i="7"/>
  <c r="G1026" i="7"/>
  <c r="G1027" i="7"/>
  <c r="G1028" i="7"/>
  <c r="G1029" i="7"/>
  <c r="G1030" i="7"/>
  <c r="G1031" i="7"/>
  <c r="G1032" i="7"/>
  <c r="G1033" i="7"/>
  <c r="G1459" i="7"/>
  <c r="G1034" i="7"/>
  <c r="G1035" i="7"/>
  <c r="G1036" i="7"/>
  <c r="G1037" i="7"/>
  <c r="G1038" i="7"/>
  <c r="G1039" i="7"/>
  <c r="G1040" i="7"/>
  <c r="G1041" i="7"/>
  <c r="G1042" i="7"/>
  <c r="G1043" i="7"/>
  <c r="G1044" i="7"/>
  <c r="G1045" i="7"/>
  <c r="G1046" i="7"/>
  <c r="G284" i="7"/>
  <c r="G1047" i="7"/>
  <c r="G1048" i="7"/>
  <c r="G25" i="7"/>
  <c r="G841" i="7"/>
  <c r="G26" i="7"/>
  <c r="G27" i="7"/>
  <c r="G28" i="7"/>
  <c r="G29" i="7"/>
  <c r="G842" i="7"/>
  <c r="G1444" i="7"/>
  <c r="G1302" i="7"/>
  <c r="G623" i="7"/>
  <c r="G624" i="7"/>
  <c r="G30" i="7"/>
  <c r="G31" i="7"/>
  <c r="G1303" i="7"/>
  <c r="G1304" i="7"/>
  <c r="G405" i="7"/>
  <c r="G1305" i="7"/>
  <c r="G1306" i="7"/>
  <c r="G1307" i="7"/>
  <c r="G1308" i="7"/>
  <c r="G1309" i="7"/>
  <c r="G1310" i="7"/>
  <c r="G1311" i="7"/>
  <c r="G1192" i="7"/>
  <c r="G1312" i="7"/>
  <c r="G1313" i="7"/>
  <c r="G1314" i="7"/>
  <c r="G1315" i="7"/>
  <c r="G171" i="7"/>
  <c r="G1460" i="7"/>
  <c r="G579" i="7"/>
  <c r="G172" i="7"/>
  <c r="G173" i="7"/>
  <c r="G174" i="7"/>
  <c r="G175" i="7"/>
  <c r="G176" i="7"/>
  <c r="G177" i="7"/>
  <c r="G32" i="7"/>
  <c r="G178" i="7"/>
  <c r="G843" i="7"/>
  <c r="G844" i="7"/>
  <c r="G845" i="7"/>
  <c r="G846" i="7"/>
  <c r="G1236" i="7"/>
  <c r="G1237" i="7"/>
  <c r="G1526" i="7"/>
  <c r="G428" i="7"/>
  <c r="G1445" i="7"/>
  <c r="G1316" i="7"/>
  <c r="G1317" i="7"/>
  <c r="G429" i="7"/>
  <c r="G430" i="7"/>
  <c r="G431" i="7"/>
  <c r="G847" i="7"/>
  <c r="G625" i="7"/>
  <c r="G626" i="7"/>
  <c r="G627" i="7"/>
  <c r="G628" i="7"/>
  <c r="G629" i="7"/>
  <c r="G580" i="7"/>
  <c r="G1527" i="7"/>
  <c r="G607" i="7"/>
  <c r="G608" i="7"/>
  <c r="G609" i="7"/>
  <c r="G630" i="7"/>
  <c r="G631" i="7"/>
  <c r="G632" i="7"/>
  <c r="G633" i="7"/>
  <c r="G179" i="7"/>
  <c r="G634" i="7"/>
  <c r="G635" i="7"/>
  <c r="G636" i="7"/>
  <c r="G637" i="7"/>
  <c r="G638" i="7"/>
  <c r="G1163" i="7"/>
  <c r="G1461" i="7"/>
  <c r="G1462" i="7"/>
  <c r="G1463" i="7"/>
  <c r="G1464" i="7"/>
  <c r="G1465" i="7"/>
  <c r="G1466" i="7"/>
  <c r="G1467" i="7"/>
  <c r="G1468" i="7"/>
  <c r="G1469" i="7"/>
  <c r="G1164" i="7"/>
  <c r="G432" i="7"/>
  <c r="G433" i="7"/>
  <c r="G1318" i="7"/>
  <c r="G848" i="7"/>
  <c r="G849" i="7"/>
  <c r="G434" i="7"/>
  <c r="G435" i="7"/>
  <c r="G334" i="7"/>
  <c r="G335" i="7"/>
  <c r="G336" i="7"/>
  <c r="G337" i="7"/>
  <c r="G340" i="7"/>
  <c r="G341" i="7"/>
  <c r="G342" i="7"/>
  <c r="G343" i="7"/>
  <c r="G344" i="7"/>
  <c r="G345" i="7"/>
  <c r="G348" i="7"/>
  <c r="G349" i="7"/>
  <c r="G1528" i="7"/>
  <c r="G581" i="7"/>
  <c r="G1169" i="7"/>
  <c r="G1184" i="7"/>
  <c r="G1175" i="7"/>
  <c r="G1193" i="7"/>
  <c r="G1194" i="7"/>
  <c r="G1049" i="7"/>
  <c r="G1050" i="7"/>
  <c r="G1051" i="7"/>
  <c r="G1052" i="7"/>
  <c r="G1053" i="7"/>
  <c r="G1054" i="7"/>
  <c r="G1055" i="7"/>
  <c r="G1195" i="7"/>
  <c r="G1196" i="7"/>
  <c r="G1197" i="7"/>
  <c r="G582" i="7"/>
  <c r="G583" i="7"/>
  <c r="G964" i="7"/>
  <c r="G350" i="7"/>
  <c r="G351" i="7"/>
  <c r="G352" i="7"/>
  <c r="G436" i="7"/>
  <c r="G1472" i="7"/>
  <c r="G1473" i="7"/>
  <c r="G1474" i="7"/>
  <c r="G1475" i="7"/>
  <c r="G1056" i="7"/>
  <c r="G180" i="7"/>
  <c r="G650" i="7"/>
  <c r="G1319" i="7"/>
  <c r="G1320" i="7"/>
  <c r="G1321" i="7"/>
  <c r="G1198" i="7"/>
  <c r="G1322" i="7"/>
  <c r="G1323" i="7"/>
  <c r="G1238" i="7"/>
  <c r="G1239" i="7"/>
  <c r="G1324" i="7"/>
  <c r="G1325" i="7"/>
  <c r="G1326" i="7"/>
  <c r="G1327" i="7"/>
  <c r="G1328" i="7"/>
  <c r="G1329" i="7"/>
  <c r="G1330" i="7"/>
  <c r="G1331" i="7"/>
  <c r="G35" i="7"/>
  <c r="G36" i="7"/>
  <c r="G37" i="7"/>
  <c r="G406" i="7"/>
  <c r="G38" i="7"/>
  <c r="G1258" i="7"/>
  <c r="G1057" i="7"/>
  <c r="G610" i="7"/>
  <c r="G611" i="7"/>
  <c r="G612" i="7"/>
  <c r="G651" i="7"/>
  <c r="G850" i="7"/>
  <c r="G1199" i="7"/>
  <c r="G39" i="7"/>
  <c r="G1058" i="7"/>
  <c r="G1059" i="7"/>
  <c r="G1060" i="7"/>
  <c r="G1061" i="7"/>
  <c r="G1062" i="7"/>
  <c r="G1063" i="7"/>
  <c r="G1064" i="7"/>
  <c r="G1476" i="7"/>
  <c r="G1332" i="7"/>
  <c r="G1333" i="7"/>
  <c r="G1334" i="7"/>
  <c r="G1335" i="7"/>
  <c r="G1336" i="7"/>
  <c r="G652" i="7"/>
  <c r="G653" i="7"/>
  <c r="G654" i="7"/>
  <c r="G1253" i="7"/>
  <c r="G1254" i="7"/>
  <c r="G437" i="7"/>
  <c r="G1259" i="7"/>
  <c r="G1260" i="7"/>
  <c r="G1261" i="7"/>
  <c r="G1279" i="7"/>
  <c r="G40" i="7"/>
  <c r="G41" i="7"/>
  <c r="G438" i="7"/>
  <c r="G1337" i="7"/>
  <c r="G1240" i="7"/>
  <c r="G1338" i="7"/>
  <c r="G1065" i="7"/>
  <c r="G1066" i="7"/>
  <c r="G1067" i="7"/>
  <c r="G1068" i="7"/>
  <c r="G1069" i="7"/>
  <c r="G1070" i="7"/>
  <c r="G1071" i="7"/>
  <c r="G1072" i="7"/>
  <c r="G1073" i="7"/>
  <c r="G1074" i="7"/>
  <c r="G1075" i="7"/>
  <c r="G1076" i="7"/>
  <c r="G1077" i="7"/>
  <c r="G1078" i="7"/>
  <c r="G1079" i="7"/>
  <c r="G1080" i="7"/>
  <c r="G1081" i="7"/>
  <c r="G1082" i="7"/>
  <c r="G1083" i="7"/>
  <c r="G1084" i="7"/>
  <c r="G1085" i="7"/>
  <c r="G1086" i="7"/>
  <c r="G1446" i="7"/>
  <c r="G1447" i="7"/>
  <c r="G851" i="7"/>
  <c r="G658" i="7"/>
  <c r="G1087" i="7"/>
  <c r="G1088" i="7"/>
  <c r="G1477" i="7"/>
  <c r="G1262" i="7"/>
  <c r="G181" i="7"/>
  <c r="G1200" i="7"/>
  <c r="G1201" i="7"/>
  <c r="G1089" i="7"/>
  <c r="G1090" i="7"/>
  <c r="G1091" i="7"/>
  <c r="G1092" i="7"/>
  <c r="G1093" i="7"/>
  <c r="G1094" i="7"/>
  <c r="G1095" i="7"/>
  <c r="G613" i="7"/>
  <c r="G1339" i="7"/>
  <c r="G439" i="7"/>
  <c r="G440" i="7"/>
  <c r="G441" i="7"/>
  <c r="G442" i="7"/>
  <c r="G443" i="7"/>
  <c r="G506" i="7"/>
  <c r="G512" i="7"/>
  <c r="G332" i="7"/>
  <c r="G661" i="7"/>
  <c r="G42" i="7"/>
  <c r="G43" i="7"/>
  <c r="G44" i="7"/>
  <c r="G45" i="7"/>
  <c r="G1529" i="7"/>
  <c r="G1537" i="7"/>
  <c r="G664" i="7"/>
  <c r="G665" i="7"/>
  <c r="G648" i="7"/>
  <c r="G663" i="7"/>
  <c r="G660" i="7"/>
  <c r="G669" i="7"/>
  <c r="G670" i="7"/>
  <c r="G1241" i="7"/>
  <c r="G1242" i="7"/>
  <c r="G671" i="7"/>
  <c r="G1448" i="7"/>
  <c r="G407" i="7"/>
  <c r="G1202" i="7"/>
  <c r="G1203" i="7"/>
  <c r="G1204" i="7"/>
  <c r="G46" i="7"/>
  <c r="G47" i="7"/>
  <c r="G48" i="7"/>
  <c r="G49" i="7"/>
  <c r="G50" i="7"/>
  <c r="G182" i="7"/>
  <c r="G584" i="7"/>
  <c r="G1170" i="7"/>
  <c r="G1178" i="7"/>
  <c r="G1205" i="7"/>
  <c r="G183" i="7"/>
  <c r="G585" i="7"/>
  <c r="G852" i="7"/>
  <c r="G853" i="7"/>
  <c r="G51" i="7"/>
  <c r="G52" i="7"/>
  <c r="G309" i="7"/>
  <c r="G310" i="7"/>
  <c r="G444" i="7"/>
  <c r="G445" i="7"/>
  <c r="G333" i="7"/>
  <c r="G1340" i="7"/>
  <c r="G1341" i="7"/>
  <c r="G53" i="7"/>
  <c r="G54" i="7"/>
  <c r="G1206" i="7"/>
  <c r="G446" i="7"/>
  <c r="G55" i="7"/>
  <c r="G56" i="7"/>
  <c r="G1342" i="7"/>
  <c r="G1343" i="7"/>
  <c r="G1344" i="7"/>
  <c r="G1345" i="7"/>
  <c r="G1346" i="7"/>
  <c r="G1347" i="7"/>
  <c r="G1348" i="7"/>
  <c r="G1349" i="7"/>
  <c r="G1096" i="7"/>
  <c r="G1097" i="7"/>
  <c r="G1098" i="7"/>
  <c r="G1530" i="7"/>
  <c r="G1538" i="7"/>
  <c r="G447" i="7"/>
  <c r="G1350" i="7"/>
  <c r="G1351" i="7"/>
  <c r="G448" i="7"/>
  <c r="G449" i="7"/>
  <c r="G450" i="7"/>
  <c r="G451" i="7"/>
  <c r="G452" i="7"/>
  <c r="G453" i="7"/>
  <c r="G454" i="7"/>
  <c r="G455" i="7"/>
  <c r="G456" i="7"/>
  <c r="G1207" i="7"/>
  <c r="G457" i="7"/>
  <c r="G458" i="7"/>
  <c r="G459" i="7"/>
  <c r="G460" i="7"/>
  <c r="G1449" i="7"/>
  <c r="G461" i="7"/>
  <c r="G1208" i="7"/>
  <c r="G1209" i="7"/>
  <c r="G1210" i="7"/>
  <c r="G1211" i="7"/>
  <c r="G1219" i="7"/>
  <c r="G1220" i="7"/>
  <c r="G1188" i="7"/>
  <c r="G1189" i="7"/>
  <c r="G1191" i="7"/>
  <c r="G1212" i="7"/>
  <c r="G1213" i="7"/>
  <c r="G1263" i="7"/>
  <c r="G1264" i="7"/>
  <c r="G1265" i="7"/>
  <c r="G1352" i="7"/>
  <c r="G854" i="7"/>
  <c r="G855" i="7"/>
  <c r="G856" i="7"/>
  <c r="G857" i="7"/>
  <c r="G858" i="7"/>
  <c r="G33" i="7"/>
  <c r="G59" i="7"/>
  <c r="G60" i="7"/>
  <c r="G61" i="7"/>
  <c r="G62" i="7"/>
  <c r="G63" i="7"/>
  <c r="G64" i="7"/>
  <c r="G65" i="7"/>
  <c r="G66" i="7"/>
  <c r="G67" i="7"/>
  <c r="G68" i="7"/>
  <c r="G69" i="7"/>
  <c r="G70" i="7"/>
  <c r="G71" i="7"/>
  <c r="G72" i="7"/>
  <c r="G73" i="7"/>
  <c r="G74" i="7"/>
  <c r="G1214" i="7"/>
  <c r="G1353" i="7"/>
  <c r="G75" i="7"/>
  <c r="G462" i="7"/>
  <c r="G1354" i="7"/>
  <c r="G1099" i="7"/>
  <c r="G76" i="7"/>
  <c r="G1243" i="7"/>
  <c r="G1355" i="7"/>
  <c r="G1244" i="7"/>
  <c r="G1245" i="7"/>
  <c r="G1356" i="7"/>
  <c r="G674" i="7"/>
  <c r="G1478" i="7"/>
  <c r="G463" i="7"/>
  <c r="G464" i="7"/>
  <c r="G465" i="7"/>
  <c r="G1100" i="7"/>
  <c r="G965" i="7"/>
  <c r="G1357" i="7"/>
  <c r="G1450" i="7"/>
  <c r="G1101" i="7"/>
  <c r="G184" i="7"/>
  <c r="G185" i="7"/>
  <c r="G186" i="7"/>
  <c r="G187" i="7"/>
  <c r="G188" i="7"/>
  <c r="G189" i="7"/>
  <c r="G966" i="7"/>
  <c r="G675" i="7"/>
  <c r="G1165" i="7"/>
  <c r="G1358" i="7"/>
  <c r="G859" i="7"/>
  <c r="G860" i="7"/>
  <c r="G861" i="7"/>
  <c r="G676" i="7"/>
  <c r="G677" i="7"/>
  <c r="G678" i="7"/>
  <c r="G679" i="7"/>
  <c r="G680" i="7"/>
  <c r="G586" i="7"/>
  <c r="G862" i="7"/>
  <c r="G1102" i="7"/>
  <c r="G1215" i="7"/>
  <c r="G466" i="7"/>
  <c r="G338" i="7"/>
  <c r="G339" i="7"/>
  <c r="G1359" i="7"/>
  <c r="G467" i="7"/>
  <c r="G468" i="7"/>
  <c r="G469" i="7"/>
  <c r="G470" i="7"/>
  <c r="G1360" i="7"/>
  <c r="G681" i="7"/>
  <c r="G1361" i="7"/>
  <c r="G572" i="7"/>
  <c r="G573" i="7"/>
  <c r="G571" i="7"/>
  <c r="G311" i="7"/>
  <c r="G312" i="7"/>
  <c r="G313" i="7"/>
  <c r="G314" i="7"/>
  <c r="G1216" i="7"/>
  <c r="G1217" i="7"/>
  <c r="G1362" i="7"/>
  <c r="G471" i="7"/>
  <c r="G863" i="7"/>
  <c r="G1363" i="7"/>
  <c r="G1364" i="7"/>
  <c r="G408" i="7"/>
  <c r="G1365" i="7"/>
  <c r="G472" i="7"/>
  <c r="G473" i="7"/>
  <c r="G474" i="7"/>
  <c r="G475" i="7"/>
  <c r="G476" i="7"/>
  <c r="G477" i="7"/>
  <c r="G478" i="7"/>
  <c r="G479" i="7"/>
  <c r="G480" i="7"/>
  <c r="G481" i="7"/>
  <c r="G482" i="7"/>
  <c r="G483" i="7"/>
  <c r="G1103" i="7"/>
  <c r="G587" i="7"/>
  <c r="G614" i="7"/>
  <c r="G615" i="7"/>
  <c r="G616" i="7"/>
  <c r="G1246" i="7"/>
  <c r="G1247" i="7"/>
  <c r="G1248" i="7"/>
  <c r="G1249" i="7"/>
  <c r="G1250" i="7"/>
  <c r="G1251" i="7"/>
  <c r="G1252" i="7"/>
  <c r="G484" i="7"/>
  <c r="G485" i="7"/>
  <c r="G682" i="7"/>
  <c r="G683" i="7"/>
  <c r="G684" i="7"/>
  <c r="G685" i="7"/>
  <c r="G756" i="7"/>
  <c r="G864" i="7"/>
  <c r="G77" i="7"/>
  <c r="G1451" i="7"/>
  <c r="G190" i="7"/>
  <c r="G191" i="7"/>
  <c r="G192" i="7"/>
  <c r="G193" i="7"/>
  <c r="G194" i="7"/>
  <c r="G486" i="7"/>
  <c r="G487" i="7"/>
  <c r="G488" i="7"/>
  <c r="G489" i="7"/>
  <c r="G490" i="7"/>
  <c r="G1218" i="7"/>
  <c r="G491" i="7"/>
  <c r="G492" i="7"/>
  <c r="G493" i="7"/>
  <c r="G1266" i="7"/>
  <c r="G1267" i="7"/>
  <c r="G1280" i="7"/>
  <c r="G686" i="7"/>
  <c r="G1452" i="7"/>
  <c r="G195" i="7"/>
  <c r="G78" i="7"/>
  <c r="G79" i="7"/>
  <c r="G1453" i="7"/>
  <c r="G494" i="7"/>
  <c r="G687" i="7"/>
  <c r="G667" i="7"/>
  <c r="G672" i="7"/>
  <c r="G646" i="7"/>
  <c r="G621" i="7"/>
  <c r="G642" i="7"/>
  <c r="G640" i="7"/>
  <c r="G688" i="7"/>
  <c r="G655" i="7"/>
  <c r="G662" i="7"/>
  <c r="G644" i="7"/>
  <c r="G657" i="7"/>
  <c r="G689" i="7"/>
  <c r="G690" i="7"/>
  <c r="G691" i="7"/>
  <c r="G692" i="7"/>
  <c r="G693" i="7"/>
  <c r="G80" i="7"/>
  <c r="G694" i="7"/>
  <c r="G695" i="7"/>
  <c r="G696" i="7"/>
  <c r="G697" i="7"/>
  <c r="G346" i="7"/>
  <c r="G81" i="7"/>
  <c r="G82" i="7"/>
  <c r="G285" i="7"/>
  <c r="G83" i="7"/>
  <c r="G84" i="7"/>
  <c r="G196" i="7"/>
  <c r="G495" i="7"/>
  <c r="G668" i="7"/>
  <c r="G673" i="7"/>
  <c r="G647" i="7"/>
  <c r="G639" i="7"/>
  <c r="G643" i="7"/>
  <c r="G641" i="7"/>
  <c r="G649" i="7"/>
  <c r="G656" i="7"/>
  <c r="G700" i="7"/>
  <c r="G701" i="7"/>
  <c r="G666" i="7"/>
  <c r="G496" i="7"/>
  <c r="G497" i="7"/>
  <c r="G498" i="7"/>
  <c r="G1221" i="7"/>
  <c r="G588" i="7"/>
  <c r="G353" i="7"/>
  <c r="G85" i="7"/>
  <c r="G1104" i="7"/>
  <c r="G86" i="7"/>
  <c r="G87" i="7"/>
  <c r="G88" i="7"/>
  <c r="G89" i="7"/>
  <c r="G90" i="7"/>
  <c r="G91" i="7"/>
  <c r="G499" i="7"/>
  <c r="G1268" i="7"/>
  <c r="G1269" i="7"/>
  <c r="G1270" i="7"/>
  <c r="G1222" i="7"/>
  <c r="G703" i="7"/>
  <c r="G704" i="7"/>
  <c r="G1105" i="7"/>
  <c r="G589" i="7"/>
  <c r="G1106" i="7"/>
  <c r="G865" i="7"/>
  <c r="G246" i="7"/>
  <c r="G247" i="7"/>
  <c r="G248" i="7"/>
  <c r="G1271" i="7"/>
  <c r="G1107" i="7"/>
  <c r="G1108" i="7"/>
  <c r="G1109" i="7"/>
  <c r="G705" i="7"/>
  <c r="G706" i="7"/>
  <c r="G707" i="7"/>
  <c r="G708" i="7"/>
  <c r="G709" i="7"/>
  <c r="G710" i="7"/>
  <c r="G711" i="7"/>
  <c r="G1479" i="7"/>
  <c r="G1480" i="7"/>
  <c r="G1481" i="7"/>
  <c r="G1482" i="7"/>
  <c r="G1483" i="7"/>
  <c r="G1484" i="7"/>
  <c r="G1485" i="7"/>
  <c r="G1486" i="7"/>
  <c r="G1487" i="7"/>
  <c r="G1366" i="7"/>
  <c r="G500" i="7"/>
  <c r="G501" i="7"/>
  <c r="G354" i="7"/>
  <c r="G249" i="7"/>
  <c r="G250" i="7"/>
  <c r="G1223" i="7"/>
  <c r="G251" i="7"/>
  <c r="G252" i="7"/>
  <c r="G712" i="7"/>
  <c r="G713" i="7"/>
  <c r="G714" i="7"/>
  <c r="G1531" i="7"/>
  <c r="G715" i="7"/>
  <c r="G151" i="7"/>
  <c r="G57" i="7"/>
  <c r="G1110" i="7"/>
  <c r="G1367" i="7"/>
  <c r="G1368" i="7"/>
  <c r="G1532" i="7"/>
  <c r="G1111" i="7"/>
  <c r="G1171" i="7"/>
  <c r="G718" i="7"/>
  <c r="G866" i="7"/>
  <c r="G719" i="7"/>
  <c r="G720" i="7"/>
  <c r="G721" i="7"/>
  <c r="G867" i="7"/>
  <c r="G722" i="7"/>
  <c r="G645" i="7"/>
  <c r="G724" i="7"/>
  <c r="G725" i="7"/>
  <c r="G659" i="7"/>
  <c r="G726" i="7"/>
  <c r="G1488" i="7"/>
  <c r="G1112" i="7"/>
  <c r="G1113" i="7"/>
  <c r="G1114" i="7"/>
  <c r="G1115" i="7"/>
  <c r="G1116" i="7"/>
  <c r="G1370" i="7"/>
  <c r="G868" i="7"/>
  <c r="G869" i="7"/>
  <c r="G1185" i="7"/>
  <c r="G197" i="7"/>
  <c r="G198" i="7"/>
  <c r="G199" i="7"/>
  <c r="G502" i="7"/>
  <c r="G503" i="7"/>
  <c r="G355" i="7"/>
  <c r="G356" i="7"/>
  <c r="G357" i="7"/>
  <c r="G358" i="7"/>
  <c r="G359" i="7"/>
  <c r="G727" i="7"/>
  <c r="G1117" i="7"/>
  <c r="G504" i="7"/>
  <c r="G505" i="7"/>
  <c r="G870" i="7"/>
  <c r="G1272" i="7"/>
  <c r="G728" i="7"/>
  <c r="G92" i="7"/>
  <c r="G93" i="7"/>
  <c r="G94" i="7"/>
  <c r="G729" i="7"/>
  <c r="G730" i="7"/>
  <c r="G871" i="7"/>
  <c r="G872" i="7"/>
  <c r="G873" i="7"/>
  <c r="G874" i="7"/>
  <c r="G875" i="7"/>
  <c r="G876" i="7"/>
  <c r="G877" i="7"/>
  <c r="G878" i="7"/>
  <c r="G879" i="7"/>
  <c r="G1224" i="7"/>
  <c r="G731" i="7"/>
  <c r="G880" i="7"/>
  <c r="G881" i="7"/>
  <c r="G1489" i="7"/>
  <c r="G1490" i="7"/>
  <c r="G732" i="7"/>
  <c r="G733" i="7"/>
  <c r="G734" i="7"/>
  <c r="G735" i="7"/>
  <c r="G736" i="7"/>
  <c r="G737" i="7"/>
  <c r="G738" i="7"/>
  <c r="G739" i="7"/>
  <c r="G785" i="7"/>
  <c r="G786" i="7"/>
  <c r="G507" i="7"/>
  <c r="G508" i="7"/>
  <c r="G253" i="7"/>
  <c r="G509" i="7"/>
  <c r="G510" i="7"/>
  <c r="G511" i="7"/>
  <c r="G95" i="7"/>
  <c r="G1533" i="7"/>
  <c r="G360" i="7"/>
  <c r="G882" i="7"/>
  <c r="G883" i="7"/>
  <c r="G764" i="7"/>
  <c r="G1372" i="7"/>
  <c r="G315" i="7"/>
  <c r="G884" i="7"/>
  <c r="G885" i="7"/>
  <c r="G200" i="7"/>
  <c r="G201" i="7"/>
  <c r="G886" i="7"/>
  <c r="G361" i="7"/>
  <c r="G967" i="7"/>
  <c r="G513" i="7"/>
  <c r="G514" i="7"/>
  <c r="G515" i="7"/>
  <c r="G516" i="7"/>
  <c r="G517" i="7"/>
  <c r="G316" i="7"/>
  <c r="G202" i="7"/>
  <c r="G887" i="7"/>
  <c r="G518" i="7"/>
  <c r="G519" i="7"/>
  <c r="G1373" i="7"/>
  <c r="G1369" i="7"/>
  <c r="G1371" i="7"/>
  <c r="G362" i="7"/>
  <c r="G363" i="7"/>
  <c r="G364" i="7"/>
  <c r="G365" i="7"/>
  <c r="G366" i="7"/>
  <c r="G367" i="7"/>
  <c r="G740" i="7"/>
  <c r="G1225" i="7"/>
  <c r="G520" i="7"/>
  <c r="G597" i="7"/>
  <c r="G741" i="7"/>
  <c r="G368" i="7"/>
  <c r="G1118" i="7"/>
  <c r="G742" i="7"/>
  <c r="G203" i="7"/>
  <c r="G890" i="7"/>
  <c r="G891" i="7"/>
  <c r="G892" i="7"/>
  <c r="G893" i="7"/>
  <c r="G894" i="7"/>
  <c r="G743" i="7"/>
  <c r="G204" i="7"/>
  <c r="G205" i="7"/>
  <c r="G96" i="7"/>
  <c r="G97" i="7"/>
  <c r="G1374" i="7"/>
  <c r="G744" i="7"/>
  <c r="G745" i="7"/>
  <c r="G746" i="7"/>
  <c r="G747" i="7"/>
  <c r="G748" i="7"/>
  <c r="G749" i="7"/>
  <c r="G750" i="7"/>
  <c r="G751" i="7"/>
  <c r="G752" i="7"/>
  <c r="G895" i="7"/>
  <c r="G896" i="7"/>
  <c r="G753" i="7"/>
  <c r="G1226" i="7"/>
  <c r="G1454" i="7"/>
  <c r="G1375" i="7"/>
  <c r="G1491" i="7"/>
  <c r="G1492" i="7"/>
  <c r="G1119" i="7"/>
  <c r="G1120" i="7"/>
  <c r="G1121" i="7"/>
  <c r="G1122" i="7"/>
  <c r="G1123" i="7"/>
  <c r="G1124" i="7"/>
  <c r="G1125" i="7"/>
  <c r="G409" i="7"/>
  <c r="G754" i="7"/>
  <c r="G317" i="7"/>
  <c r="G1376" i="7"/>
  <c r="G897" i="7"/>
  <c r="G898" i="7"/>
  <c r="G755" i="7"/>
  <c r="G1377" i="7"/>
  <c r="G1378" i="7"/>
  <c r="G206" i="7"/>
  <c r="G207" i="7"/>
  <c r="G899" i="7"/>
  <c r="G590" i="7"/>
  <c r="G591" i="7"/>
  <c r="G153" i="7"/>
  <c r="G58" i="7"/>
  <c r="G98" i="7"/>
  <c r="G900" i="7"/>
  <c r="G1379" i="7"/>
  <c r="G1380" i="7"/>
  <c r="G521" i="7"/>
  <c r="G522" i="7"/>
  <c r="G208" i="7"/>
  <c r="G523" i="7"/>
  <c r="G524" i="7"/>
  <c r="G525" i="7"/>
  <c r="G526" i="7"/>
  <c r="G527" i="7"/>
  <c r="G1381" i="7"/>
  <c r="G528" i="7"/>
  <c r="G901" i="7"/>
  <c r="G757" i="7"/>
  <c r="G1227" i="7"/>
  <c r="G902" i="7"/>
  <c r="G99" i="7"/>
  <c r="G758" i="7"/>
  <c r="G903" i="7"/>
  <c r="G904" i="7"/>
  <c r="G905" i="7"/>
  <c r="G906" i="7"/>
  <c r="G907" i="7"/>
  <c r="G908" i="7"/>
  <c r="G909" i="7"/>
  <c r="G910" i="7"/>
  <c r="G529" i="7"/>
  <c r="G530" i="7"/>
  <c r="G1382" i="7"/>
  <c r="G159" i="7"/>
  <c r="G759" i="7"/>
  <c r="G760" i="7"/>
  <c r="G761" i="7"/>
  <c r="G762" i="7"/>
  <c r="G763" i="7"/>
  <c r="G968" i="7"/>
  <c r="G969" i="7"/>
  <c r="G100" i="7"/>
  <c r="G101" i="7"/>
  <c r="G970" i="7"/>
  <c r="G971" i="7"/>
  <c r="G102" i="7"/>
  <c r="G103" i="7"/>
  <c r="G1255" i="7"/>
  <c r="G1126" i="7"/>
  <c r="G1127" i="7"/>
  <c r="G1128" i="7"/>
  <c r="G1129" i="7"/>
  <c r="G1130" i="7"/>
  <c r="G1131" i="7"/>
  <c r="G1132" i="7"/>
  <c r="G1133" i="7"/>
  <c r="G1134" i="7"/>
  <c r="G604" i="7"/>
  <c r="G911" i="7"/>
  <c r="G765" i="7"/>
  <c r="G1534" i="7"/>
  <c r="G1228" i="7"/>
  <c r="G766" i="7"/>
  <c r="G531" i="7"/>
  <c r="G1383" i="7"/>
  <c r="G369" i="7"/>
  <c r="G1535" i="7"/>
  <c r="G912" i="7"/>
  <c r="G913" i="7"/>
  <c r="G914" i="7"/>
  <c r="G915" i="7"/>
  <c r="G916" i="7"/>
  <c r="G917" i="7"/>
  <c r="G410" i="7"/>
  <c r="G209" i="7"/>
  <c r="G210" i="7"/>
  <c r="G918" i="7"/>
  <c r="G254" i="7"/>
  <c r="G255" i="7"/>
  <c r="G256" i="7"/>
  <c r="G370" i="7"/>
  <c r="G767" i="7"/>
  <c r="G768" i="7"/>
  <c r="G769" i="7"/>
  <c r="G770" i="7"/>
  <c r="G771" i="7"/>
  <c r="G772" i="7"/>
  <c r="G773" i="7"/>
  <c r="G774" i="7"/>
  <c r="G775" i="7"/>
  <c r="G776" i="7"/>
  <c r="G777" i="7"/>
  <c r="G778" i="7"/>
  <c r="G779" i="7"/>
  <c r="G780" i="7"/>
  <c r="G781" i="7"/>
  <c r="G211" i="7"/>
  <c r="G212" i="7"/>
  <c r="G213" i="7"/>
  <c r="G1384" i="7"/>
  <c r="G214" i="7"/>
  <c r="G215" i="7"/>
  <c r="G216" i="7"/>
  <c r="G1135" i="7"/>
  <c r="G919" i="7"/>
  <c r="G920" i="7"/>
  <c r="G782" i="7"/>
  <c r="G783" i="7"/>
  <c r="G532" i="7"/>
  <c r="G371" i="7"/>
  <c r="G1493" i="7"/>
  <c r="G1494" i="7"/>
  <c r="G1495" i="7"/>
  <c r="G1496" i="7"/>
  <c r="G217" i="7"/>
  <c r="G1136" i="7"/>
  <c r="G1137" i="7"/>
  <c r="G1138" i="7"/>
  <c r="G1139" i="7"/>
  <c r="G1385" i="7"/>
  <c r="G972" i="7"/>
  <c r="G973" i="7"/>
  <c r="G974" i="7"/>
  <c r="G975" i="7"/>
  <c r="G976" i="7"/>
  <c r="G977" i="7"/>
  <c r="G978" i="7"/>
  <c r="G1386" i="7"/>
  <c r="G1140" i="7"/>
  <c r="G1141" i="7"/>
  <c r="G1142" i="7"/>
  <c r="G104" i="7"/>
  <c r="G784" i="7"/>
  <c r="G105" i="7"/>
  <c r="G1179" i="7"/>
  <c r="G698" i="7"/>
  <c r="G699" i="7"/>
  <c r="G702" i="7"/>
  <c r="G716" i="7"/>
  <c r="G717" i="7"/>
  <c r="G723" i="7"/>
  <c r="G1387" i="7"/>
  <c r="G533" i="7"/>
  <c r="G923" i="7"/>
  <c r="G1186" i="7"/>
  <c r="G1536" i="7"/>
  <c r="G592" i="7"/>
  <c r="G593" i="7"/>
  <c r="G787" i="7"/>
  <c r="G788" i="7"/>
  <c r="G789" i="7"/>
  <c r="G790" i="7"/>
  <c r="G791" i="7"/>
  <c r="G1143" i="7"/>
  <c r="G594" i="7"/>
  <c r="G595" i="7"/>
  <c r="G534" i="7"/>
  <c r="G924" i="7"/>
  <c r="G925" i="7"/>
  <c r="G926" i="7"/>
  <c r="G535" i="7"/>
  <c r="G536" i="7"/>
  <c r="G537" i="7"/>
  <c r="G538" i="7"/>
  <c r="G539" i="7"/>
  <c r="G540" i="7"/>
  <c r="G541" i="7"/>
  <c r="G542" i="7"/>
  <c r="G543" i="7"/>
  <c r="G544" i="7"/>
  <c r="G545" i="7"/>
  <c r="G546" i="7"/>
  <c r="G1388" i="7"/>
  <c r="G792" i="7"/>
  <c r="G1455" i="7"/>
  <c r="G927" i="7"/>
  <c r="G928" i="7"/>
  <c r="G929" i="7"/>
  <c r="G108" i="7"/>
  <c r="G793" i="7"/>
  <c r="G794" i="7"/>
  <c r="G795" i="7"/>
  <c r="G109" i="7"/>
  <c r="G110" i="7"/>
  <c r="G111" i="7"/>
  <c r="G1389" i="7"/>
  <c r="G1390" i="7"/>
  <c r="G1391" i="7"/>
  <c r="G1392" i="7"/>
  <c r="G1393" i="7"/>
  <c r="G1394" i="7"/>
  <c r="G1395" i="7"/>
  <c r="G218" i="7"/>
  <c r="G219" i="7"/>
  <c r="G220" i="7"/>
  <c r="G1144" i="7"/>
  <c r="G1145" i="7"/>
  <c r="G221" i="7"/>
  <c r="G257" i="7"/>
  <c r="G258" i="7"/>
  <c r="G259" i="7"/>
  <c r="G112" i="7"/>
  <c r="G1396" i="7"/>
  <c r="G222" i="7"/>
  <c r="G796" i="7"/>
  <c r="G107" i="7"/>
  <c r="G797" i="7"/>
  <c r="G921" i="7"/>
  <c r="G922" i="7"/>
  <c r="G547" i="7"/>
  <c r="G548" i="7"/>
  <c r="G549" i="7"/>
  <c r="G1397" i="7"/>
  <c r="G1398" i="7"/>
  <c r="G1399" i="7"/>
  <c r="G260" i="7"/>
  <c r="G930" i="7"/>
  <c r="G223" i="7"/>
  <c r="G931" i="7"/>
  <c r="G550" i="7"/>
  <c r="G1400" i="7"/>
  <c r="G113" i="7"/>
  <c r="G114" i="7"/>
  <c r="G261" i="7"/>
  <c r="G262" i="7"/>
  <c r="G263" i="7"/>
  <c r="G115" i="7"/>
  <c r="G116" i="7"/>
  <c r="G117" i="7"/>
  <c r="G118" i="7"/>
  <c r="G798" i="7"/>
  <c r="G224" i="7"/>
  <c r="G596" i="7"/>
  <c r="G1181" i="7"/>
  <c r="G1497" i="7"/>
  <c r="G119" i="7"/>
  <c r="G120" i="7"/>
  <c r="G121" i="7"/>
  <c r="G122" i="7"/>
  <c r="G932" i="7"/>
  <c r="G123" i="7"/>
  <c r="G124" i="7"/>
  <c r="G933" i="7"/>
  <c r="G934" i="7"/>
  <c r="G935" i="7"/>
  <c r="G936" i="7"/>
  <c r="G937" i="7"/>
  <c r="G938" i="7"/>
  <c r="G939" i="7"/>
  <c r="G940" i="7"/>
  <c r="G941" i="7"/>
  <c r="G942" i="7"/>
  <c r="G943" i="7"/>
  <c r="G1401" i="7"/>
  <c r="G125" i="7"/>
  <c r="G126" i="7"/>
  <c r="G127" i="7"/>
  <c r="G1146" i="7"/>
  <c r="G128" i="7"/>
  <c r="G1147" i="7"/>
  <c r="G264" i="7"/>
  <c r="G1402" i="7"/>
  <c r="G265" i="7"/>
  <c r="G266" i="7"/>
  <c r="G551" i="7"/>
  <c r="G267" i="7"/>
  <c r="G268" i="7"/>
  <c r="G269" i="7"/>
  <c r="G270" i="7"/>
  <c r="G271" i="7"/>
  <c r="G272" i="7"/>
  <c r="G273" i="7"/>
  <c r="G274" i="7"/>
  <c r="G275" i="7"/>
  <c r="G276" i="7"/>
  <c r="G277" i="7"/>
  <c r="G278" i="7"/>
  <c r="G318" i="7"/>
  <c r="G319" i="7"/>
  <c r="G320" i="7"/>
  <c r="G321" i="7"/>
  <c r="G129" i="7"/>
  <c r="G888" i="7"/>
  <c r="G225" i="7"/>
  <c r="G1403" i="7"/>
  <c r="G1148" i="7"/>
  <c r="G799" i="7"/>
  <c r="G800" i="7"/>
  <c r="G1404" i="7"/>
  <c r="G1539" i="7"/>
  <c r="G1231" i="7"/>
  <c r="G1232" i="7"/>
  <c r="G1233" i="7"/>
  <c r="G552" i="7"/>
  <c r="G1149" i="7"/>
  <c r="G801" i="7"/>
  <c r="G802" i="7"/>
  <c r="G803" i="7"/>
  <c r="G160" i="7"/>
  <c r="G553" i="7"/>
  <c r="G279" i="7"/>
  <c r="G280" i="7"/>
  <c r="G372" i="7"/>
  <c r="G373" i="7"/>
  <c r="G374" i="7"/>
  <c r="G375" i="7"/>
  <c r="G376" i="7"/>
  <c r="G377" i="7"/>
  <c r="G378" i="7"/>
  <c r="G379" i="7"/>
  <c r="G380" i="7"/>
  <c r="G381" i="7"/>
  <c r="G382" i="7"/>
  <c r="G383" i="7"/>
  <c r="G598" i="7"/>
  <c r="G1182" i="7"/>
  <c r="G384" i="7"/>
  <c r="G385" i="7"/>
  <c r="G386" i="7"/>
  <c r="G1498" i="7"/>
  <c r="G1499" i="7"/>
  <c r="G1500" i="7"/>
  <c r="G1501" i="7"/>
  <c r="G1502" i="7"/>
  <c r="G1503" i="7"/>
  <c r="G1504" i="7"/>
  <c r="G1505" i="7"/>
  <c r="G1506" i="7"/>
  <c r="G1507" i="7"/>
  <c r="G1508" i="7"/>
  <c r="G1509" i="7"/>
  <c r="G1510" i="7"/>
  <c r="G1511" i="7"/>
  <c r="G1540" i="7"/>
  <c r="G411" i="7"/>
  <c r="G226" i="7"/>
  <c r="G1541" i="7"/>
  <c r="G1405" i="7"/>
  <c r="G281" i="7"/>
  <c r="G282" i="7"/>
  <c r="G412" i="7"/>
  <c r="G1150" i="7"/>
  <c r="G944" i="7"/>
  <c r="G804" i="7"/>
  <c r="G387" i="7"/>
  <c r="G388" i="7"/>
  <c r="G227" i="7"/>
  <c r="G1406" i="7"/>
  <c r="G554" i="7"/>
  <c r="G1456" i="7"/>
  <c r="G322" i="7"/>
  <c r="G945" i="7"/>
  <c r="G1512" i="7"/>
  <c r="G1513" i="7"/>
  <c r="G805" i="7"/>
  <c r="G806" i="7"/>
  <c r="G555" i="7"/>
  <c r="G228" i="7"/>
  <c r="G130" i="7"/>
  <c r="G1407" i="7"/>
  <c r="G1183" i="7"/>
  <c r="G599" i="7"/>
  <c r="G807" i="7"/>
  <c r="G946" i="7"/>
  <c r="G808" i="7"/>
  <c r="G809" i="7"/>
  <c r="G556" i="7"/>
  <c r="G1408" i="7"/>
  <c r="G557" i="7"/>
  <c r="G558" i="7"/>
  <c r="G559" i="7"/>
  <c r="G560" i="7"/>
  <c r="G1409" i="7"/>
  <c r="G1410" i="7"/>
  <c r="G1411" i="7"/>
  <c r="G1412" i="7"/>
  <c r="G1413" i="7"/>
  <c r="G1414" i="7"/>
  <c r="G1415" i="7"/>
  <c r="G1416" i="7"/>
  <c r="G1417" i="7"/>
  <c r="G810" i="7"/>
  <c r="G811" i="7"/>
  <c r="G812" i="7"/>
  <c r="G813" i="7"/>
  <c r="G814" i="7"/>
  <c r="G815" i="7"/>
  <c r="G816" i="7"/>
  <c r="G817" i="7"/>
  <c r="G818" i="7"/>
  <c r="G819" i="7"/>
  <c r="G820" i="7"/>
  <c r="G131" i="7"/>
  <c r="G1418" i="7"/>
  <c r="G1419" i="7"/>
  <c r="G600" i="7"/>
  <c r="G601" i="7"/>
  <c r="G602" i="7"/>
  <c r="G603" i="7"/>
  <c r="G889" i="7"/>
  <c r="G1542" i="7"/>
  <c r="G1543" i="7"/>
  <c r="G1544" i="7"/>
  <c r="G821" i="7"/>
  <c r="G822" i="7"/>
  <c r="G561" i="7"/>
  <c r="G1514" i="7"/>
  <c r="G1515" i="7"/>
  <c r="G1420" i="7"/>
  <c r="G1234" i="7"/>
  <c r="G283" i="7"/>
  <c r="G132" i="7"/>
  <c r="G229" i="7"/>
  <c r="G1421" i="7"/>
  <c r="G230" i="7"/>
  <c r="G231" i="7"/>
  <c r="G232" i="7"/>
  <c r="G823" i="7"/>
  <c r="G133" i="7"/>
  <c r="G1422" i="7"/>
  <c r="G824" i="7"/>
  <c r="G947" i="7"/>
  <c r="G825" i="7"/>
  <c r="G233" i="7"/>
  <c r="G1423" i="7"/>
  <c r="G1172" i="7"/>
  <c r="G979" i="7"/>
  <c r="G980" i="7"/>
  <c r="G981" i="7"/>
  <c r="G982" i="7"/>
  <c r="G413" i="7"/>
  <c r="G414" i="7"/>
  <c r="G983" i="7"/>
  <c r="G984" i="7"/>
  <c r="G985" i="7"/>
  <c r="G986" i="7"/>
  <c r="G987" i="7"/>
  <c r="G988" i="7"/>
  <c r="G989" i="7"/>
  <c r="G990" i="7"/>
  <c r="G991" i="7"/>
  <c r="G992" i="7"/>
  <c r="G993" i="7"/>
  <c r="G994" i="7"/>
  <c r="G995" i="7"/>
  <c r="G996" i="7"/>
  <c r="G997" i="7"/>
  <c r="G998" i="7"/>
  <c r="G999" i="7"/>
  <c r="G562" i="7"/>
  <c r="G1424" i="7"/>
  <c r="G1425" i="7"/>
  <c r="G1426" i="7"/>
  <c r="G1427" i="7"/>
  <c r="G1428" i="7"/>
  <c r="G134" i="7"/>
  <c r="G826" i="7"/>
  <c r="G563" i="7"/>
  <c r="G827" i="7"/>
  <c r="G1000" i="7"/>
  <c r="G135" i="7"/>
  <c r="G323" i="7"/>
  <c r="G324" i="7"/>
  <c r="G948" i="7"/>
  <c r="G949" i="7"/>
  <c r="G564" i="7"/>
  <c r="G136" i="7"/>
  <c r="G137" i="7"/>
  <c r="G138" i="7"/>
  <c r="G139" i="7"/>
  <c r="G1429" i="7"/>
  <c r="G950" i="7"/>
  <c r="G1545" i="7"/>
  <c r="G1546" i="7"/>
  <c r="G1516" i="7"/>
  <c r="G951" i="7"/>
  <c r="G952" i="7"/>
  <c r="G953" i="7"/>
  <c r="G954" i="7"/>
  <c r="G828" i="7"/>
  <c r="G1430" i="7"/>
  <c r="G1431" i="7"/>
  <c r="G1432" i="7"/>
  <c r="G1433" i="7"/>
  <c r="G1434" i="7"/>
  <c r="G1435" i="7"/>
  <c r="G1436" i="7"/>
  <c r="G1437" i="7"/>
  <c r="G605" i="7"/>
  <c r="G415" i="7"/>
  <c r="G1166" i="7"/>
  <c r="G1001" i="7"/>
  <c r="G1002" i="7"/>
  <c r="G1003" i="7"/>
  <c r="G1004" i="7"/>
  <c r="G1005" i="7"/>
  <c r="G1006" i="7"/>
  <c r="G1007" i="7"/>
  <c r="G1008" i="7"/>
  <c r="G1009" i="7"/>
  <c r="G1438" i="7"/>
  <c r="G1439" i="7"/>
  <c r="G1440" i="7"/>
  <c r="G565" i="7"/>
  <c r="G566" i="7"/>
  <c r="G567" i="7"/>
  <c r="G287" i="7"/>
  <c r="G234" i="7"/>
  <c r="G235" i="7"/>
  <c r="G236" i="7"/>
  <c r="G829" i="7"/>
  <c r="G830" i="7"/>
  <c r="G955" i="7"/>
  <c r="G288" i="7"/>
  <c r="G289" i="7"/>
  <c r="G290" i="7"/>
  <c r="G291" i="7"/>
  <c r="G292" i="7"/>
  <c r="G293" i="7"/>
  <c r="G294" i="7"/>
  <c r="G295" i="7"/>
  <c r="G296" i="7"/>
  <c r="G297" i="7"/>
  <c r="G298" i="7"/>
  <c r="F161" i="7"/>
  <c r="F162" i="7"/>
  <c r="F163" i="7"/>
  <c r="F164" i="7"/>
  <c r="F2" i="7"/>
  <c r="F1177" i="7"/>
  <c r="F1167" i="7"/>
  <c r="F1281" i="7"/>
  <c r="F3" i="7"/>
  <c r="F4" i="7"/>
  <c r="F5" i="7"/>
  <c r="F6" i="7"/>
  <c r="F1187" i="7"/>
  <c r="F833" i="7"/>
  <c r="F7" i="7"/>
  <c r="F1010" i="7"/>
  <c r="F1282" i="7"/>
  <c r="F1283" i="7"/>
  <c r="F1284" i="7"/>
  <c r="F834" i="7"/>
  <c r="F418" i="7"/>
  <c r="F8" i="7"/>
  <c r="F9" i="7"/>
  <c r="F10" i="7"/>
  <c r="F11" i="7"/>
  <c r="F12" i="7"/>
  <c r="F13" i="7"/>
  <c r="F14" i="7"/>
  <c r="F15" i="7"/>
  <c r="F286" i="7"/>
  <c r="F16" i="7"/>
  <c r="F17" i="7"/>
  <c r="F18" i="7"/>
  <c r="F19" i="7"/>
  <c r="F20" i="7"/>
  <c r="F21" i="7"/>
  <c r="F1457" i="7"/>
  <c r="F961" i="7"/>
  <c r="F1285" i="7"/>
  <c r="F1286" i="7"/>
  <c r="F1287" i="7"/>
  <c r="F1288" i="7"/>
  <c r="F1289" i="7"/>
  <c r="F1443" i="7"/>
  <c r="F403" i="7"/>
  <c r="F962" i="7"/>
  <c r="F22" i="7"/>
  <c r="F106" i="7"/>
  <c r="F835" i="7"/>
  <c r="F419" i="7"/>
  <c r="F420" i="7"/>
  <c r="F574" i="7"/>
  <c r="F404" i="7"/>
  <c r="F421" i="7"/>
  <c r="F1290" i="7"/>
  <c r="F1291" i="7"/>
  <c r="F575" i="7"/>
  <c r="F576" i="7"/>
  <c r="F577" i="7"/>
  <c r="F836" i="7"/>
  <c r="F837" i="7"/>
  <c r="F1292" i="7"/>
  <c r="F1293" i="7"/>
  <c r="F422" i="7"/>
  <c r="F423" i="7"/>
  <c r="F424" i="7"/>
  <c r="F838" i="7"/>
  <c r="F1294" i="7"/>
  <c r="F1295" i="7"/>
  <c r="F839" i="7"/>
  <c r="F23" i="7"/>
  <c r="F1168" i="7"/>
  <c r="F325" i="7"/>
  <c r="F326" i="7"/>
  <c r="F327" i="7"/>
  <c r="F1296" i="7"/>
  <c r="F1297" i="7"/>
  <c r="F328" i="7"/>
  <c r="F329" i="7"/>
  <c r="F330" i="7"/>
  <c r="F1162" i="7"/>
  <c r="F578" i="7"/>
  <c r="F617" i="7"/>
  <c r="F618" i="7"/>
  <c r="F24" i="7"/>
  <c r="F347" i="7"/>
  <c r="F331" i="7"/>
  <c r="F619" i="7"/>
  <c r="F165" i="7"/>
  <c r="F963" i="7"/>
  <c r="F1298" i="7"/>
  <c r="F840" i="7"/>
  <c r="F1190" i="7"/>
  <c r="F425" i="7"/>
  <c r="F620" i="7"/>
  <c r="F1229" i="7"/>
  <c r="F1230" i="7"/>
  <c r="F426" i="7"/>
  <c r="F622" i="7"/>
  <c r="F1257" i="7"/>
  <c r="F606" i="7"/>
  <c r="F1299" i="7"/>
  <c r="F1300" i="7"/>
  <c r="F1301" i="7"/>
  <c r="F427" i="7"/>
  <c r="F1011" i="7"/>
  <c r="F1012" i="7"/>
  <c r="F1013" i="7"/>
  <c r="F1014" i="7"/>
  <c r="F166" i="7"/>
  <c r="F167" i="7"/>
  <c r="F168" i="7"/>
  <c r="F169" i="7"/>
  <c r="F170" i="7"/>
  <c r="F1458" i="7"/>
  <c r="F1015" i="7"/>
  <c r="F1016" i="7"/>
  <c r="F1017" i="7"/>
  <c r="F1018" i="7"/>
  <c r="F1019" i="7"/>
  <c r="F1020" i="7"/>
  <c r="F1021" i="7"/>
  <c r="F1022" i="7"/>
  <c r="F1023" i="7"/>
  <c r="F1024" i="7"/>
  <c r="F1025" i="7"/>
  <c r="F1026" i="7"/>
  <c r="F1027" i="7"/>
  <c r="F1028" i="7"/>
  <c r="F1029" i="7"/>
  <c r="F1030" i="7"/>
  <c r="F1031" i="7"/>
  <c r="F1032" i="7"/>
  <c r="F1033" i="7"/>
  <c r="F1459" i="7"/>
  <c r="F1034" i="7"/>
  <c r="F1035" i="7"/>
  <c r="F1036" i="7"/>
  <c r="F1037" i="7"/>
  <c r="F1038" i="7"/>
  <c r="F1039" i="7"/>
  <c r="F1040" i="7"/>
  <c r="F1041" i="7"/>
  <c r="F1042" i="7"/>
  <c r="F1043" i="7"/>
  <c r="F1044" i="7"/>
  <c r="F1045" i="7"/>
  <c r="F1046" i="7"/>
  <c r="F284" i="7"/>
  <c r="F1047" i="7"/>
  <c r="F1048" i="7"/>
  <c r="F25" i="7"/>
  <c r="F841" i="7"/>
  <c r="F26" i="7"/>
  <c r="F27" i="7"/>
  <c r="F28" i="7"/>
  <c r="F29" i="7"/>
  <c r="F842" i="7"/>
  <c r="F1444" i="7"/>
  <c r="F1302" i="7"/>
  <c r="F623" i="7"/>
  <c r="F624" i="7"/>
  <c r="F30" i="7"/>
  <c r="F31" i="7"/>
  <c r="F1303" i="7"/>
  <c r="F1304" i="7"/>
  <c r="F405" i="7"/>
  <c r="F1305" i="7"/>
  <c r="F1306" i="7"/>
  <c r="F1307" i="7"/>
  <c r="F1308" i="7"/>
  <c r="F1309" i="7"/>
  <c r="F1310" i="7"/>
  <c r="F1311" i="7"/>
  <c r="F1192" i="7"/>
  <c r="F1312" i="7"/>
  <c r="F1313" i="7"/>
  <c r="F1314" i="7"/>
  <c r="F1315" i="7"/>
  <c r="F171" i="7"/>
  <c r="F1460" i="7"/>
  <c r="F579" i="7"/>
  <c r="F172" i="7"/>
  <c r="F173" i="7"/>
  <c r="F174" i="7"/>
  <c r="F175" i="7"/>
  <c r="F176" i="7"/>
  <c r="F177" i="7"/>
  <c r="F32" i="7"/>
  <c r="F178" i="7"/>
  <c r="F843" i="7"/>
  <c r="F844" i="7"/>
  <c r="F845" i="7"/>
  <c r="F846" i="7"/>
  <c r="F1236" i="7"/>
  <c r="F1237" i="7"/>
  <c r="F1526" i="7"/>
  <c r="F428" i="7"/>
  <c r="F1445" i="7"/>
  <c r="F1316" i="7"/>
  <c r="F1317" i="7"/>
  <c r="F429" i="7"/>
  <c r="F430" i="7"/>
  <c r="F431" i="7"/>
  <c r="F847" i="7"/>
  <c r="F625" i="7"/>
  <c r="F626" i="7"/>
  <c r="F627" i="7"/>
  <c r="F628" i="7"/>
  <c r="F629" i="7"/>
  <c r="F580" i="7"/>
  <c r="F1527" i="7"/>
  <c r="F607" i="7"/>
  <c r="F608" i="7"/>
  <c r="F609" i="7"/>
  <c r="F630" i="7"/>
  <c r="F631" i="7"/>
  <c r="F632" i="7"/>
  <c r="F633" i="7"/>
  <c r="F179" i="7"/>
  <c r="F634" i="7"/>
  <c r="F635" i="7"/>
  <c r="F636" i="7"/>
  <c r="F637" i="7"/>
  <c r="F638" i="7"/>
  <c r="F1163" i="7"/>
  <c r="F1461" i="7"/>
  <c r="F1462" i="7"/>
  <c r="F1463" i="7"/>
  <c r="F1464" i="7"/>
  <c r="F1465" i="7"/>
  <c r="F1466" i="7"/>
  <c r="F1467" i="7"/>
  <c r="F1468" i="7"/>
  <c r="F1469" i="7"/>
  <c r="F1164" i="7"/>
  <c r="F432" i="7"/>
  <c r="F433" i="7"/>
  <c r="F1318" i="7"/>
  <c r="F848" i="7"/>
  <c r="F849" i="7"/>
  <c r="F434" i="7"/>
  <c r="F435" i="7"/>
  <c r="F334" i="7"/>
  <c r="F335" i="7"/>
  <c r="F336" i="7"/>
  <c r="F337" i="7"/>
  <c r="F340" i="7"/>
  <c r="F341" i="7"/>
  <c r="F342" i="7"/>
  <c r="F343" i="7"/>
  <c r="F344" i="7"/>
  <c r="F345" i="7"/>
  <c r="F348" i="7"/>
  <c r="F349" i="7"/>
  <c r="F1528" i="7"/>
  <c r="F581" i="7"/>
  <c r="F1169" i="7"/>
  <c r="F1184" i="7"/>
  <c r="F1175" i="7"/>
  <c r="F1193" i="7"/>
  <c r="F1194" i="7"/>
  <c r="F1049" i="7"/>
  <c r="F1050" i="7"/>
  <c r="F1051" i="7"/>
  <c r="F1052" i="7"/>
  <c r="F1053" i="7"/>
  <c r="F1054" i="7"/>
  <c r="F1055" i="7"/>
  <c r="F1195" i="7"/>
  <c r="F1196" i="7"/>
  <c r="F1197" i="7"/>
  <c r="F582" i="7"/>
  <c r="F583" i="7"/>
  <c r="F964" i="7"/>
  <c r="F350" i="7"/>
  <c r="F351" i="7"/>
  <c r="F352" i="7"/>
  <c r="F436" i="7"/>
  <c r="F1472" i="7"/>
  <c r="F1473" i="7"/>
  <c r="F1474" i="7"/>
  <c r="F1475" i="7"/>
  <c r="F1056" i="7"/>
  <c r="F180" i="7"/>
  <c r="F650" i="7"/>
  <c r="F1319" i="7"/>
  <c r="F1320" i="7"/>
  <c r="F1321" i="7"/>
  <c r="F1198" i="7"/>
  <c r="F1322" i="7"/>
  <c r="F1323" i="7"/>
  <c r="F1238" i="7"/>
  <c r="F1239" i="7"/>
  <c r="F1324" i="7"/>
  <c r="F1325" i="7"/>
  <c r="F1326" i="7"/>
  <c r="F1327" i="7"/>
  <c r="F1328" i="7"/>
  <c r="F1329" i="7"/>
  <c r="F1330" i="7"/>
  <c r="F1331" i="7"/>
  <c r="F35" i="7"/>
  <c r="F36" i="7"/>
  <c r="F37" i="7"/>
  <c r="F406" i="7"/>
  <c r="F38" i="7"/>
  <c r="F1258" i="7"/>
  <c r="F1057" i="7"/>
  <c r="F610" i="7"/>
  <c r="F611" i="7"/>
  <c r="F612" i="7"/>
  <c r="F651" i="7"/>
  <c r="F850" i="7"/>
  <c r="F1199" i="7"/>
  <c r="F39" i="7"/>
  <c r="F1058" i="7"/>
  <c r="F1059" i="7"/>
  <c r="F1060" i="7"/>
  <c r="F1061" i="7"/>
  <c r="F1062" i="7"/>
  <c r="F1063" i="7"/>
  <c r="F1064" i="7"/>
  <c r="F1476" i="7"/>
  <c r="F1332" i="7"/>
  <c r="F1333" i="7"/>
  <c r="F1334" i="7"/>
  <c r="F1335" i="7"/>
  <c r="F1336" i="7"/>
  <c r="F652" i="7"/>
  <c r="F653" i="7"/>
  <c r="F654" i="7"/>
  <c r="F1253" i="7"/>
  <c r="F1254" i="7"/>
  <c r="F437" i="7"/>
  <c r="F1259" i="7"/>
  <c r="F1260" i="7"/>
  <c r="F1261" i="7"/>
  <c r="F1279" i="7"/>
  <c r="F40" i="7"/>
  <c r="F41" i="7"/>
  <c r="F438" i="7"/>
  <c r="F1337" i="7"/>
  <c r="F1240" i="7"/>
  <c r="F1338" i="7"/>
  <c r="F1065" i="7"/>
  <c r="F1066" i="7"/>
  <c r="F1067" i="7"/>
  <c r="F1068" i="7"/>
  <c r="F1069" i="7"/>
  <c r="F1070" i="7"/>
  <c r="F1071" i="7"/>
  <c r="F1072" i="7"/>
  <c r="F1073" i="7"/>
  <c r="F1074" i="7"/>
  <c r="F1075" i="7"/>
  <c r="F1076" i="7"/>
  <c r="F1077" i="7"/>
  <c r="F1078" i="7"/>
  <c r="F1079" i="7"/>
  <c r="F1080" i="7"/>
  <c r="F1081" i="7"/>
  <c r="F1082" i="7"/>
  <c r="F1083" i="7"/>
  <c r="F1084" i="7"/>
  <c r="F1085" i="7"/>
  <c r="F1086" i="7"/>
  <c r="F1446" i="7"/>
  <c r="F1447" i="7"/>
  <c r="F851" i="7"/>
  <c r="F658" i="7"/>
  <c r="F1087" i="7"/>
  <c r="F1088" i="7"/>
  <c r="F1477" i="7"/>
  <c r="F1262" i="7"/>
  <c r="F181" i="7"/>
  <c r="F1200" i="7"/>
  <c r="F1201" i="7"/>
  <c r="F1089" i="7"/>
  <c r="F1090" i="7"/>
  <c r="F1091" i="7"/>
  <c r="F1092" i="7"/>
  <c r="F1093" i="7"/>
  <c r="F1094" i="7"/>
  <c r="F1095" i="7"/>
  <c r="F613" i="7"/>
  <c r="F1339" i="7"/>
  <c r="F439" i="7"/>
  <c r="F440" i="7"/>
  <c r="F441" i="7"/>
  <c r="F442" i="7"/>
  <c r="F443" i="7"/>
  <c r="F506" i="7"/>
  <c r="F512" i="7"/>
  <c r="F332" i="7"/>
  <c r="F661" i="7"/>
  <c r="F42" i="7"/>
  <c r="F43" i="7"/>
  <c r="F44" i="7"/>
  <c r="F45" i="7"/>
  <c r="F1529" i="7"/>
  <c r="F1537" i="7"/>
  <c r="F664" i="7"/>
  <c r="F665" i="7"/>
  <c r="F648" i="7"/>
  <c r="F663" i="7"/>
  <c r="F660" i="7"/>
  <c r="F669" i="7"/>
  <c r="F670" i="7"/>
  <c r="F1241" i="7"/>
  <c r="F1242" i="7"/>
  <c r="F671" i="7"/>
  <c r="F1448" i="7"/>
  <c r="F407" i="7"/>
  <c r="F1202" i="7"/>
  <c r="F1203" i="7"/>
  <c r="F1204" i="7"/>
  <c r="F46" i="7"/>
  <c r="F47" i="7"/>
  <c r="F48" i="7"/>
  <c r="F49" i="7"/>
  <c r="F50" i="7"/>
  <c r="F182" i="7"/>
  <c r="F584" i="7"/>
  <c r="F1170" i="7"/>
  <c r="F1178" i="7"/>
  <c r="F1205" i="7"/>
  <c r="F183" i="7"/>
  <c r="F585" i="7"/>
  <c r="F852" i="7"/>
  <c r="F853" i="7"/>
  <c r="F51" i="7"/>
  <c r="F52" i="7"/>
  <c r="F309" i="7"/>
  <c r="F310" i="7"/>
  <c r="F444" i="7"/>
  <c r="F445" i="7"/>
  <c r="F333" i="7"/>
  <c r="F1340" i="7"/>
  <c r="F1341" i="7"/>
  <c r="F53" i="7"/>
  <c r="F54" i="7"/>
  <c r="F1206" i="7"/>
  <c r="F446" i="7"/>
  <c r="F55" i="7"/>
  <c r="F56" i="7"/>
  <c r="F1342" i="7"/>
  <c r="F1343" i="7"/>
  <c r="F1344" i="7"/>
  <c r="F1345" i="7"/>
  <c r="F1346" i="7"/>
  <c r="F1347" i="7"/>
  <c r="F1348" i="7"/>
  <c r="F1349" i="7"/>
  <c r="F1096" i="7"/>
  <c r="F1097" i="7"/>
  <c r="F1098" i="7"/>
  <c r="F1530" i="7"/>
  <c r="F1538" i="7"/>
  <c r="F447" i="7"/>
  <c r="F1350" i="7"/>
  <c r="F1351" i="7"/>
  <c r="F448" i="7"/>
  <c r="F449" i="7"/>
  <c r="F450" i="7"/>
  <c r="F451" i="7"/>
  <c r="F452" i="7"/>
  <c r="F453" i="7"/>
  <c r="F454" i="7"/>
  <c r="F455" i="7"/>
  <c r="F456" i="7"/>
  <c r="F1207" i="7"/>
  <c r="F457" i="7"/>
  <c r="F458" i="7"/>
  <c r="F459" i="7"/>
  <c r="F460" i="7"/>
  <c r="F1449" i="7"/>
  <c r="F461" i="7"/>
  <c r="F1208" i="7"/>
  <c r="F1209" i="7"/>
  <c r="F1210" i="7"/>
  <c r="F1211" i="7"/>
  <c r="F1219" i="7"/>
  <c r="F1220" i="7"/>
  <c r="F1188" i="7"/>
  <c r="F1189" i="7"/>
  <c r="F1191" i="7"/>
  <c r="F1212" i="7"/>
  <c r="F1213" i="7"/>
  <c r="F1263" i="7"/>
  <c r="F1264" i="7"/>
  <c r="F1265" i="7"/>
  <c r="F1352" i="7"/>
  <c r="F854" i="7"/>
  <c r="F855" i="7"/>
  <c r="F856" i="7"/>
  <c r="F857" i="7"/>
  <c r="F858" i="7"/>
  <c r="F33" i="7"/>
  <c r="F59" i="7"/>
  <c r="F60" i="7"/>
  <c r="F61" i="7"/>
  <c r="F62" i="7"/>
  <c r="F63" i="7"/>
  <c r="F64" i="7"/>
  <c r="F65" i="7"/>
  <c r="F66" i="7"/>
  <c r="F67" i="7"/>
  <c r="F68" i="7"/>
  <c r="F69" i="7"/>
  <c r="F70" i="7"/>
  <c r="F71" i="7"/>
  <c r="F72" i="7"/>
  <c r="F73" i="7"/>
  <c r="F74" i="7"/>
  <c r="F1214" i="7"/>
  <c r="F1353" i="7"/>
  <c r="F75" i="7"/>
  <c r="F462" i="7"/>
  <c r="F1354" i="7"/>
  <c r="F1099" i="7"/>
  <c r="F76" i="7"/>
  <c r="F1243" i="7"/>
  <c r="F1355" i="7"/>
  <c r="F1244" i="7"/>
  <c r="F1245" i="7"/>
  <c r="F1356" i="7"/>
  <c r="F674" i="7"/>
  <c r="F1478" i="7"/>
  <c r="F463" i="7"/>
  <c r="F464" i="7"/>
  <c r="F465" i="7"/>
  <c r="F1100" i="7"/>
  <c r="F965" i="7"/>
  <c r="F1357" i="7"/>
  <c r="F1450" i="7"/>
  <c r="F1101" i="7"/>
  <c r="F184" i="7"/>
  <c r="F185" i="7"/>
  <c r="F186" i="7"/>
  <c r="F187" i="7"/>
  <c r="F188" i="7"/>
  <c r="F189" i="7"/>
  <c r="F966" i="7"/>
  <c r="F675" i="7"/>
  <c r="F1165" i="7"/>
  <c r="F1358" i="7"/>
  <c r="F859" i="7"/>
  <c r="F860" i="7"/>
  <c r="F861" i="7"/>
  <c r="F676" i="7"/>
  <c r="F677" i="7"/>
  <c r="F678" i="7"/>
  <c r="F679" i="7"/>
  <c r="F680" i="7"/>
  <c r="F586" i="7"/>
  <c r="F862" i="7"/>
  <c r="F1102" i="7"/>
  <c r="F1215" i="7"/>
  <c r="F466" i="7"/>
  <c r="F338" i="7"/>
  <c r="F339" i="7"/>
  <c r="F1359" i="7"/>
  <c r="F467" i="7"/>
  <c r="F468" i="7"/>
  <c r="F469" i="7"/>
  <c r="F470" i="7"/>
  <c r="F1360" i="7"/>
  <c r="F681" i="7"/>
  <c r="F1361" i="7"/>
  <c r="F572" i="7"/>
  <c r="F573" i="7"/>
  <c r="F571" i="7"/>
  <c r="F311" i="7"/>
  <c r="F312" i="7"/>
  <c r="F313" i="7"/>
  <c r="F314" i="7"/>
  <c r="F1216" i="7"/>
  <c r="F1217" i="7"/>
  <c r="F1362" i="7"/>
  <c r="F471" i="7"/>
  <c r="F863" i="7"/>
  <c r="F1363" i="7"/>
  <c r="F1364" i="7"/>
  <c r="F408" i="7"/>
  <c r="F1365" i="7"/>
  <c r="F472" i="7"/>
  <c r="F473" i="7"/>
  <c r="F474" i="7"/>
  <c r="F475" i="7"/>
  <c r="F476" i="7"/>
  <c r="F477" i="7"/>
  <c r="F478" i="7"/>
  <c r="F479" i="7"/>
  <c r="F480" i="7"/>
  <c r="F481" i="7"/>
  <c r="F482" i="7"/>
  <c r="F483" i="7"/>
  <c r="F1103" i="7"/>
  <c r="F587" i="7"/>
  <c r="F614" i="7"/>
  <c r="F615" i="7"/>
  <c r="F616" i="7"/>
  <c r="F1246" i="7"/>
  <c r="F1247" i="7"/>
  <c r="F1248" i="7"/>
  <c r="F1249" i="7"/>
  <c r="F1250" i="7"/>
  <c r="F1251" i="7"/>
  <c r="F1252" i="7"/>
  <c r="F484" i="7"/>
  <c r="F485" i="7"/>
  <c r="F682" i="7"/>
  <c r="F683" i="7"/>
  <c r="F684" i="7"/>
  <c r="F685" i="7"/>
  <c r="F756" i="7"/>
  <c r="F864" i="7"/>
  <c r="F77" i="7"/>
  <c r="F1451" i="7"/>
  <c r="F190" i="7"/>
  <c r="F191" i="7"/>
  <c r="F192" i="7"/>
  <c r="F193" i="7"/>
  <c r="F194" i="7"/>
  <c r="F486" i="7"/>
  <c r="F487" i="7"/>
  <c r="F488" i="7"/>
  <c r="F489" i="7"/>
  <c r="F490" i="7"/>
  <c r="F1218" i="7"/>
  <c r="F491" i="7"/>
  <c r="F492" i="7"/>
  <c r="F493" i="7"/>
  <c r="F1266" i="7"/>
  <c r="F1267" i="7"/>
  <c r="F1280" i="7"/>
  <c r="F686" i="7"/>
  <c r="F1452" i="7"/>
  <c r="F195" i="7"/>
  <c r="F78" i="7"/>
  <c r="F79" i="7"/>
  <c r="F1453" i="7"/>
  <c r="F494" i="7"/>
  <c r="F687" i="7"/>
  <c r="F667" i="7"/>
  <c r="F672" i="7"/>
  <c r="F646" i="7"/>
  <c r="F621" i="7"/>
  <c r="F642" i="7"/>
  <c r="F640" i="7"/>
  <c r="F688" i="7"/>
  <c r="F655" i="7"/>
  <c r="F662" i="7"/>
  <c r="F644" i="7"/>
  <c r="F657" i="7"/>
  <c r="F689" i="7"/>
  <c r="F690" i="7"/>
  <c r="F691" i="7"/>
  <c r="F692" i="7"/>
  <c r="F693" i="7"/>
  <c r="F80" i="7"/>
  <c r="F694" i="7"/>
  <c r="F695" i="7"/>
  <c r="F696" i="7"/>
  <c r="F697" i="7"/>
  <c r="F346" i="7"/>
  <c r="F81" i="7"/>
  <c r="F82" i="7"/>
  <c r="F285" i="7"/>
  <c r="F83" i="7"/>
  <c r="F84" i="7"/>
  <c r="F196" i="7"/>
  <c r="F495" i="7"/>
  <c r="F668" i="7"/>
  <c r="F673" i="7"/>
  <c r="F647" i="7"/>
  <c r="F639" i="7"/>
  <c r="F643" i="7"/>
  <c r="F641" i="7"/>
  <c r="F649" i="7"/>
  <c r="F656" i="7"/>
  <c r="F700" i="7"/>
  <c r="F701" i="7"/>
  <c r="F666" i="7"/>
  <c r="F496" i="7"/>
  <c r="F497" i="7"/>
  <c r="F498" i="7"/>
  <c r="F1221" i="7"/>
  <c r="F588" i="7"/>
  <c r="F353" i="7"/>
  <c r="F85" i="7"/>
  <c r="F1104" i="7"/>
  <c r="F86" i="7"/>
  <c r="F87" i="7"/>
  <c r="F88" i="7"/>
  <c r="F89" i="7"/>
  <c r="F90" i="7"/>
  <c r="F91" i="7"/>
  <c r="F499" i="7"/>
  <c r="F1268" i="7"/>
  <c r="F1269" i="7"/>
  <c r="F1270" i="7"/>
  <c r="F1222" i="7"/>
  <c r="F703" i="7"/>
  <c r="F704" i="7"/>
  <c r="F1105" i="7"/>
  <c r="F589" i="7"/>
  <c r="F1106" i="7"/>
  <c r="F865" i="7"/>
  <c r="F246" i="7"/>
  <c r="F247" i="7"/>
  <c r="F248" i="7"/>
  <c r="F1271" i="7"/>
  <c r="F1107" i="7"/>
  <c r="F1108" i="7"/>
  <c r="F1109" i="7"/>
  <c r="F705" i="7"/>
  <c r="F706" i="7"/>
  <c r="F707" i="7"/>
  <c r="F708" i="7"/>
  <c r="F709" i="7"/>
  <c r="F710" i="7"/>
  <c r="F711" i="7"/>
  <c r="F1479" i="7"/>
  <c r="F1480" i="7"/>
  <c r="F1481" i="7"/>
  <c r="F1482" i="7"/>
  <c r="F1483" i="7"/>
  <c r="F1484" i="7"/>
  <c r="F1485" i="7"/>
  <c r="F1486" i="7"/>
  <c r="F1487" i="7"/>
  <c r="F1366" i="7"/>
  <c r="F500" i="7"/>
  <c r="F501" i="7"/>
  <c r="F354" i="7"/>
  <c r="F249" i="7"/>
  <c r="F250" i="7"/>
  <c r="F1223" i="7"/>
  <c r="F251" i="7"/>
  <c r="F252" i="7"/>
  <c r="F712" i="7"/>
  <c r="F713" i="7"/>
  <c r="F714" i="7"/>
  <c r="F1531" i="7"/>
  <c r="F715" i="7"/>
  <c r="F151" i="7"/>
  <c r="F57" i="7"/>
  <c r="F1110" i="7"/>
  <c r="F1367" i="7"/>
  <c r="F1368" i="7"/>
  <c r="F1532" i="7"/>
  <c r="F1111" i="7"/>
  <c r="F1171" i="7"/>
  <c r="F718" i="7"/>
  <c r="F866" i="7"/>
  <c r="F719" i="7"/>
  <c r="F720" i="7"/>
  <c r="F721" i="7"/>
  <c r="F867" i="7"/>
  <c r="F722" i="7"/>
  <c r="F645" i="7"/>
  <c r="F724" i="7"/>
  <c r="F725" i="7"/>
  <c r="F659" i="7"/>
  <c r="F726" i="7"/>
  <c r="F1488" i="7"/>
  <c r="F1112" i="7"/>
  <c r="F1113" i="7"/>
  <c r="F1114" i="7"/>
  <c r="F1115" i="7"/>
  <c r="F1116" i="7"/>
  <c r="F1370" i="7"/>
  <c r="F868" i="7"/>
  <c r="F869" i="7"/>
  <c r="F1185" i="7"/>
  <c r="F197" i="7"/>
  <c r="F198" i="7"/>
  <c r="F199" i="7"/>
  <c r="F502" i="7"/>
  <c r="F503" i="7"/>
  <c r="F355" i="7"/>
  <c r="F356" i="7"/>
  <c r="F357" i="7"/>
  <c r="F358" i="7"/>
  <c r="F359" i="7"/>
  <c r="F727" i="7"/>
  <c r="F1117" i="7"/>
  <c r="F504" i="7"/>
  <c r="F505" i="7"/>
  <c r="F870" i="7"/>
  <c r="F1272" i="7"/>
  <c r="F728" i="7"/>
  <c r="F92" i="7"/>
  <c r="F93" i="7"/>
  <c r="F94" i="7"/>
  <c r="F729" i="7"/>
  <c r="F730" i="7"/>
  <c r="F871" i="7"/>
  <c r="F872" i="7"/>
  <c r="F873" i="7"/>
  <c r="F874" i="7"/>
  <c r="F875" i="7"/>
  <c r="F876" i="7"/>
  <c r="F877" i="7"/>
  <c r="F878" i="7"/>
  <c r="F879" i="7"/>
  <c r="F1224" i="7"/>
  <c r="F731" i="7"/>
  <c r="F880" i="7"/>
  <c r="F881" i="7"/>
  <c r="F1489" i="7"/>
  <c r="F1490" i="7"/>
  <c r="F732" i="7"/>
  <c r="F733" i="7"/>
  <c r="F734" i="7"/>
  <c r="F735" i="7"/>
  <c r="F736" i="7"/>
  <c r="F737" i="7"/>
  <c r="F738" i="7"/>
  <c r="F739" i="7"/>
  <c r="F785" i="7"/>
  <c r="F786" i="7"/>
  <c r="F507" i="7"/>
  <c r="F508" i="7"/>
  <c r="F253" i="7"/>
  <c r="F509" i="7"/>
  <c r="F510" i="7"/>
  <c r="F511" i="7"/>
  <c r="F95" i="7"/>
  <c r="F1533" i="7"/>
  <c r="F360" i="7"/>
  <c r="F882" i="7"/>
  <c r="F883" i="7"/>
  <c r="F764" i="7"/>
  <c r="F1372" i="7"/>
  <c r="F315" i="7"/>
  <c r="F884" i="7"/>
  <c r="F885" i="7"/>
  <c r="F200" i="7"/>
  <c r="F201" i="7"/>
  <c r="F886" i="7"/>
  <c r="F361" i="7"/>
  <c r="F967" i="7"/>
  <c r="F513" i="7"/>
  <c r="F514" i="7"/>
  <c r="F515" i="7"/>
  <c r="F516" i="7"/>
  <c r="F517" i="7"/>
  <c r="F316" i="7"/>
  <c r="F202" i="7"/>
  <c r="F887" i="7"/>
  <c r="F518" i="7"/>
  <c r="F519" i="7"/>
  <c r="F1373" i="7"/>
  <c r="F1369" i="7"/>
  <c r="F1371" i="7"/>
  <c r="F362" i="7"/>
  <c r="F363" i="7"/>
  <c r="F364" i="7"/>
  <c r="F365" i="7"/>
  <c r="F366" i="7"/>
  <c r="F367" i="7"/>
  <c r="F740" i="7"/>
  <c r="F1225" i="7"/>
  <c r="F520" i="7"/>
  <c r="F597" i="7"/>
  <c r="F741" i="7"/>
  <c r="F368" i="7"/>
  <c r="F1118" i="7"/>
  <c r="F742" i="7"/>
  <c r="F203" i="7"/>
  <c r="F890" i="7"/>
  <c r="F891" i="7"/>
  <c r="F892" i="7"/>
  <c r="F893" i="7"/>
  <c r="F894" i="7"/>
  <c r="F743" i="7"/>
  <c r="F204" i="7"/>
  <c r="F205" i="7"/>
  <c r="F96" i="7"/>
  <c r="F97" i="7"/>
  <c r="F1374" i="7"/>
  <c r="F744" i="7"/>
  <c r="F745" i="7"/>
  <c r="F746" i="7"/>
  <c r="F747" i="7"/>
  <c r="F748" i="7"/>
  <c r="F749" i="7"/>
  <c r="F750" i="7"/>
  <c r="F751" i="7"/>
  <c r="F752" i="7"/>
  <c r="F895" i="7"/>
  <c r="F896" i="7"/>
  <c r="F753" i="7"/>
  <c r="F1226" i="7"/>
  <c r="F1454" i="7"/>
  <c r="F1375" i="7"/>
  <c r="F1491" i="7"/>
  <c r="F1492" i="7"/>
  <c r="F1119" i="7"/>
  <c r="F1120" i="7"/>
  <c r="F1121" i="7"/>
  <c r="F1122" i="7"/>
  <c r="F1123" i="7"/>
  <c r="F1124" i="7"/>
  <c r="F1125" i="7"/>
  <c r="F409" i="7"/>
  <c r="F754" i="7"/>
  <c r="F317" i="7"/>
  <c r="F1376" i="7"/>
  <c r="F897" i="7"/>
  <c r="F898" i="7"/>
  <c r="F755" i="7"/>
  <c r="F1377" i="7"/>
  <c r="F1378" i="7"/>
  <c r="F206" i="7"/>
  <c r="F207" i="7"/>
  <c r="F899" i="7"/>
  <c r="F590" i="7"/>
  <c r="F591" i="7"/>
  <c r="F153" i="7"/>
  <c r="F58" i="7"/>
  <c r="F98" i="7"/>
  <c r="F900" i="7"/>
  <c r="F1379" i="7"/>
  <c r="F1380" i="7"/>
  <c r="F521" i="7"/>
  <c r="F522" i="7"/>
  <c r="F208" i="7"/>
  <c r="F523" i="7"/>
  <c r="F524" i="7"/>
  <c r="F525" i="7"/>
  <c r="F526" i="7"/>
  <c r="F527" i="7"/>
  <c r="F1381" i="7"/>
  <c r="F528" i="7"/>
  <c r="F901" i="7"/>
  <c r="F757" i="7"/>
  <c r="F1227" i="7"/>
  <c r="F902" i="7"/>
  <c r="F99" i="7"/>
  <c r="F758" i="7"/>
  <c r="F903" i="7"/>
  <c r="F904" i="7"/>
  <c r="F905" i="7"/>
  <c r="F906" i="7"/>
  <c r="F907" i="7"/>
  <c r="F908" i="7"/>
  <c r="F909" i="7"/>
  <c r="F910" i="7"/>
  <c r="F529" i="7"/>
  <c r="F530" i="7"/>
  <c r="F1382" i="7"/>
  <c r="F159" i="7"/>
  <c r="F759" i="7"/>
  <c r="F760" i="7"/>
  <c r="F761" i="7"/>
  <c r="F762" i="7"/>
  <c r="F763" i="7"/>
  <c r="F968" i="7"/>
  <c r="F969" i="7"/>
  <c r="F100" i="7"/>
  <c r="F101" i="7"/>
  <c r="F970" i="7"/>
  <c r="F971" i="7"/>
  <c r="F102" i="7"/>
  <c r="F103" i="7"/>
  <c r="F1255" i="7"/>
  <c r="F1126" i="7"/>
  <c r="F1127" i="7"/>
  <c r="F1128" i="7"/>
  <c r="F1129" i="7"/>
  <c r="F1130" i="7"/>
  <c r="F1131" i="7"/>
  <c r="F1132" i="7"/>
  <c r="F1133" i="7"/>
  <c r="F1134" i="7"/>
  <c r="F604" i="7"/>
  <c r="F911" i="7"/>
  <c r="F765" i="7"/>
  <c r="F1534" i="7"/>
  <c r="F1228" i="7"/>
  <c r="F766" i="7"/>
  <c r="F531" i="7"/>
  <c r="F1383" i="7"/>
  <c r="F369" i="7"/>
  <c r="F1535" i="7"/>
  <c r="F912" i="7"/>
  <c r="F913" i="7"/>
  <c r="F914" i="7"/>
  <c r="F915" i="7"/>
  <c r="F916" i="7"/>
  <c r="F917" i="7"/>
  <c r="F410" i="7"/>
  <c r="F209" i="7"/>
  <c r="F210" i="7"/>
  <c r="F918" i="7"/>
  <c r="F254" i="7"/>
  <c r="F255" i="7"/>
  <c r="F256" i="7"/>
  <c r="F370" i="7"/>
  <c r="F767" i="7"/>
  <c r="F768" i="7"/>
  <c r="F769" i="7"/>
  <c r="F770" i="7"/>
  <c r="F771" i="7"/>
  <c r="F772" i="7"/>
  <c r="F773" i="7"/>
  <c r="F774" i="7"/>
  <c r="F775" i="7"/>
  <c r="F776" i="7"/>
  <c r="F777" i="7"/>
  <c r="F778" i="7"/>
  <c r="F779" i="7"/>
  <c r="F780" i="7"/>
  <c r="F781" i="7"/>
  <c r="F211" i="7"/>
  <c r="F212" i="7"/>
  <c r="F213" i="7"/>
  <c r="F1384" i="7"/>
  <c r="F214" i="7"/>
  <c r="F215" i="7"/>
  <c r="F216" i="7"/>
  <c r="F1135" i="7"/>
  <c r="F919" i="7"/>
  <c r="F920" i="7"/>
  <c r="F782" i="7"/>
  <c r="F783" i="7"/>
  <c r="F532" i="7"/>
  <c r="F371" i="7"/>
  <c r="F1493" i="7"/>
  <c r="F1494" i="7"/>
  <c r="F1495" i="7"/>
  <c r="F1496" i="7"/>
  <c r="F217" i="7"/>
  <c r="F1136" i="7"/>
  <c r="F1137" i="7"/>
  <c r="F1138" i="7"/>
  <c r="F1139" i="7"/>
  <c r="F1385" i="7"/>
  <c r="F972" i="7"/>
  <c r="F973" i="7"/>
  <c r="F974" i="7"/>
  <c r="F975" i="7"/>
  <c r="F976" i="7"/>
  <c r="F977" i="7"/>
  <c r="F978" i="7"/>
  <c r="F1386" i="7"/>
  <c r="F1140" i="7"/>
  <c r="F1141" i="7"/>
  <c r="F1142" i="7"/>
  <c r="F104" i="7"/>
  <c r="F784" i="7"/>
  <c r="F105" i="7"/>
  <c r="F1179" i="7"/>
  <c r="F698" i="7"/>
  <c r="F699" i="7"/>
  <c r="F702" i="7"/>
  <c r="F716" i="7"/>
  <c r="F717" i="7"/>
  <c r="F723" i="7"/>
  <c r="F1387" i="7"/>
  <c r="F533" i="7"/>
  <c r="F923" i="7"/>
  <c r="F1186" i="7"/>
  <c r="F1536" i="7"/>
  <c r="F592" i="7"/>
  <c r="F593" i="7"/>
  <c r="F787" i="7"/>
  <c r="F788" i="7"/>
  <c r="F789" i="7"/>
  <c r="F790" i="7"/>
  <c r="F791" i="7"/>
  <c r="F1143" i="7"/>
  <c r="F594" i="7"/>
  <c r="F595" i="7"/>
  <c r="F534" i="7"/>
  <c r="F924" i="7"/>
  <c r="F925" i="7"/>
  <c r="F926" i="7"/>
  <c r="F535" i="7"/>
  <c r="F536" i="7"/>
  <c r="F537" i="7"/>
  <c r="F538" i="7"/>
  <c r="F539" i="7"/>
  <c r="F540" i="7"/>
  <c r="F541" i="7"/>
  <c r="F542" i="7"/>
  <c r="F543" i="7"/>
  <c r="F544" i="7"/>
  <c r="F545" i="7"/>
  <c r="F546" i="7"/>
  <c r="F1388" i="7"/>
  <c r="F792" i="7"/>
  <c r="F1455" i="7"/>
  <c r="F927" i="7"/>
  <c r="F928" i="7"/>
  <c r="F929" i="7"/>
  <c r="F108" i="7"/>
  <c r="F793" i="7"/>
  <c r="F794" i="7"/>
  <c r="F795" i="7"/>
  <c r="F109" i="7"/>
  <c r="F110" i="7"/>
  <c r="F111" i="7"/>
  <c r="F1389" i="7"/>
  <c r="F1390" i="7"/>
  <c r="F1391" i="7"/>
  <c r="F1392" i="7"/>
  <c r="F1393" i="7"/>
  <c r="F1394" i="7"/>
  <c r="F1395" i="7"/>
  <c r="F218" i="7"/>
  <c r="F219" i="7"/>
  <c r="F220" i="7"/>
  <c r="F1144" i="7"/>
  <c r="F1145" i="7"/>
  <c r="F221" i="7"/>
  <c r="F257" i="7"/>
  <c r="F258" i="7"/>
  <c r="F259" i="7"/>
  <c r="F112" i="7"/>
  <c r="F1396" i="7"/>
  <c r="F222" i="7"/>
  <c r="F796" i="7"/>
  <c r="F107" i="7"/>
  <c r="F797" i="7"/>
  <c r="F921" i="7"/>
  <c r="F922" i="7"/>
  <c r="F547" i="7"/>
  <c r="F548" i="7"/>
  <c r="F549" i="7"/>
  <c r="F1397" i="7"/>
  <c r="F1398" i="7"/>
  <c r="F1399" i="7"/>
  <c r="F260" i="7"/>
  <c r="F930" i="7"/>
  <c r="F223" i="7"/>
  <c r="F931" i="7"/>
  <c r="F550" i="7"/>
  <c r="F1400" i="7"/>
  <c r="F113" i="7"/>
  <c r="F114" i="7"/>
  <c r="F261" i="7"/>
  <c r="F262" i="7"/>
  <c r="F263" i="7"/>
  <c r="F115" i="7"/>
  <c r="F116" i="7"/>
  <c r="F117" i="7"/>
  <c r="F118" i="7"/>
  <c r="F798" i="7"/>
  <c r="F224" i="7"/>
  <c r="F596" i="7"/>
  <c r="F1181" i="7"/>
  <c r="F1497" i="7"/>
  <c r="F119" i="7"/>
  <c r="F120" i="7"/>
  <c r="F121" i="7"/>
  <c r="F122" i="7"/>
  <c r="F932" i="7"/>
  <c r="F123" i="7"/>
  <c r="F124" i="7"/>
  <c r="F933" i="7"/>
  <c r="F934" i="7"/>
  <c r="F935" i="7"/>
  <c r="F936" i="7"/>
  <c r="F937" i="7"/>
  <c r="F938" i="7"/>
  <c r="F939" i="7"/>
  <c r="F940" i="7"/>
  <c r="F941" i="7"/>
  <c r="F942" i="7"/>
  <c r="F943" i="7"/>
  <c r="F1401" i="7"/>
  <c r="F125" i="7"/>
  <c r="F126" i="7"/>
  <c r="F127" i="7"/>
  <c r="F1146" i="7"/>
  <c r="F128" i="7"/>
  <c r="F1147" i="7"/>
  <c r="F264" i="7"/>
  <c r="F1402" i="7"/>
  <c r="F265" i="7"/>
  <c r="F266" i="7"/>
  <c r="F551" i="7"/>
  <c r="F267" i="7"/>
  <c r="F268" i="7"/>
  <c r="F269" i="7"/>
  <c r="F270" i="7"/>
  <c r="F271" i="7"/>
  <c r="F272" i="7"/>
  <c r="F273" i="7"/>
  <c r="F274" i="7"/>
  <c r="F275" i="7"/>
  <c r="F276" i="7"/>
  <c r="F277" i="7"/>
  <c r="F278" i="7"/>
  <c r="F318" i="7"/>
  <c r="F319" i="7"/>
  <c r="F320" i="7"/>
  <c r="F321" i="7"/>
  <c r="F129" i="7"/>
  <c r="F888" i="7"/>
  <c r="F225" i="7"/>
  <c r="F1403" i="7"/>
  <c r="F1148" i="7"/>
  <c r="F799" i="7"/>
  <c r="F800" i="7"/>
  <c r="F1404" i="7"/>
  <c r="F1539" i="7"/>
  <c r="F1231" i="7"/>
  <c r="F1232" i="7"/>
  <c r="F1233" i="7"/>
  <c r="F552" i="7"/>
  <c r="F1149" i="7"/>
  <c r="F801" i="7"/>
  <c r="F802" i="7"/>
  <c r="F803" i="7"/>
  <c r="F160" i="7"/>
  <c r="F553" i="7"/>
  <c r="F279" i="7"/>
  <c r="F280" i="7"/>
  <c r="F372" i="7"/>
  <c r="F373" i="7"/>
  <c r="F374" i="7"/>
  <c r="F375" i="7"/>
  <c r="F376" i="7"/>
  <c r="F377" i="7"/>
  <c r="F378" i="7"/>
  <c r="F379" i="7"/>
  <c r="F380" i="7"/>
  <c r="F381" i="7"/>
  <c r="F382" i="7"/>
  <c r="F383" i="7"/>
  <c r="F598" i="7"/>
  <c r="F1182" i="7"/>
  <c r="F384" i="7"/>
  <c r="F385" i="7"/>
  <c r="F386" i="7"/>
  <c r="F1498" i="7"/>
  <c r="F1499" i="7"/>
  <c r="F1500" i="7"/>
  <c r="F1501" i="7"/>
  <c r="F1502" i="7"/>
  <c r="F1503" i="7"/>
  <c r="F1504" i="7"/>
  <c r="F1505" i="7"/>
  <c r="F1506" i="7"/>
  <c r="F1507" i="7"/>
  <c r="F1508" i="7"/>
  <c r="F1509" i="7"/>
  <c r="F1510" i="7"/>
  <c r="F1511" i="7"/>
  <c r="F1540" i="7"/>
  <c r="F411" i="7"/>
  <c r="F226" i="7"/>
  <c r="F1541" i="7"/>
  <c r="F1405" i="7"/>
  <c r="F281" i="7"/>
  <c r="F282" i="7"/>
  <c r="F412" i="7"/>
  <c r="F1150" i="7"/>
  <c r="F944" i="7"/>
  <c r="F804" i="7"/>
  <c r="F387" i="7"/>
  <c r="F388" i="7"/>
  <c r="F227" i="7"/>
  <c r="F1406" i="7"/>
  <c r="F554" i="7"/>
  <c r="F1456" i="7"/>
  <c r="F322" i="7"/>
  <c r="F945" i="7"/>
  <c r="F1512" i="7"/>
  <c r="F1513" i="7"/>
  <c r="F805" i="7"/>
  <c r="F806" i="7"/>
  <c r="F555" i="7"/>
  <c r="F228" i="7"/>
  <c r="F130" i="7"/>
  <c r="F1407" i="7"/>
  <c r="F1183" i="7"/>
  <c r="F599" i="7"/>
  <c r="F807" i="7"/>
  <c r="F946" i="7"/>
  <c r="F808" i="7"/>
  <c r="F809" i="7"/>
  <c r="F556" i="7"/>
  <c r="F1408" i="7"/>
  <c r="F557" i="7"/>
  <c r="F558" i="7"/>
  <c r="F559" i="7"/>
  <c r="F560" i="7"/>
  <c r="F1409" i="7"/>
  <c r="F1410" i="7"/>
  <c r="F1411" i="7"/>
  <c r="F1412" i="7"/>
  <c r="F1413" i="7"/>
  <c r="F1414" i="7"/>
  <c r="F1415" i="7"/>
  <c r="F1416" i="7"/>
  <c r="F1417" i="7"/>
  <c r="F810" i="7"/>
  <c r="F811" i="7"/>
  <c r="F812" i="7"/>
  <c r="F813" i="7"/>
  <c r="F814" i="7"/>
  <c r="F815" i="7"/>
  <c r="F816" i="7"/>
  <c r="F817" i="7"/>
  <c r="F818" i="7"/>
  <c r="F819" i="7"/>
  <c r="F820" i="7"/>
  <c r="F131" i="7"/>
  <c r="F1418" i="7"/>
  <c r="F1419" i="7"/>
  <c r="F600" i="7"/>
  <c r="F601" i="7"/>
  <c r="F602" i="7"/>
  <c r="F603" i="7"/>
  <c r="F889" i="7"/>
  <c r="F1542" i="7"/>
  <c r="F1543" i="7"/>
  <c r="F1544" i="7"/>
  <c r="F821" i="7"/>
  <c r="F822" i="7"/>
  <c r="F561" i="7"/>
  <c r="F1514" i="7"/>
  <c r="F1515" i="7"/>
  <c r="F1420" i="7"/>
  <c r="F1234" i="7"/>
  <c r="F283" i="7"/>
  <c r="F132" i="7"/>
  <c r="F229" i="7"/>
  <c r="F1421" i="7"/>
  <c r="F230" i="7"/>
  <c r="F231" i="7"/>
  <c r="F232" i="7"/>
  <c r="F823" i="7"/>
  <c r="F133" i="7"/>
  <c r="F1422" i="7"/>
  <c r="F824" i="7"/>
  <c r="F947" i="7"/>
  <c r="F825" i="7"/>
  <c r="F233" i="7"/>
  <c r="F1423" i="7"/>
  <c r="F1172" i="7"/>
  <c r="F979" i="7"/>
  <c r="F980" i="7"/>
  <c r="F981" i="7"/>
  <c r="F982" i="7"/>
  <c r="F413" i="7"/>
  <c r="F414" i="7"/>
  <c r="F983" i="7"/>
  <c r="F984" i="7"/>
  <c r="F985" i="7"/>
  <c r="F986" i="7"/>
  <c r="F987" i="7"/>
  <c r="F988" i="7"/>
  <c r="F989" i="7"/>
  <c r="F990" i="7"/>
  <c r="F991" i="7"/>
  <c r="F992" i="7"/>
  <c r="F993" i="7"/>
  <c r="F994" i="7"/>
  <c r="F995" i="7"/>
  <c r="F996" i="7"/>
  <c r="F997" i="7"/>
  <c r="F998" i="7"/>
  <c r="F999" i="7"/>
  <c r="F562" i="7"/>
  <c r="F1424" i="7"/>
  <c r="F1425" i="7"/>
  <c r="F1426" i="7"/>
  <c r="F1427" i="7"/>
  <c r="F1428" i="7"/>
  <c r="F134" i="7"/>
  <c r="F826" i="7"/>
  <c r="F563" i="7"/>
  <c r="F827" i="7"/>
  <c r="F1000" i="7"/>
  <c r="F135" i="7"/>
  <c r="F323" i="7"/>
  <c r="F324" i="7"/>
  <c r="F948" i="7"/>
  <c r="F949" i="7"/>
  <c r="F564" i="7"/>
  <c r="F136" i="7"/>
  <c r="F137" i="7"/>
  <c r="F138" i="7"/>
  <c r="F139" i="7"/>
  <c r="F1429" i="7"/>
  <c r="F950" i="7"/>
  <c r="F1545" i="7"/>
  <c r="F1546" i="7"/>
  <c r="F1516" i="7"/>
  <c r="F951" i="7"/>
  <c r="F952" i="7"/>
  <c r="F953" i="7"/>
  <c r="F954" i="7"/>
  <c r="F828" i="7"/>
  <c r="F1430" i="7"/>
  <c r="F1431" i="7"/>
  <c r="F1432" i="7"/>
  <c r="F1433" i="7"/>
  <c r="F1434" i="7"/>
  <c r="F1435" i="7"/>
  <c r="F1436" i="7"/>
  <c r="F1437" i="7"/>
  <c r="F605" i="7"/>
  <c r="F415" i="7"/>
  <c r="F1166" i="7"/>
  <c r="F1001" i="7"/>
  <c r="F1002" i="7"/>
  <c r="F1003" i="7"/>
  <c r="F1004" i="7"/>
  <c r="F1005" i="7"/>
  <c r="F1006" i="7"/>
  <c r="F1007" i="7"/>
  <c r="F1008" i="7"/>
  <c r="F1009" i="7"/>
  <c r="F1438" i="7"/>
  <c r="F1439" i="7"/>
  <c r="F1440" i="7"/>
  <c r="F565" i="7"/>
  <c r="F566" i="7"/>
  <c r="F567" i="7"/>
  <c r="F287" i="7"/>
  <c r="F234" i="7"/>
  <c r="F235" i="7"/>
  <c r="F236" i="7"/>
  <c r="F829" i="7"/>
  <c r="F830" i="7"/>
  <c r="F955" i="7"/>
  <c r="F288" i="7"/>
  <c r="F289" i="7"/>
  <c r="F290" i="7"/>
  <c r="F291" i="7"/>
  <c r="F292" i="7"/>
  <c r="F293" i="7"/>
  <c r="F294" i="7"/>
  <c r="F295" i="7"/>
  <c r="F296" i="7"/>
  <c r="F297" i="7"/>
  <c r="F298" i="7"/>
  <c r="F299" i="7"/>
  <c r="F300" i="7"/>
  <c r="F301" i="7"/>
  <c r="F302" i="7"/>
  <c r="F303" i="7"/>
  <c r="F304" i="7"/>
  <c r="F305" i="7"/>
  <c r="F306" i="7"/>
  <c r="F307" i="7"/>
  <c r="F308" i="7"/>
  <c r="F1273" i="7"/>
  <c r="F1274" i="7"/>
  <c r="F1275" i="7"/>
  <c r="F140" i="7"/>
  <c r="F141" i="7"/>
  <c r="F142" i="7"/>
  <c r="F143" i="7"/>
  <c r="F144" i="7"/>
  <c r="F1151" i="7"/>
  <c r="F1152" i="7"/>
  <c r="F1153" i="7"/>
  <c r="F1154" i="7"/>
  <c r="F1256" i="7"/>
  <c r="F1155" i="7"/>
  <c r="F237" i="7"/>
  <c r="F145" i="7"/>
  <c r="F1156" i="7"/>
  <c r="F1157" i="7"/>
  <c r="F1158" i="7"/>
  <c r="F146" i="7"/>
  <c r="F568" i="7"/>
  <c r="F147" i="7"/>
  <c r="F148" i="7"/>
  <c r="F149" i="7"/>
  <c r="F150" i="7"/>
  <c r="F1159" i="7"/>
  <c r="F1235" i="7"/>
  <c r="F1160" i="7"/>
  <c r="F1276" i="7"/>
  <c r="F1277" i="7"/>
  <c r="F1278" i="7"/>
  <c r="F1173" i="7"/>
  <c r="F1176" i="7"/>
  <c r="F1174" i="7"/>
  <c r="F1180" i="7"/>
  <c r="F238" i="7"/>
  <c r="F239" i="7"/>
  <c r="F240" i="7"/>
  <c r="F241" i="7"/>
  <c r="F242" i="7"/>
  <c r="F243" i="7"/>
  <c r="F244" i="7"/>
  <c r="F245" i="7"/>
  <c r="F956" i="7"/>
  <c r="F957" i="7"/>
  <c r="F958" i="7"/>
  <c r="F959" i="7"/>
  <c r="F389" i="7"/>
  <c r="F390" i="7"/>
  <c r="F391" i="7"/>
  <c r="F392" i="7"/>
  <c r="F393" i="7"/>
  <c r="F394" i="7"/>
  <c r="F395" i="7"/>
  <c r="F396" i="7"/>
  <c r="F397" i="7"/>
  <c r="F398" i="7"/>
  <c r="F399" i="7"/>
  <c r="F400" i="7"/>
  <c r="F401" i="7"/>
  <c r="F402" i="7"/>
  <c r="F1441" i="7"/>
  <c r="F152" i="7"/>
  <c r="F1161" i="7"/>
  <c r="F1517" i="7"/>
  <c r="F1470" i="7"/>
  <c r="F1518" i="7"/>
  <c r="F1471" i="7"/>
  <c r="F1519" i="7"/>
  <c r="F1520" i="7"/>
  <c r="F1521" i="7"/>
  <c r="F1522" i="7"/>
  <c r="F1523" i="7"/>
  <c r="F1524" i="7"/>
  <c r="F1525" i="7"/>
  <c r="F416" i="7"/>
  <c r="F417" i="7"/>
  <c r="F154" i="7"/>
  <c r="F155" i="7"/>
  <c r="F34" i="7"/>
  <c r="F156" i="7"/>
  <c r="F157" i="7"/>
  <c r="F158" i="7"/>
  <c r="F831" i="7"/>
  <c r="F832" i="7"/>
  <c r="F1547" i="7"/>
  <c r="F1548" i="7"/>
  <c r="F1549" i="7"/>
  <c r="F569" i="7"/>
  <c r="F570" i="7"/>
  <c r="F960" i="7"/>
  <c r="E161" i="7"/>
  <c r="E162" i="7"/>
  <c r="E163" i="7"/>
  <c r="E164" i="7"/>
  <c r="E2" i="7"/>
  <c r="E1177" i="7"/>
  <c r="E1167" i="7"/>
  <c r="E1281" i="7"/>
  <c r="E3" i="7"/>
  <c r="E4" i="7"/>
  <c r="E5" i="7"/>
  <c r="E6" i="7"/>
  <c r="E1187" i="7"/>
  <c r="E833" i="7"/>
  <c r="E7" i="7"/>
  <c r="E1010" i="7"/>
  <c r="E1282" i="7"/>
  <c r="E1283" i="7"/>
  <c r="E1284" i="7"/>
  <c r="E834" i="7"/>
  <c r="E418" i="7"/>
  <c r="E8" i="7"/>
  <c r="E9" i="7"/>
  <c r="E10" i="7"/>
  <c r="E11" i="7"/>
  <c r="E12" i="7"/>
  <c r="E13" i="7"/>
  <c r="E14" i="7"/>
  <c r="E15" i="7"/>
  <c r="E286" i="7"/>
  <c r="E16" i="7"/>
  <c r="E17" i="7"/>
  <c r="E18" i="7"/>
  <c r="E19" i="7"/>
  <c r="E20" i="7"/>
  <c r="E21" i="7"/>
  <c r="E1457" i="7"/>
  <c r="E961" i="7"/>
  <c r="E1285" i="7"/>
  <c r="E1286" i="7"/>
  <c r="E1287" i="7"/>
  <c r="E1288" i="7"/>
  <c r="E1289" i="7"/>
  <c r="E1443" i="7"/>
  <c r="E403" i="7"/>
  <c r="E962" i="7"/>
  <c r="E22" i="7"/>
  <c r="E106" i="7"/>
  <c r="E835" i="7"/>
  <c r="E419" i="7"/>
  <c r="E420" i="7"/>
  <c r="E574" i="7"/>
  <c r="E404" i="7"/>
  <c r="E421" i="7"/>
  <c r="E1290" i="7"/>
  <c r="E1291" i="7"/>
  <c r="E575" i="7"/>
  <c r="E576" i="7"/>
  <c r="E577" i="7"/>
  <c r="E836" i="7"/>
  <c r="E837" i="7"/>
  <c r="E1292" i="7"/>
  <c r="E1293" i="7"/>
  <c r="E422" i="7"/>
  <c r="E423" i="7"/>
  <c r="E424" i="7"/>
  <c r="E838" i="7"/>
  <c r="E1294" i="7"/>
  <c r="E1295" i="7"/>
  <c r="E839" i="7"/>
  <c r="E23" i="7"/>
  <c r="E1168" i="7"/>
  <c r="E325" i="7"/>
  <c r="E326" i="7"/>
  <c r="E327" i="7"/>
  <c r="E1296" i="7"/>
  <c r="E1297" i="7"/>
  <c r="E328" i="7"/>
  <c r="E329" i="7"/>
  <c r="E330" i="7"/>
  <c r="E1162" i="7"/>
  <c r="E578" i="7"/>
  <c r="E617" i="7"/>
  <c r="E618" i="7"/>
  <c r="E24" i="7"/>
  <c r="E347" i="7"/>
  <c r="E331" i="7"/>
  <c r="E619" i="7"/>
  <c r="E165" i="7"/>
  <c r="E963" i="7"/>
  <c r="E1298" i="7"/>
  <c r="E840" i="7"/>
  <c r="E1190" i="7"/>
  <c r="E425" i="7"/>
  <c r="E620" i="7"/>
  <c r="E1229" i="7"/>
  <c r="E1230" i="7"/>
  <c r="E426" i="7"/>
  <c r="E622" i="7"/>
  <c r="E1257" i="7"/>
  <c r="E606" i="7"/>
  <c r="E1299" i="7"/>
  <c r="E1300" i="7"/>
  <c r="E1301" i="7"/>
  <c r="E427" i="7"/>
  <c r="E1011" i="7"/>
  <c r="E1012" i="7"/>
  <c r="E1013" i="7"/>
  <c r="E1014" i="7"/>
  <c r="E166" i="7"/>
  <c r="E167" i="7"/>
  <c r="E168" i="7"/>
  <c r="E169" i="7"/>
  <c r="E170" i="7"/>
  <c r="E1458" i="7"/>
  <c r="E1015" i="7"/>
  <c r="E1016" i="7"/>
  <c r="E1017" i="7"/>
  <c r="E1018" i="7"/>
  <c r="E1019" i="7"/>
  <c r="E1020" i="7"/>
  <c r="E1021" i="7"/>
  <c r="E1022" i="7"/>
  <c r="E1023" i="7"/>
  <c r="E1024" i="7"/>
  <c r="E1025" i="7"/>
  <c r="E1026" i="7"/>
  <c r="E1027" i="7"/>
  <c r="E1028" i="7"/>
  <c r="E1029" i="7"/>
  <c r="E1030" i="7"/>
  <c r="E1031" i="7"/>
  <c r="E1032" i="7"/>
  <c r="E1033" i="7"/>
  <c r="E1459" i="7"/>
  <c r="E1034" i="7"/>
  <c r="E1035" i="7"/>
  <c r="E1036" i="7"/>
  <c r="E1037" i="7"/>
  <c r="E1038" i="7"/>
  <c r="E1039" i="7"/>
  <c r="E1040" i="7"/>
  <c r="E1041" i="7"/>
  <c r="E1042" i="7"/>
  <c r="E1043" i="7"/>
  <c r="E1044" i="7"/>
  <c r="E1045" i="7"/>
  <c r="E1046" i="7"/>
  <c r="E284" i="7"/>
  <c r="E1047" i="7"/>
  <c r="E1048" i="7"/>
  <c r="E25" i="7"/>
  <c r="E841" i="7"/>
  <c r="E26" i="7"/>
  <c r="E27" i="7"/>
  <c r="E28" i="7"/>
  <c r="E29" i="7"/>
  <c r="E842" i="7"/>
  <c r="E1444" i="7"/>
  <c r="E1302" i="7"/>
  <c r="E623" i="7"/>
  <c r="E624" i="7"/>
  <c r="E30" i="7"/>
  <c r="E31" i="7"/>
  <c r="E1303" i="7"/>
  <c r="E1304" i="7"/>
  <c r="E405" i="7"/>
  <c r="E1305" i="7"/>
  <c r="E1306" i="7"/>
  <c r="E1307" i="7"/>
  <c r="E1308" i="7"/>
  <c r="E1309" i="7"/>
  <c r="E1310" i="7"/>
  <c r="E1311" i="7"/>
  <c r="E1192" i="7"/>
  <c r="E1312" i="7"/>
  <c r="E1313" i="7"/>
  <c r="E1314" i="7"/>
  <c r="E1315" i="7"/>
  <c r="E171" i="7"/>
  <c r="E1460" i="7"/>
  <c r="E579" i="7"/>
  <c r="E172" i="7"/>
  <c r="E173" i="7"/>
  <c r="E174" i="7"/>
  <c r="E175" i="7"/>
  <c r="E176" i="7"/>
  <c r="E177" i="7"/>
  <c r="E32" i="7"/>
  <c r="E178" i="7"/>
  <c r="E843" i="7"/>
  <c r="E844" i="7"/>
  <c r="E845" i="7"/>
  <c r="E846" i="7"/>
  <c r="E1236" i="7"/>
  <c r="E1237" i="7"/>
  <c r="E1526" i="7"/>
  <c r="E428" i="7"/>
  <c r="E1445" i="7"/>
  <c r="E1316" i="7"/>
  <c r="E1317" i="7"/>
  <c r="E429" i="7"/>
  <c r="E430" i="7"/>
  <c r="E431" i="7"/>
  <c r="E847" i="7"/>
  <c r="E625" i="7"/>
  <c r="E626" i="7"/>
  <c r="E627" i="7"/>
  <c r="E628" i="7"/>
  <c r="E629" i="7"/>
  <c r="E580" i="7"/>
  <c r="E1527" i="7"/>
  <c r="E607" i="7"/>
  <c r="E608" i="7"/>
  <c r="E609" i="7"/>
  <c r="E630" i="7"/>
  <c r="E631" i="7"/>
  <c r="E632" i="7"/>
  <c r="E633" i="7"/>
  <c r="E179" i="7"/>
  <c r="E634" i="7"/>
  <c r="E635" i="7"/>
  <c r="E636" i="7"/>
  <c r="E637" i="7"/>
  <c r="E638" i="7"/>
  <c r="E1163" i="7"/>
  <c r="E1461" i="7"/>
  <c r="E1462" i="7"/>
  <c r="E1463" i="7"/>
  <c r="E1464" i="7"/>
  <c r="E1465" i="7"/>
  <c r="E1466" i="7"/>
  <c r="E1467" i="7"/>
  <c r="E1468" i="7"/>
  <c r="E1469" i="7"/>
  <c r="E1164" i="7"/>
  <c r="E432" i="7"/>
  <c r="E433" i="7"/>
  <c r="E1318" i="7"/>
  <c r="E848" i="7"/>
  <c r="E849" i="7"/>
  <c r="E434" i="7"/>
  <c r="E435" i="7"/>
  <c r="E334" i="7"/>
  <c r="E335" i="7"/>
  <c r="E336" i="7"/>
  <c r="E337" i="7"/>
  <c r="E340" i="7"/>
  <c r="E341" i="7"/>
  <c r="E342" i="7"/>
  <c r="E343" i="7"/>
  <c r="E344" i="7"/>
  <c r="E345" i="7"/>
  <c r="E348" i="7"/>
  <c r="E349" i="7"/>
  <c r="E1528" i="7"/>
  <c r="E581" i="7"/>
  <c r="E1169" i="7"/>
  <c r="E1184" i="7"/>
  <c r="E1175" i="7"/>
  <c r="E1193" i="7"/>
  <c r="E1194" i="7"/>
  <c r="E1049" i="7"/>
  <c r="E1050" i="7"/>
  <c r="E1051" i="7"/>
  <c r="E1052" i="7"/>
  <c r="E1053" i="7"/>
  <c r="E1054" i="7"/>
  <c r="E1055" i="7"/>
  <c r="E1195" i="7"/>
  <c r="E1196" i="7"/>
  <c r="E1197" i="7"/>
  <c r="E582" i="7"/>
  <c r="E583" i="7"/>
  <c r="E964" i="7"/>
  <c r="E350" i="7"/>
  <c r="E351" i="7"/>
  <c r="E352" i="7"/>
  <c r="E436" i="7"/>
  <c r="E1472" i="7"/>
  <c r="E1473" i="7"/>
  <c r="E1474" i="7"/>
  <c r="E1475" i="7"/>
  <c r="E1056" i="7"/>
  <c r="E180" i="7"/>
  <c r="E650" i="7"/>
  <c r="E1319" i="7"/>
  <c r="E1320" i="7"/>
  <c r="E1321" i="7"/>
  <c r="E1198" i="7"/>
  <c r="E1322" i="7"/>
  <c r="E1323" i="7"/>
  <c r="E1238" i="7"/>
  <c r="E1239" i="7"/>
  <c r="E1324" i="7"/>
  <c r="E1325" i="7"/>
  <c r="E1326" i="7"/>
  <c r="E1327" i="7"/>
  <c r="E1328" i="7"/>
  <c r="E1329" i="7"/>
  <c r="E1330" i="7"/>
  <c r="E1331" i="7"/>
  <c r="E35" i="7"/>
  <c r="E36" i="7"/>
  <c r="E37" i="7"/>
  <c r="E406" i="7"/>
  <c r="E38" i="7"/>
  <c r="E1258" i="7"/>
  <c r="E1057" i="7"/>
  <c r="E610" i="7"/>
  <c r="E611" i="7"/>
  <c r="E612" i="7"/>
  <c r="E651" i="7"/>
  <c r="E850" i="7"/>
  <c r="E1199" i="7"/>
  <c r="E39" i="7"/>
  <c r="E1058" i="7"/>
  <c r="E1059" i="7"/>
  <c r="E1060" i="7"/>
  <c r="E1061" i="7"/>
  <c r="E1062" i="7"/>
  <c r="E1063" i="7"/>
  <c r="E1064" i="7"/>
  <c r="E1476" i="7"/>
  <c r="E1332" i="7"/>
  <c r="E1333" i="7"/>
  <c r="E1334" i="7"/>
  <c r="E1335" i="7"/>
  <c r="E1336" i="7"/>
  <c r="E652" i="7"/>
  <c r="E653" i="7"/>
  <c r="E654" i="7"/>
  <c r="E1253" i="7"/>
  <c r="E1254" i="7"/>
  <c r="E437" i="7"/>
  <c r="E1259" i="7"/>
  <c r="E1260" i="7"/>
  <c r="E1261" i="7"/>
  <c r="E1279" i="7"/>
  <c r="E40" i="7"/>
  <c r="E41" i="7"/>
  <c r="E438" i="7"/>
  <c r="E1337" i="7"/>
  <c r="E1240" i="7"/>
  <c r="E1338" i="7"/>
  <c r="E1065" i="7"/>
  <c r="E1066" i="7"/>
  <c r="E1067" i="7"/>
  <c r="E1068" i="7"/>
  <c r="E1069" i="7"/>
  <c r="E1070" i="7"/>
  <c r="E1071" i="7"/>
  <c r="E1072" i="7"/>
  <c r="E1073" i="7"/>
  <c r="E1074" i="7"/>
  <c r="E1075" i="7"/>
  <c r="E1076" i="7"/>
  <c r="E1077" i="7"/>
  <c r="E1078" i="7"/>
  <c r="E1079" i="7"/>
  <c r="E1080" i="7"/>
  <c r="E1081" i="7"/>
  <c r="E1082" i="7"/>
  <c r="E1083" i="7"/>
  <c r="E1084" i="7"/>
  <c r="E1085" i="7"/>
  <c r="E1086" i="7"/>
  <c r="E1446" i="7"/>
  <c r="E1447" i="7"/>
  <c r="E851" i="7"/>
  <c r="E658" i="7"/>
  <c r="E1087" i="7"/>
  <c r="E1088" i="7"/>
  <c r="E1477" i="7"/>
  <c r="E1262" i="7"/>
  <c r="E181" i="7"/>
  <c r="E1200" i="7"/>
  <c r="E1201" i="7"/>
  <c r="E1089" i="7"/>
  <c r="E1090" i="7"/>
  <c r="E1091" i="7"/>
  <c r="E1092" i="7"/>
  <c r="E1093" i="7"/>
  <c r="E1094" i="7"/>
  <c r="E1095" i="7"/>
  <c r="E613" i="7"/>
  <c r="E1339" i="7"/>
  <c r="E439" i="7"/>
  <c r="E440" i="7"/>
  <c r="E441" i="7"/>
  <c r="E442" i="7"/>
  <c r="E443" i="7"/>
  <c r="E506" i="7"/>
  <c r="E512" i="7"/>
  <c r="E332" i="7"/>
  <c r="E661" i="7"/>
  <c r="E42" i="7"/>
  <c r="E43" i="7"/>
  <c r="E44" i="7"/>
  <c r="E45" i="7"/>
  <c r="E1529" i="7"/>
  <c r="E1537" i="7"/>
  <c r="E664" i="7"/>
  <c r="E665" i="7"/>
  <c r="E648" i="7"/>
  <c r="E663" i="7"/>
  <c r="E660" i="7"/>
  <c r="E669" i="7"/>
  <c r="E670" i="7"/>
  <c r="E1241" i="7"/>
  <c r="E1242" i="7"/>
  <c r="E671" i="7"/>
  <c r="E1448" i="7"/>
  <c r="E407" i="7"/>
  <c r="E1202" i="7"/>
  <c r="E1203" i="7"/>
  <c r="E1204" i="7"/>
  <c r="E46" i="7"/>
  <c r="E47" i="7"/>
  <c r="E48" i="7"/>
  <c r="E49" i="7"/>
  <c r="E50" i="7"/>
  <c r="E182" i="7"/>
  <c r="E584" i="7"/>
  <c r="E1170" i="7"/>
  <c r="E1178" i="7"/>
  <c r="E1205" i="7"/>
  <c r="E183" i="7"/>
  <c r="E585" i="7"/>
  <c r="E852" i="7"/>
  <c r="E853" i="7"/>
  <c r="E51" i="7"/>
  <c r="E52" i="7"/>
  <c r="E309" i="7"/>
  <c r="E310" i="7"/>
  <c r="E444" i="7"/>
  <c r="E445" i="7"/>
  <c r="E333" i="7"/>
  <c r="E1340" i="7"/>
  <c r="E1341" i="7"/>
  <c r="E53" i="7"/>
  <c r="E54" i="7"/>
  <c r="E1206" i="7"/>
  <c r="E446" i="7"/>
  <c r="E55" i="7"/>
  <c r="E56" i="7"/>
  <c r="E1342" i="7"/>
  <c r="E1343" i="7"/>
  <c r="E1344" i="7"/>
  <c r="E1345" i="7"/>
  <c r="E1346" i="7"/>
  <c r="E1347" i="7"/>
  <c r="E1348" i="7"/>
  <c r="E1349" i="7"/>
  <c r="E1096" i="7"/>
  <c r="E1097" i="7"/>
  <c r="E1098" i="7"/>
  <c r="E1530" i="7"/>
  <c r="E1538" i="7"/>
  <c r="E447" i="7"/>
  <c r="E1350" i="7"/>
  <c r="E1351" i="7"/>
  <c r="E448" i="7"/>
  <c r="E449" i="7"/>
  <c r="E450" i="7"/>
  <c r="E451" i="7"/>
  <c r="E452" i="7"/>
  <c r="E453" i="7"/>
  <c r="E454" i="7"/>
  <c r="E455" i="7"/>
  <c r="E456" i="7"/>
  <c r="E1207" i="7"/>
  <c r="E457" i="7"/>
  <c r="E458" i="7"/>
  <c r="E459" i="7"/>
  <c r="E460" i="7"/>
  <c r="E1449" i="7"/>
  <c r="E461" i="7"/>
  <c r="E1208" i="7"/>
  <c r="E1209" i="7"/>
  <c r="E1210" i="7"/>
  <c r="E1211" i="7"/>
  <c r="E1219" i="7"/>
  <c r="E1220" i="7"/>
  <c r="E1188" i="7"/>
  <c r="E1189" i="7"/>
  <c r="E1191" i="7"/>
  <c r="E1212" i="7"/>
  <c r="E1213" i="7"/>
  <c r="E1263" i="7"/>
  <c r="E1264" i="7"/>
  <c r="E1265" i="7"/>
  <c r="E1352" i="7"/>
  <c r="E854" i="7"/>
  <c r="E855" i="7"/>
  <c r="E856" i="7"/>
  <c r="E857" i="7"/>
  <c r="E858" i="7"/>
  <c r="E33" i="7"/>
  <c r="E59" i="7"/>
  <c r="E60" i="7"/>
  <c r="E61" i="7"/>
  <c r="E62" i="7"/>
  <c r="E63" i="7"/>
  <c r="E64" i="7"/>
  <c r="E65" i="7"/>
  <c r="E66" i="7"/>
  <c r="E67" i="7"/>
  <c r="E68" i="7"/>
  <c r="E69" i="7"/>
  <c r="E70" i="7"/>
  <c r="E71" i="7"/>
  <c r="E72" i="7"/>
  <c r="E73" i="7"/>
  <c r="E74" i="7"/>
  <c r="E1214" i="7"/>
  <c r="E1353" i="7"/>
  <c r="E75" i="7"/>
  <c r="E462" i="7"/>
  <c r="E1354" i="7"/>
  <c r="E1099" i="7"/>
  <c r="E76" i="7"/>
  <c r="E1243" i="7"/>
  <c r="E1355" i="7"/>
  <c r="E1244" i="7"/>
  <c r="E1245" i="7"/>
  <c r="E1356" i="7"/>
  <c r="E674" i="7"/>
  <c r="E1478" i="7"/>
  <c r="E463" i="7"/>
  <c r="E464" i="7"/>
  <c r="E465" i="7"/>
  <c r="E1100" i="7"/>
  <c r="E965" i="7"/>
  <c r="E1357" i="7"/>
  <c r="E1450" i="7"/>
  <c r="E1101" i="7"/>
  <c r="E184" i="7"/>
  <c r="E185" i="7"/>
  <c r="E186" i="7"/>
  <c r="E187" i="7"/>
  <c r="E188" i="7"/>
  <c r="E189" i="7"/>
  <c r="E966" i="7"/>
  <c r="E675" i="7"/>
  <c r="E1165" i="7"/>
  <c r="E1358" i="7"/>
  <c r="E859" i="7"/>
  <c r="E860" i="7"/>
  <c r="E861" i="7"/>
  <c r="E676" i="7"/>
  <c r="E677" i="7"/>
  <c r="E678" i="7"/>
  <c r="E679" i="7"/>
  <c r="E680" i="7"/>
  <c r="E586" i="7"/>
  <c r="E862" i="7"/>
  <c r="E1102" i="7"/>
  <c r="E1215" i="7"/>
  <c r="E466" i="7"/>
  <c r="E338" i="7"/>
  <c r="E339" i="7"/>
  <c r="E1359" i="7"/>
  <c r="E467" i="7"/>
  <c r="E468" i="7"/>
  <c r="E469" i="7"/>
  <c r="E470" i="7"/>
  <c r="E1360" i="7"/>
  <c r="E681" i="7"/>
  <c r="E1361" i="7"/>
  <c r="E572" i="7"/>
  <c r="E573" i="7"/>
  <c r="E571" i="7"/>
  <c r="E311" i="7"/>
  <c r="E312" i="7"/>
  <c r="E313" i="7"/>
  <c r="E314" i="7"/>
  <c r="E1216" i="7"/>
  <c r="E1217" i="7"/>
  <c r="E1362" i="7"/>
  <c r="E471" i="7"/>
  <c r="E863" i="7"/>
  <c r="E1363" i="7"/>
  <c r="E1364" i="7"/>
  <c r="E408" i="7"/>
  <c r="E1365" i="7"/>
  <c r="E472" i="7"/>
  <c r="E473" i="7"/>
  <c r="E474" i="7"/>
  <c r="E475" i="7"/>
  <c r="E476" i="7"/>
  <c r="E477" i="7"/>
  <c r="E478" i="7"/>
  <c r="E479" i="7"/>
  <c r="E480" i="7"/>
  <c r="E481" i="7"/>
  <c r="E482" i="7"/>
  <c r="E483" i="7"/>
  <c r="E1103" i="7"/>
  <c r="E587" i="7"/>
  <c r="E614" i="7"/>
  <c r="E615" i="7"/>
  <c r="E616" i="7"/>
  <c r="E1246" i="7"/>
  <c r="E1247" i="7"/>
  <c r="E1248" i="7"/>
  <c r="E1249" i="7"/>
  <c r="E1250" i="7"/>
  <c r="E1251" i="7"/>
  <c r="E1252" i="7"/>
  <c r="E484" i="7"/>
  <c r="E485" i="7"/>
  <c r="E682" i="7"/>
  <c r="E683" i="7"/>
  <c r="E684" i="7"/>
  <c r="E685" i="7"/>
  <c r="E756" i="7"/>
  <c r="E864" i="7"/>
  <c r="E77" i="7"/>
  <c r="E1451" i="7"/>
  <c r="E190" i="7"/>
  <c r="E191" i="7"/>
  <c r="E192" i="7"/>
  <c r="E193" i="7"/>
  <c r="E194" i="7"/>
  <c r="E486" i="7"/>
  <c r="E487" i="7"/>
  <c r="E488" i="7"/>
  <c r="E489" i="7"/>
  <c r="E490" i="7"/>
  <c r="E1218" i="7"/>
  <c r="E491" i="7"/>
  <c r="E492" i="7"/>
  <c r="E493" i="7"/>
  <c r="E1266" i="7"/>
  <c r="E1267" i="7"/>
  <c r="E1280" i="7"/>
  <c r="E686" i="7"/>
  <c r="E1452" i="7"/>
  <c r="E195" i="7"/>
  <c r="E78" i="7"/>
  <c r="E79" i="7"/>
  <c r="E1453" i="7"/>
  <c r="E494" i="7"/>
  <c r="E687" i="7"/>
  <c r="E667" i="7"/>
  <c r="E672" i="7"/>
  <c r="E646" i="7"/>
  <c r="E621" i="7"/>
  <c r="E642" i="7"/>
  <c r="E640" i="7"/>
  <c r="E688" i="7"/>
  <c r="E655" i="7"/>
  <c r="E662" i="7"/>
  <c r="E644" i="7"/>
  <c r="E657" i="7"/>
  <c r="E689" i="7"/>
  <c r="E690" i="7"/>
  <c r="E691" i="7"/>
  <c r="E692" i="7"/>
  <c r="E693" i="7"/>
  <c r="E80" i="7"/>
  <c r="E694" i="7"/>
  <c r="E695" i="7"/>
  <c r="E696" i="7"/>
  <c r="E697" i="7"/>
  <c r="E346" i="7"/>
  <c r="E81" i="7"/>
  <c r="E82" i="7"/>
  <c r="E285" i="7"/>
  <c r="E83" i="7"/>
  <c r="E84" i="7"/>
  <c r="E196" i="7"/>
  <c r="E495" i="7"/>
  <c r="E668" i="7"/>
  <c r="E673" i="7"/>
  <c r="E647" i="7"/>
  <c r="E639" i="7"/>
  <c r="E643" i="7"/>
  <c r="E641" i="7"/>
  <c r="E649" i="7"/>
  <c r="E656" i="7"/>
  <c r="E700" i="7"/>
  <c r="E701" i="7"/>
  <c r="E666" i="7"/>
  <c r="E496" i="7"/>
  <c r="E497" i="7"/>
  <c r="E498" i="7"/>
  <c r="E1221" i="7"/>
  <c r="E588" i="7"/>
  <c r="E353" i="7"/>
  <c r="E85" i="7"/>
  <c r="E1104" i="7"/>
  <c r="E86" i="7"/>
  <c r="E87" i="7"/>
  <c r="E88" i="7"/>
  <c r="E89" i="7"/>
  <c r="E90" i="7"/>
  <c r="E91" i="7"/>
  <c r="E499" i="7"/>
  <c r="E1268" i="7"/>
  <c r="E1269" i="7"/>
  <c r="E1270" i="7"/>
  <c r="E1222" i="7"/>
  <c r="E703" i="7"/>
  <c r="E704" i="7"/>
  <c r="E1105" i="7"/>
  <c r="E589" i="7"/>
  <c r="E1106" i="7"/>
  <c r="E865" i="7"/>
  <c r="E246" i="7"/>
  <c r="E247" i="7"/>
  <c r="E248" i="7"/>
  <c r="E1271" i="7"/>
  <c r="E1107" i="7"/>
  <c r="E1108" i="7"/>
  <c r="E1109" i="7"/>
  <c r="E705" i="7"/>
  <c r="E706" i="7"/>
  <c r="E707" i="7"/>
  <c r="E708" i="7"/>
  <c r="E709" i="7"/>
  <c r="E710" i="7"/>
  <c r="E711" i="7"/>
  <c r="E1479" i="7"/>
  <c r="E1480" i="7"/>
  <c r="E1481" i="7"/>
  <c r="E1482" i="7"/>
  <c r="E1483" i="7"/>
  <c r="E1484" i="7"/>
  <c r="E1485" i="7"/>
  <c r="E1486" i="7"/>
  <c r="E1487" i="7"/>
  <c r="E1366" i="7"/>
  <c r="E500" i="7"/>
  <c r="E501" i="7"/>
  <c r="E354" i="7"/>
  <c r="E249" i="7"/>
  <c r="E250" i="7"/>
  <c r="E1223" i="7"/>
  <c r="E251" i="7"/>
  <c r="E252" i="7"/>
  <c r="E712" i="7"/>
  <c r="E713" i="7"/>
  <c r="E714" i="7"/>
  <c r="E1531" i="7"/>
  <c r="E715" i="7"/>
  <c r="E151" i="7"/>
  <c r="E57" i="7"/>
  <c r="E1110" i="7"/>
  <c r="E1367" i="7"/>
  <c r="E1368" i="7"/>
  <c r="E1532" i="7"/>
  <c r="E1111" i="7"/>
  <c r="E1171" i="7"/>
  <c r="E718" i="7"/>
  <c r="E866" i="7"/>
  <c r="E719" i="7"/>
  <c r="E720" i="7"/>
  <c r="E721" i="7"/>
  <c r="E867" i="7"/>
  <c r="E722" i="7"/>
  <c r="E645" i="7"/>
  <c r="E724" i="7"/>
  <c r="E725" i="7"/>
  <c r="E659" i="7"/>
  <c r="E726" i="7"/>
  <c r="E1488" i="7"/>
  <c r="E1112" i="7"/>
  <c r="E1113" i="7"/>
  <c r="E1114" i="7"/>
  <c r="E1115" i="7"/>
  <c r="E1116" i="7"/>
  <c r="E1370" i="7"/>
  <c r="E868" i="7"/>
  <c r="E869" i="7"/>
  <c r="E1185" i="7"/>
  <c r="E197" i="7"/>
  <c r="E198" i="7"/>
  <c r="E199" i="7"/>
  <c r="E502" i="7"/>
  <c r="E503" i="7"/>
  <c r="E355" i="7"/>
  <c r="E356" i="7"/>
  <c r="E357" i="7"/>
  <c r="E358" i="7"/>
  <c r="E359" i="7"/>
  <c r="E727" i="7"/>
  <c r="E1117" i="7"/>
  <c r="E504" i="7"/>
  <c r="E505" i="7"/>
  <c r="E870" i="7"/>
  <c r="E1272" i="7"/>
  <c r="E728" i="7"/>
  <c r="E92" i="7"/>
  <c r="E93" i="7"/>
  <c r="E94" i="7"/>
  <c r="E729" i="7"/>
  <c r="E730" i="7"/>
  <c r="E871" i="7"/>
  <c r="E872" i="7"/>
  <c r="E873" i="7"/>
  <c r="E874" i="7"/>
  <c r="E875" i="7"/>
  <c r="E876" i="7"/>
  <c r="E877" i="7"/>
  <c r="E878" i="7"/>
  <c r="E879" i="7"/>
  <c r="E1224" i="7"/>
  <c r="E731" i="7"/>
  <c r="E880" i="7"/>
  <c r="E881" i="7"/>
  <c r="E1489" i="7"/>
  <c r="E1490" i="7"/>
  <c r="E732" i="7"/>
  <c r="E733" i="7"/>
  <c r="E734" i="7"/>
  <c r="E735" i="7"/>
  <c r="E736" i="7"/>
  <c r="E737" i="7"/>
  <c r="E738" i="7"/>
  <c r="E739" i="7"/>
  <c r="E785" i="7"/>
  <c r="E786" i="7"/>
  <c r="E507" i="7"/>
  <c r="E508" i="7"/>
  <c r="E253" i="7"/>
  <c r="E509" i="7"/>
  <c r="E510" i="7"/>
  <c r="E511" i="7"/>
  <c r="E95" i="7"/>
  <c r="E1533" i="7"/>
  <c r="E360" i="7"/>
  <c r="E882" i="7"/>
  <c r="E883" i="7"/>
  <c r="E764" i="7"/>
  <c r="E1372" i="7"/>
  <c r="E315" i="7"/>
  <c r="E884" i="7"/>
  <c r="E885" i="7"/>
  <c r="E200" i="7"/>
  <c r="E201" i="7"/>
  <c r="E886" i="7"/>
  <c r="E361" i="7"/>
  <c r="E967" i="7"/>
  <c r="E513" i="7"/>
  <c r="E514" i="7"/>
  <c r="E515" i="7"/>
  <c r="E516" i="7"/>
  <c r="E517" i="7"/>
  <c r="E316" i="7"/>
  <c r="E202" i="7"/>
  <c r="E887" i="7"/>
  <c r="E518" i="7"/>
  <c r="E519" i="7"/>
  <c r="E1373" i="7"/>
  <c r="E1369" i="7"/>
  <c r="E1371" i="7"/>
  <c r="E362" i="7"/>
  <c r="E363" i="7"/>
  <c r="E364" i="7"/>
  <c r="E365" i="7"/>
  <c r="E366" i="7"/>
  <c r="E367" i="7"/>
  <c r="E740" i="7"/>
  <c r="E1225" i="7"/>
  <c r="E520" i="7"/>
  <c r="E597" i="7"/>
  <c r="E741" i="7"/>
  <c r="E368" i="7"/>
  <c r="E1118" i="7"/>
  <c r="E742" i="7"/>
  <c r="E203" i="7"/>
  <c r="E890" i="7"/>
  <c r="E891" i="7"/>
  <c r="E892" i="7"/>
  <c r="E893" i="7"/>
  <c r="E894" i="7"/>
  <c r="E743" i="7"/>
  <c r="E204" i="7"/>
  <c r="E205" i="7"/>
  <c r="E96" i="7"/>
  <c r="E97" i="7"/>
  <c r="E1374" i="7"/>
  <c r="E744" i="7"/>
  <c r="E745" i="7"/>
  <c r="E746" i="7"/>
  <c r="E747" i="7"/>
  <c r="E748" i="7"/>
  <c r="E749" i="7"/>
  <c r="E750" i="7"/>
  <c r="E751" i="7"/>
  <c r="E752" i="7"/>
  <c r="E895" i="7"/>
  <c r="E896" i="7"/>
  <c r="E753" i="7"/>
  <c r="E1226" i="7"/>
  <c r="E1454" i="7"/>
  <c r="E1375" i="7"/>
  <c r="E1491" i="7"/>
  <c r="E1492" i="7"/>
  <c r="E1119" i="7"/>
  <c r="E1120" i="7"/>
  <c r="E1121" i="7"/>
  <c r="E1122" i="7"/>
  <c r="E1123" i="7"/>
  <c r="E1124" i="7"/>
  <c r="E1125" i="7"/>
  <c r="E409" i="7"/>
  <c r="E754" i="7"/>
  <c r="E317" i="7"/>
  <c r="E1376" i="7"/>
  <c r="E897" i="7"/>
  <c r="E898" i="7"/>
  <c r="E755" i="7"/>
  <c r="E1377" i="7"/>
  <c r="E1378" i="7"/>
  <c r="E206" i="7"/>
  <c r="E207" i="7"/>
  <c r="E899" i="7"/>
  <c r="E590" i="7"/>
  <c r="E591" i="7"/>
  <c r="E153" i="7"/>
  <c r="E58" i="7"/>
  <c r="E98" i="7"/>
  <c r="E900" i="7"/>
  <c r="E1379" i="7"/>
  <c r="E1380" i="7"/>
  <c r="E521" i="7"/>
  <c r="E522" i="7"/>
  <c r="E208" i="7"/>
  <c r="E523" i="7"/>
  <c r="E524" i="7"/>
  <c r="E525" i="7"/>
  <c r="E526" i="7"/>
  <c r="E527" i="7"/>
  <c r="E1381" i="7"/>
  <c r="E528" i="7"/>
  <c r="E901" i="7"/>
  <c r="E757" i="7"/>
  <c r="E1227" i="7"/>
  <c r="E902" i="7"/>
  <c r="E99" i="7"/>
  <c r="E758" i="7"/>
  <c r="E903" i="7"/>
  <c r="E904" i="7"/>
  <c r="E905" i="7"/>
  <c r="E906" i="7"/>
  <c r="E907" i="7"/>
  <c r="E908" i="7"/>
  <c r="E909" i="7"/>
  <c r="E910" i="7"/>
  <c r="E529" i="7"/>
  <c r="E530" i="7"/>
  <c r="E1382" i="7"/>
  <c r="E159" i="7"/>
  <c r="E759" i="7"/>
  <c r="E760" i="7"/>
  <c r="E761" i="7"/>
  <c r="E762" i="7"/>
  <c r="E763" i="7"/>
  <c r="E968" i="7"/>
  <c r="E969" i="7"/>
  <c r="E100" i="7"/>
  <c r="E101" i="7"/>
  <c r="E970" i="7"/>
  <c r="E971" i="7"/>
  <c r="E102" i="7"/>
  <c r="E103" i="7"/>
  <c r="E1255" i="7"/>
  <c r="E1126" i="7"/>
  <c r="E1127" i="7"/>
  <c r="E1128" i="7"/>
  <c r="E1129" i="7"/>
  <c r="E1130" i="7"/>
  <c r="E1131" i="7"/>
  <c r="E1132" i="7"/>
  <c r="E1133" i="7"/>
  <c r="E1134" i="7"/>
  <c r="E604" i="7"/>
  <c r="E911" i="7"/>
  <c r="E765" i="7"/>
  <c r="E1534" i="7"/>
  <c r="E1228" i="7"/>
  <c r="E766" i="7"/>
  <c r="E531" i="7"/>
  <c r="E1383" i="7"/>
  <c r="E369" i="7"/>
  <c r="E1535" i="7"/>
  <c r="E912" i="7"/>
  <c r="E913" i="7"/>
  <c r="E914" i="7"/>
  <c r="E915" i="7"/>
  <c r="E916" i="7"/>
  <c r="E917" i="7"/>
  <c r="E410" i="7"/>
  <c r="E209" i="7"/>
  <c r="E210" i="7"/>
  <c r="E918" i="7"/>
  <c r="E254" i="7"/>
  <c r="E255" i="7"/>
  <c r="E256" i="7"/>
  <c r="E370" i="7"/>
  <c r="E767" i="7"/>
  <c r="E768" i="7"/>
  <c r="E769" i="7"/>
  <c r="E770" i="7"/>
  <c r="E771" i="7"/>
  <c r="E772" i="7"/>
  <c r="E773" i="7"/>
  <c r="E774" i="7"/>
  <c r="E775" i="7"/>
  <c r="E776" i="7"/>
  <c r="E777" i="7"/>
  <c r="E778" i="7"/>
  <c r="E779" i="7"/>
  <c r="E780" i="7"/>
  <c r="E781" i="7"/>
  <c r="E211" i="7"/>
  <c r="E212" i="7"/>
  <c r="E213" i="7"/>
  <c r="E1384" i="7"/>
  <c r="E214" i="7"/>
  <c r="E215" i="7"/>
  <c r="E216" i="7"/>
  <c r="E1135" i="7"/>
  <c r="E919" i="7"/>
  <c r="E920" i="7"/>
  <c r="E782" i="7"/>
  <c r="E783" i="7"/>
  <c r="E532" i="7"/>
  <c r="E371" i="7"/>
  <c r="E1493" i="7"/>
  <c r="E1494" i="7"/>
  <c r="E1495" i="7"/>
  <c r="E1496" i="7"/>
  <c r="E217" i="7"/>
  <c r="E1136" i="7"/>
  <c r="E1137" i="7"/>
  <c r="E1138" i="7"/>
  <c r="E1139" i="7"/>
  <c r="E1385" i="7"/>
  <c r="E972" i="7"/>
  <c r="E973" i="7"/>
  <c r="E974" i="7"/>
  <c r="E975" i="7"/>
  <c r="E976" i="7"/>
  <c r="E977" i="7"/>
  <c r="E978" i="7"/>
  <c r="E1386" i="7"/>
  <c r="E1140" i="7"/>
  <c r="E1141" i="7"/>
  <c r="E1142" i="7"/>
  <c r="E104" i="7"/>
  <c r="E784" i="7"/>
  <c r="E105" i="7"/>
  <c r="E1179" i="7"/>
  <c r="E698" i="7"/>
  <c r="E699" i="7"/>
  <c r="E702" i="7"/>
  <c r="E716" i="7"/>
  <c r="E717" i="7"/>
  <c r="E723" i="7"/>
  <c r="E1387" i="7"/>
  <c r="E533" i="7"/>
  <c r="E923" i="7"/>
  <c r="E1186" i="7"/>
  <c r="E1536" i="7"/>
  <c r="E592" i="7"/>
  <c r="E593" i="7"/>
  <c r="E787" i="7"/>
  <c r="E788" i="7"/>
  <c r="E789" i="7"/>
  <c r="E790" i="7"/>
  <c r="E791" i="7"/>
  <c r="E1143" i="7"/>
  <c r="E594" i="7"/>
  <c r="E595" i="7"/>
  <c r="E534" i="7"/>
  <c r="E924" i="7"/>
  <c r="E925" i="7"/>
  <c r="E926" i="7"/>
  <c r="E535" i="7"/>
  <c r="E536" i="7"/>
  <c r="E537" i="7"/>
  <c r="E538" i="7"/>
  <c r="E539" i="7"/>
  <c r="E540" i="7"/>
  <c r="E541" i="7"/>
  <c r="E542" i="7"/>
  <c r="E543" i="7"/>
  <c r="E544" i="7"/>
  <c r="E545" i="7"/>
  <c r="E546" i="7"/>
  <c r="E1388" i="7"/>
  <c r="E792" i="7"/>
  <c r="E1455" i="7"/>
  <c r="E927" i="7"/>
  <c r="E928" i="7"/>
  <c r="E929" i="7"/>
  <c r="E108" i="7"/>
  <c r="E793" i="7"/>
  <c r="E794" i="7"/>
  <c r="E795" i="7"/>
  <c r="E109" i="7"/>
  <c r="E110" i="7"/>
  <c r="E111" i="7"/>
  <c r="E1389" i="7"/>
  <c r="E1390" i="7"/>
  <c r="E1391" i="7"/>
  <c r="E1392" i="7"/>
  <c r="E1393" i="7"/>
  <c r="E1394" i="7"/>
  <c r="E1395" i="7"/>
  <c r="E218" i="7"/>
  <c r="E219" i="7"/>
  <c r="E220" i="7"/>
  <c r="E1144" i="7"/>
  <c r="E1145" i="7"/>
  <c r="E221" i="7"/>
  <c r="E257" i="7"/>
  <c r="E258" i="7"/>
  <c r="E259" i="7"/>
  <c r="E112" i="7"/>
  <c r="E1396" i="7"/>
  <c r="E222" i="7"/>
  <c r="E796" i="7"/>
  <c r="E107" i="7"/>
  <c r="E797" i="7"/>
  <c r="E921" i="7"/>
  <c r="E922" i="7"/>
  <c r="E547" i="7"/>
  <c r="E548" i="7"/>
  <c r="E549" i="7"/>
  <c r="E1397" i="7"/>
  <c r="E1398" i="7"/>
  <c r="E1399" i="7"/>
  <c r="E260" i="7"/>
  <c r="E930" i="7"/>
  <c r="E223" i="7"/>
  <c r="E931" i="7"/>
  <c r="E550" i="7"/>
  <c r="E1400" i="7"/>
  <c r="E113" i="7"/>
  <c r="E114" i="7"/>
  <c r="E261" i="7"/>
  <c r="E262" i="7"/>
  <c r="E263" i="7"/>
  <c r="E115" i="7"/>
  <c r="E116" i="7"/>
  <c r="E117" i="7"/>
  <c r="E118" i="7"/>
  <c r="E798" i="7"/>
  <c r="E224" i="7"/>
  <c r="E596" i="7"/>
  <c r="E1181" i="7"/>
  <c r="E1497" i="7"/>
  <c r="E119" i="7"/>
  <c r="E120" i="7"/>
  <c r="E121" i="7"/>
  <c r="E122" i="7"/>
  <c r="E932" i="7"/>
  <c r="E123" i="7"/>
  <c r="E124" i="7"/>
  <c r="E933" i="7"/>
  <c r="E934" i="7"/>
  <c r="E935" i="7"/>
  <c r="E936" i="7"/>
  <c r="E937" i="7"/>
  <c r="E938" i="7"/>
  <c r="E939" i="7"/>
  <c r="E940" i="7"/>
  <c r="E941" i="7"/>
  <c r="E942" i="7"/>
  <c r="E943" i="7"/>
  <c r="E1401" i="7"/>
  <c r="E125" i="7"/>
  <c r="E126" i="7"/>
  <c r="E127" i="7"/>
  <c r="E1146" i="7"/>
  <c r="E128" i="7"/>
  <c r="E1147" i="7"/>
  <c r="E264" i="7"/>
  <c r="E1402" i="7"/>
  <c r="E265" i="7"/>
  <c r="E266" i="7"/>
  <c r="E551" i="7"/>
  <c r="E267" i="7"/>
  <c r="E268" i="7"/>
  <c r="E269" i="7"/>
  <c r="E270" i="7"/>
  <c r="E271" i="7"/>
  <c r="E272" i="7"/>
  <c r="E273" i="7"/>
  <c r="E274" i="7"/>
  <c r="E275" i="7"/>
  <c r="E276" i="7"/>
  <c r="E277" i="7"/>
  <c r="E278" i="7"/>
  <c r="E318" i="7"/>
  <c r="E319" i="7"/>
  <c r="E320" i="7"/>
  <c r="E321" i="7"/>
  <c r="E129" i="7"/>
  <c r="E888" i="7"/>
  <c r="E225" i="7"/>
  <c r="E1403" i="7"/>
  <c r="E1148" i="7"/>
  <c r="E799" i="7"/>
  <c r="E800" i="7"/>
  <c r="E1404" i="7"/>
  <c r="E1539" i="7"/>
  <c r="E1231" i="7"/>
  <c r="E1232" i="7"/>
  <c r="E1233" i="7"/>
  <c r="E552" i="7"/>
  <c r="E1149" i="7"/>
  <c r="E801" i="7"/>
  <c r="E802" i="7"/>
  <c r="E803" i="7"/>
  <c r="E160" i="7"/>
  <c r="E553" i="7"/>
  <c r="E279" i="7"/>
  <c r="E280" i="7"/>
  <c r="E372" i="7"/>
  <c r="E373" i="7"/>
  <c r="E374" i="7"/>
  <c r="E375" i="7"/>
  <c r="E376" i="7"/>
  <c r="E377" i="7"/>
  <c r="E378" i="7"/>
  <c r="E379" i="7"/>
  <c r="E380" i="7"/>
  <c r="E381" i="7"/>
  <c r="E382" i="7"/>
  <c r="E383" i="7"/>
  <c r="E598" i="7"/>
  <c r="E1182" i="7"/>
  <c r="E384" i="7"/>
  <c r="E385" i="7"/>
  <c r="E386" i="7"/>
  <c r="E1498" i="7"/>
  <c r="E1499" i="7"/>
  <c r="E1500" i="7"/>
  <c r="E1501" i="7"/>
  <c r="E1502" i="7"/>
  <c r="E1503" i="7"/>
  <c r="E1504" i="7"/>
  <c r="E1505" i="7"/>
  <c r="E1506" i="7"/>
  <c r="E1507" i="7"/>
  <c r="E1508" i="7"/>
  <c r="E1509" i="7"/>
  <c r="E1510" i="7"/>
  <c r="E1511" i="7"/>
  <c r="E1540" i="7"/>
  <c r="E411" i="7"/>
  <c r="E226" i="7"/>
  <c r="E1541" i="7"/>
  <c r="E1405" i="7"/>
  <c r="E281" i="7"/>
  <c r="E282" i="7"/>
  <c r="E412" i="7"/>
  <c r="E1150" i="7"/>
  <c r="E944" i="7"/>
  <c r="E804" i="7"/>
  <c r="E387" i="7"/>
  <c r="E388" i="7"/>
  <c r="E227" i="7"/>
  <c r="E1406" i="7"/>
  <c r="E554" i="7"/>
  <c r="E1456" i="7"/>
  <c r="E322" i="7"/>
  <c r="E945" i="7"/>
  <c r="E1512" i="7"/>
  <c r="E1513" i="7"/>
  <c r="E805" i="7"/>
  <c r="E806" i="7"/>
  <c r="E555" i="7"/>
  <c r="E228" i="7"/>
  <c r="E130" i="7"/>
  <c r="E1407" i="7"/>
  <c r="E1183" i="7"/>
  <c r="E599" i="7"/>
  <c r="E807" i="7"/>
  <c r="E946" i="7"/>
  <c r="E808" i="7"/>
  <c r="E809" i="7"/>
  <c r="E556" i="7"/>
  <c r="E1408" i="7"/>
  <c r="E557" i="7"/>
  <c r="E558" i="7"/>
  <c r="E559" i="7"/>
  <c r="E560" i="7"/>
  <c r="E1409" i="7"/>
  <c r="E1410" i="7"/>
  <c r="E1411" i="7"/>
  <c r="E1412" i="7"/>
  <c r="E1413" i="7"/>
  <c r="E1414" i="7"/>
  <c r="E1415" i="7"/>
  <c r="E1416" i="7"/>
  <c r="E1417" i="7"/>
  <c r="E810" i="7"/>
  <c r="E811" i="7"/>
  <c r="E812" i="7"/>
  <c r="E813" i="7"/>
  <c r="E814" i="7"/>
  <c r="E815" i="7"/>
  <c r="E816" i="7"/>
  <c r="E817" i="7"/>
  <c r="E818" i="7"/>
  <c r="E819" i="7"/>
  <c r="E820" i="7"/>
  <c r="E131" i="7"/>
  <c r="E1418" i="7"/>
  <c r="E1419" i="7"/>
  <c r="E600" i="7"/>
  <c r="E601" i="7"/>
  <c r="E602" i="7"/>
  <c r="E603" i="7"/>
  <c r="E889" i="7"/>
  <c r="E1542" i="7"/>
  <c r="E1543" i="7"/>
  <c r="E1544" i="7"/>
  <c r="E821" i="7"/>
  <c r="E822" i="7"/>
  <c r="E561" i="7"/>
  <c r="E1514" i="7"/>
  <c r="E1515" i="7"/>
  <c r="E1420" i="7"/>
  <c r="E1234" i="7"/>
  <c r="E283" i="7"/>
  <c r="E132" i="7"/>
  <c r="E229" i="7"/>
  <c r="E1421" i="7"/>
  <c r="E230" i="7"/>
  <c r="E231" i="7"/>
  <c r="E232" i="7"/>
  <c r="E823" i="7"/>
  <c r="E133" i="7"/>
  <c r="E1422" i="7"/>
  <c r="E824" i="7"/>
  <c r="E947" i="7"/>
  <c r="E825" i="7"/>
  <c r="E233" i="7"/>
  <c r="E1423" i="7"/>
  <c r="E1172" i="7"/>
  <c r="E979" i="7"/>
  <c r="E980" i="7"/>
  <c r="E981" i="7"/>
  <c r="E982" i="7"/>
  <c r="E413" i="7"/>
  <c r="E414" i="7"/>
  <c r="E983" i="7"/>
  <c r="E984" i="7"/>
  <c r="E985" i="7"/>
  <c r="E986" i="7"/>
  <c r="E987" i="7"/>
  <c r="E988" i="7"/>
  <c r="E989" i="7"/>
  <c r="E990" i="7"/>
  <c r="E991" i="7"/>
  <c r="E992" i="7"/>
  <c r="E993" i="7"/>
  <c r="E994" i="7"/>
  <c r="E995" i="7"/>
  <c r="E996" i="7"/>
  <c r="E997" i="7"/>
  <c r="E998" i="7"/>
  <c r="E999" i="7"/>
  <c r="E562" i="7"/>
  <c r="E1424" i="7"/>
  <c r="E1425" i="7"/>
  <c r="E1426" i="7"/>
  <c r="E1427" i="7"/>
  <c r="E1428" i="7"/>
  <c r="E134" i="7"/>
  <c r="E826" i="7"/>
  <c r="E563" i="7"/>
  <c r="E827" i="7"/>
  <c r="E1000" i="7"/>
  <c r="E135" i="7"/>
  <c r="E323" i="7"/>
  <c r="E324" i="7"/>
  <c r="E948" i="7"/>
  <c r="E949" i="7"/>
  <c r="E564" i="7"/>
  <c r="E136" i="7"/>
  <c r="E137" i="7"/>
  <c r="E138" i="7"/>
  <c r="E139" i="7"/>
  <c r="E1429" i="7"/>
  <c r="E950" i="7"/>
  <c r="E1545" i="7"/>
  <c r="E1546" i="7"/>
  <c r="E1516" i="7"/>
  <c r="E951" i="7"/>
  <c r="E952" i="7"/>
  <c r="E953" i="7"/>
  <c r="E954" i="7"/>
  <c r="E828" i="7"/>
  <c r="E1430" i="7"/>
  <c r="E1431" i="7"/>
  <c r="E1432" i="7"/>
  <c r="E1433" i="7"/>
  <c r="E1434" i="7"/>
  <c r="E1435" i="7"/>
  <c r="E1436" i="7"/>
  <c r="E1437" i="7"/>
  <c r="E605" i="7"/>
  <c r="E415" i="7"/>
  <c r="E1166" i="7"/>
  <c r="E1001" i="7"/>
  <c r="E1002" i="7"/>
  <c r="E1003" i="7"/>
  <c r="E1004" i="7"/>
  <c r="E1005" i="7"/>
  <c r="E1006" i="7"/>
  <c r="E1007" i="7"/>
  <c r="E1008" i="7"/>
  <c r="E1009" i="7"/>
  <c r="E1438" i="7"/>
  <c r="E1439" i="7"/>
  <c r="E1440" i="7"/>
  <c r="E565" i="7"/>
  <c r="E566" i="7"/>
  <c r="E567" i="7"/>
  <c r="E287" i="7"/>
  <c r="E234" i="7"/>
  <c r="E235" i="7"/>
  <c r="E236" i="7"/>
  <c r="E829" i="7"/>
  <c r="E830" i="7"/>
  <c r="E955" i="7"/>
  <c r="E288" i="7"/>
  <c r="E289" i="7"/>
  <c r="E290" i="7"/>
  <c r="E291" i="7"/>
  <c r="E292" i="7"/>
  <c r="E293" i="7"/>
  <c r="E294" i="7"/>
  <c r="E295" i="7"/>
  <c r="E296" i="7"/>
  <c r="E297" i="7"/>
  <c r="E298" i="7"/>
  <c r="E299" i="7"/>
  <c r="E300" i="7"/>
  <c r="E301" i="7"/>
  <c r="E302" i="7"/>
  <c r="E303" i="7"/>
  <c r="E304" i="7"/>
  <c r="E305" i="7"/>
  <c r="E306" i="7"/>
  <c r="E307" i="7"/>
  <c r="E308" i="7"/>
  <c r="E1273" i="7"/>
  <c r="E1274" i="7"/>
  <c r="E1275" i="7"/>
  <c r="E140" i="7"/>
  <c r="E141" i="7"/>
  <c r="E142" i="7"/>
  <c r="E143" i="7"/>
  <c r="E144" i="7"/>
  <c r="E1151" i="7"/>
  <c r="E1152" i="7"/>
  <c r="E1153" i="7"/>
  <c r="E1154" i="7"/>
  <c r="E1256" i="7"/>
  <c r="E1155" i="7"/>
  <c r="E237" i="7"/>
  <c r="E145" i="7"/>
  <c r="E1156" i="7"/>
  <c r="E1157" i="7"/>
  <c r="E1158" i="7"/>
  <c r="E146" i="7"/>
  <c r="E568" i="7"/>
  <c r="E147" i="7"/>
  <c r="E148" i="7"/>
  <c r="E149" i="7"/>
  <c r="E150" i="7"/>
  <c r="E1159" i="7"/>
  <c r="E1235" i="7"/>
  <c r="E1160" i="7"/>
  <c r="E1276" i="7"/>
  <c r="E1277" i="7"/>
  <c r="E1278" i="7"/>
  <c r="E1173" i="7"/>
  <c r="E1176" i="7"/>
  <c r="E1174" i="7"/>
  <c r="E1180" i="7"/>
  <c r="E238" i="7"/>
  <c r="E239" i="7"/>
  <c r="E240" i="7"/>
  <c r="E241" i="7"/>
  <c r="E242" i="7"/>
  <c r="E243" i="7"/>
  <c r="E244" i="7"/>
  <c r="E245" i="7"/>
  <c r="E956" i="7"/>
  <c r="E957" i="7"/>
  <c r="E958" i="7"/>
  <c r="E959" i="7"/>
  <c r="E389" i="7"/>
  <c r="E390" i="7"/>
  <c r="E391" i="7"/>
  <c r="E392" i="7"/>
  <c r="E393" i="7"/>
  <c r="E394" i="7"/>
  <c r="E395" i="7"/>
  <c r="E396" i="7"/>
  <c r="E397" i="7"/>
  <c r="E398" i="7"/>
  <c r="E399" i="7"/>
  <c r="E400" i="7"/>
  <c r="E401" i="7"/>
  <c r="E402" i="7"/>
  <c r="E1441" i="7"/>
  <c r="E152" i="7"/>
  <c r="E1161" i="7"/>
  <c r="E1517" i="7"/>
  <c r="E1470" i="7"/>
  <c r="E1518" i="7"/>
  <c r="E1471" i="7"/>
  <c r="E1519" i="7"/>
  <c r="E1520" i="7"/>
  <c r="E1521" i="7"/>
  <c r="E1522" i="7"/>
  <c r="E1523" i="7"/>
  <c r="E1524" i="7"/>
  <c r="E1525" i="7"/>
  <c r="E416" i="7"/>
  <c r="E417" i="7"/>
  <c r="E154" i="7"/>
  <c r="E155" i="7"/>
  <c r="E34" i="7"/>
  <c r="E156" i="7"/>
  <c r="E157" i="7"/>
  <c r="E158" i="7"/>
  <c r="E831" i="7"/>
  <c r="E832" i="7"/>
  <c r="E1547" i="7"/>
  <c r="E1548" i="7"/>
  <c r="E1549" i="7"/>
  <c r="E569" i="7"/>
  <c r="E570" i="7"/>
  <c r="E960" i="7"/>
  <c r="D299" i="7"/>
  <c r="D300" i="7"/>
  <c r="D301" i="7"/>
  <c r="D302" i="7"/>
  <c r="D303" i="7"/>
  <c r="D304" i="7"/>
  <c r="D305" i="7"/>
  <c r="D306" i="7"/>
  <c r="D307" i="7"/>
  <c r="D308" i="7"/>
  <c r="D1273" i="7"/>
  <c r="D1274" i="7"/>
  <c r="D1275" i="7"/>
  <c r="D140" i="7"/>
  <c r="D141" i="7"/>
  <c r="D142" i="7"/>
  <c r="D143" i="7"/>
  <c r="D144" i="7"/>
  <c r="D1151" i="7"/>
  <c r="D1152" i="7"/>
  <c r="D1153" i="7"/>
  <c r="D1154" i="7"/>
  <c r="D1256" i="7"/>
  <c r="D1155" i="7"/>
  <c r="D237" i="7"/>
  <c r="D145" i="7"/>
  <c r="D1156" i="7"/>
  <c r="D1157" i="7"/>
  <c r="D1158" i="7"/>
  <c r="D146" i="7"/>
  <c r="D568" i="7"/>
  <c r="D147" i="7"/>
  <c r="D148" i="7"/>
  <c r="D149" i="7"/>
  <c r="D150" i="7"/>
  <c r="D1159" i="7"/>
  <c r="D1235" i="7"/>
  <c r="D1160" i="7"/>
  <c r="D1276" i="7"/>
  <c r="D1277" i="7"/>
  <c r="D1278" i="7"/>
  <c r="D1173" i="7"/>
  <c r="D1176" i="7"/>
  <c r="D1174" i="7"/>
  <c r="D1180" i="7"/>
  <c r="D238" i="7"/>
  <c r="D239" i="7"/>
  <c r="D240" i="7"/>
  <c r="D241" i="7"/>
  <c r="D242" i="7"/>
  <c r="D243" i="7"/>
  <c r="D244" i="7"/>
  <c r="D245" i="7"/>
  <c r="D956" i="7"/>
  <c r="D957" i="7"/>
  <c r="D958" i="7"/>
  <c r="D959" i="7"/>
  <c r="D389" i="7"/>
  <c r="D390" i="7"/>
  <c r="D391" i="7"/>
  <c r="D392" i="7"/>
  <c r="D393" i="7"/>
  <c r="D394" i="7"/>
  <c r="D395" i="7"/>
  <c r="D396" i="7"/>
  <c r="D397" i="7"/>
  <c r="D398" i="7"/>
  <c r="D399" i="7"/>
  <c r="D400" i="7"/>
  <c r="D401" i="7"/>
  <c r="D402" i="7"/>
  <c r="D1441" i="7"/>
  <c r="D152" i="7"/>
  <c r="D1161" i="7"/>
  <c r="D1517" i="7"/>
  <c r="D1470" i="7"/>
  <c r="D1518" i="7"/>
  <c r="D1471" i="7"/>
  <c r="D1519" i="7"/>
  <c r="D1520" i="7"/>
  <c r="D1521" i="7"/>
  <c r="D1522" i="7"/>
  <c r="D1523" i="7"/>
  <c r="D1524" i="7"/>
  <c r="D1525" i="7"/>
  <c r="D416" i="7"/>
  <c r="D417" i="7"/>
  <c r="D154" i="7"/>
  <c r="D155" i="7"/>
  <c r="D34" i="7"/>
  <c r="D156" i="7"/>
  <c r="D157" i="7"/>
  <c r="D158" i="7"/>
  <c r="D831" i="7"/>
  <c r="D832" i="7"/>
  <c r="D1547" i="7"/>
  <c r="D1548" i="7"/>
  <c r="D1549" i="7"/>
  <c r="D569" i="7"/>
  <c r="D570" i="7"/>
  <c r="D960" i="7"/>
  <c r="D161" i="7"/>
  <c r="D162" i="7"/>
  <c r="D163" i="7"/>
  <c r="D164" i="7"/>
  <c r="D2" i="7"/>
  <c r="D1177" i="7"/>
  <c r="D1167" i="7"/>
  <c r="D1281" i="7"/>
  <c r="D3" i="7"/>
  <c r="D4" i="7"/>
  <c r="D5" i="7"/>
  <c r="D6" i="7"/>
  <c r="D1187" i="7"/>
  <c r="D833" i="7"/>
  <c r="D7" i="7"/>
  <c r="D1010" i="7"/>
  <c r="D1282" i="7"/>
  <c r="D1283" i="7"/>
  <c r="D1284" i="7"/>
  <c r="D834" i="7"/>
  <c r="D418" i="7"/>
  <c r="D8" i="7"/>
  <c r="D9" i="7"/>
  <c r="D10" i="7"/>
  <c r="D11" i="7"/>
  <c r="D12" i="7"/>
  <c r="D13" i="7"/>
  <c r="D14" i="7"/>
  <c r="D15" i="7"/>
  <c r="D286" i="7"/>
  <c r="D16" i="7"/>
  <c r="D17" i="7"/>
  <c r="D18" i="7"/>
  <c r="D19" i="7"/>
  <c r="D20" i="7"/>
  <c r="D21" i="7"/>
  <c r="D1457" i="7"/>
  <c r="D961" i="7"/>
  <c r="D1285" i="7"/>
  <c r="D1286" i="7"/>
  <c r="D1287" i="7"/>
  <c r="D1288" i="7"/>
  <c r="D1289" i="7"/>
  <c r="D1443" i="7"/>
  <c r="D403" i="7"/>
  <c r="D962" i="7"/>
  <c r="D22" i="7"/>
  <c r="D106" i="7"/>
  <c r="D835" i="7"/>
  <c r="D419" i="7"/>
  <c r="D420" i="7"/>
  <c r="D574" i="7"/>
  <c r="D404" i="7"/>
  <c r="D421" i="7"/>
  <c r="D1290" i="7"/>
  <c r="D1291" i="7"/>
  <c r="D575" i="7"/>
  <c r="D576" i="7"/>
  <c r="D577" i="7"/>
  <c r="D836" i="7"/>
  <c r="D837" i="7"/>
  <c r="D1292" i="7"/>
  <c r="D1293" i="7"/>
  <c r="D422" i="7"/>
  <c r="D423" i="7"/>
  <c r="D424" i="7"/>
  <c r="D838" i="7"/>
  <c r="D1294" i="7"/>
  <c r="D1295" i="7"/>
  <c r="D839" i="7"/>
  <c r="D23" i="7"/>
  <c r="D1168" i="7"/>
  <c r="D325" i="7"/>
  <c r="D326" i="7"/>
  <c r="D327" i="7"/>
  <c r="D1296" i="7"/>
  <c r="D1297" i="7"/>
  <c r="D328" i="7"/>
  <c r="D329" i="7"/>
  <c r="D330" i="7"/>
  <c r="D1162" i="7"/>
  <c r="D578" i="7"/>
  <c r="D617" i="7"/>
  <c r="D618" i="7"/>
  <c r="D24" i="7"/>
  <c r="D347" i="7"/>
  <c r="D331" i="7"/>
  <c r="D619" i="7"/>
  <c r="D165" i="7"/>
  <c r="D963" i="7"/>
  <c r="D1298" i="7"/>
  <c r="D840" i="7"/>
  <c r="D1190" i="7"/>
  <c r="D425" i="7"/>
  <c r="D620" i="7"/>
  <c r="D1229" i="7"/>
  <c r="D1230" i="7"/>
  <c r="D426" i="7"/>
  <c r="D622" i="7"/>
  <c r="D1257" i="7"/>
  <c r="D606" i="7"/>
  <c r="D1299" i="7"/>
  <c r="D1300" i="7"/>
  <c r="D1301" i="7"/>
  <c r="D427" i="7"/>
  <c r="D1011" i="7"/>
  <c r="D1012" i="7"/>
  <c r="D1013" i="7"/>
  <c r="D1014" i="7"/>
  <c r="D166" i="7"/>
  <c r="D167" i="7"/>
  <c r="D168" i="7"/>
  <c r="D169" i="7"/>
  <c r="D170" i="7"/>
  <c r="D1458" i="7"/>
  <c r="D1015" i="7"/>
  <c r="D1016" i="7"/>
  <c r="D1017" i="7"/>
  <c r="D1018" i="7"/>
  <c r="D1019" i="7"/>
  <c r="D1020" i="7"/>
  <c r="D1021" i="7"/>
  <c r="D1022" i="7"/>
  <c r="D1023" i="7"/>
  <c r="D1024" i="7"/>
  <c r="D1025" i="7"/>
  <c r="D1026" i="7"/>
  <c r="D1027" i="7"/>
  <c r="D1028" i="7"/>
  <c r="D1029" i="7"/>
  <c r="D1030" i="7"/>
  <c r="D1031" i="7"/>
  <c r="D1032" i="7"/>
  <c r="D1033" i="7"/>
  <c r="D1459" i="7"/>
  <c r="D1034" i="7"/>
  <c r="D1035" i="7"/>
  <c r="D1036" i="7"/>
  <c r="D1037" i="7"/>
  <c r="D1038" i="7"/>
  <c r="D1039" i="7"/>
  <c r="D1040" i="7"/>
  <c r="D1041" i="7"/>
  <c r="D1042" i="7"/>
  <c r="D1043" i="7"/>
  <c r="D1044" i="7"/>
  <c r="D1045" i="7"/>
  <c r="D1046" i="7"/>
  <c r="D284" i="7"/>
  <c r="D1047" i="7"/>
  <c r="D1048" i="7"/>
  <c r="D25" i="7"/>
  <c r="D841" i="7"/>
  <c r="D26" i="7"/>
  <c r="D27" i="7"/>
  <c r="D28" i="7"/>
  <c r="D29" i="7"/>
  <c r="D842" i="7"/>
  <c r="D1444" i="7"/>
  <c r="D1302" i="7"/>
  <c r="D623" i="7"/>
  <c r="D624" i="7"/>
  <c r="D30" i="7"/>
  <c r="D31" i="7"/>
  <c r="D1303" i="7"/>
  <c r="D1304" i="7"/>
  <c r="D405" i="7"/>
  <c r="D1305" i="7"/>
  <c r="D1306" i="7"/>
  <c r="D1307" i="7"/>
  <c r="D1308" i="7"/>
  <c r="D1309" i="7"/>
  <c r="D1310" i="7"/>
  <c r="D1311" i="7"/>
  <c r="D1192" i="7"/>
  <c r="D1312" i="7"/>
  <c r="D1313" i="7"/>
  <c r="D1314" i="7"/>
  <c r="D1315" i="7"/>
  <c r="D171" i="7"/>
  <c r="D1460" i="7"/>
  <c r="D579" i="7"/>
  <c r="D172" i="7"/>
  <c r="D173" i="7"/>
  <c r="D174" i="7"/>
  <c r="D175" i="7"/>
  <c r="D176" i="7"/>
  <c r="D177" i="7"/>
  <c r="D32" i="7"/>
  <c r="D178" i="7"/>
  <c r="D843" i="7"/>
  <c r="D844" i="7"/>
  <c r="D845" i="7"/>
  <c r="D846" i="7"/>
  <c r="D1236" i="7"/>
  <c r="D1237" i="7"/>
  <c r="D1526" i="7"/>
  <c r="D428" i="7"/>
  <c r="D1445" i="7"/>
  <c r="D1316" i="7"/>
  <c r="D1317" i="7"/>
  <c r="D429" i="7"/>
  <c r="D430" i="7"/>
  <c r="D431" i="7"/>
  <c r="D847" i="7"/>
  <c r="D625" i="7"/>
  <c r="D626" i="7"/>
  <c r="D627" i="7"/>
  <c r="D628" i="7"/>
  <c r="D629" i="7"/>
  <c r="D580" i="7"/>
  <c r="D1527" i="7"/>
  <c r="D607" i="7"/>
  <c r="D608" i="7"/>
  <c r="D609" i="7"/>
  <c r="D630" i="7"/>
  <c r="D631" i="7"/>
  <c r="D632" i="7"/>
  <c r="D633" i="7"/>
  <c r="D179" i="7"/>
  <c r="D634" i="7"/>
  <c r="D635" i="7"/>
  <c r="D636" i="7"/>
  <c r="D637" i="7"/>
  <c r="D638" i="7"/>
  <c r="D1163" i="7"/>
  <c r="D1461" i="7"/>
  <c r="D1462" i="7"/>
  <c r="D1463" i="7"/>
  <c r="D1464" i="7"/>
  <c r="D1465" i="7"/>
  <c r="D1466" i="7"/>
  <c r="D1467" i="7"/>
  <c r="D1468" i="7"/>
  <c r="D1469" i="7"/>
  <c r="D1164" i="7"/>
  <c r="D432" i="7"/>
  <c r="D433" i="7"/>
  <c r="D1318" i="7"/>
  <c r="D848" i="7"/>
  <c r="D849" i="7"/>
  <c r="D434" i="7"/>
  <c r="D435" i="7"/>
  <c r="D334" i="7"/>
  <c r="D335" i="7"/>
  <c r="D336" i="7"/>
  <c r="D337" i="7"/>
  <c r="D340" i="7"/>
  <c r="D341" i="7"/>
  <c r="D342" i="7"/>
  <c r="D343" i="7"/>
  <c r="D344" i="7"/>
  <c r="D345" i="7"/>
  <c r="D348" i="7"/>
  <c r="D349" i="7"/>
  <c r="D1528" i="7"/>
  <c r="D581" i="7"/>
  <c r="D1169" i="7"/>
  <c r="D1184" i="7"/>
  <c r="D1175" i="7"/>
  <c r="D1193" i="7"/>
  <c r="D1194" i="7"/>
  <c r="D1049" i="7"/>
  <c r="D1050" i="7"/>
  <c r="D1051" i="7"/>
  <c r="D1052" i="7"/>
  <c r="D1053" i="7"/>
  <c r="D1054" i="7"/>
  <c r="D1055" i="7"/>
  <c r="D1195" i="7"/>
  <c r="D1196" i="7"/>
  <c r="D1197" i="7"/>
  <c r="D582" i="7"/>
  <c r="D583" i="7"/>
  <c r="D964" i="7"/>
  <c r="D350" i="7"/>
  <c r="D351" i="7"/>
  <c r="D352" i="7"/>
  <c r="D436" i="7"/>
  <c r="D1472" i="7"/>
  <c r="D1473" i="7"/>
  <c r="D1474" i="7"/>
  <c r="D1475" i="7"/>
  <c r="D1056" i="7"/>
  <c r="D180" i="7"/>
  <c r="D650" i="7"/>
  <c r="D1319" i="7"/>
  <c r="D1320" i="7"/>
  <c r="D1321" i="7"/>
  <c r="D1198" i="7"/>
  <c r="D1322" i="7"/>
  <c r="D1323" i="7"/>
  <c r="D1238" i="7"/>
  <c r="D1239" i="7"/>
  <c r="D1324" i="7"/>
  <c r="D1325" i="7"/>
  <c r="D1326" i="7"/>
  <c r="D1327" i="7"/>
  <c r="D1328" i="7"/>
  <c r="D1329" i="7"/>
  <c r="D1330" i="7"/>
  <c r="D1331" i="7"/>
  <c r="D35" i="7"/>
  <c r="D36" i="7"/>
  <c r="D37" i="7"/>
  <c r="D406" i="7"/>
  <c r="D38" i="7"/>
  <c r="D1258" i="7"/>
  <c r="D1057" i="7"/>
  <c r="D610" i="7"/>
  <c r="D611" i="7"/>
  <c r="D612" i="7"/>
  <c r="D651" i="7"/>
  <c r="D850" i="7"/>
  <c r="D1199" i="7"/>
  <c r="D39" i="7"/>
  <c r="D1058" i="7"/>
  <c r="D1059" i="7"/>
  <c r="D1060" i="7"/>
  <c r="D1061" i="7"/>
  <c r="D1062" i="7"/>
  <c r="D1063" i="7"/>
  <c r="D1064" i="7"/>
  <c r="D1476" i="7"/>
  <c r="D1332" i="7"/>
  <c r="D1333" i="7"/>
  <c r="D1334" i="7"/>
  <c r="D1335" i="7"/>
  <c r="D1336" i="7"/>
  <c r="D652" i="7"/>
  <c r="D653" i="7"/>
  <c r="D654" i="7"/>
  <c r="D1253" i="7"/>
  <c r="D1254" i="7"/>
  <c r="D437" i="7"/>
  <c r="D1259" i="7"/>
  <c r="D1260" i="7"/>
  <c r="D1261" i="7"/>
  <c r="D1279" i="7"/>
  <c r="D40" i="7"/>
  <c r="D41" i="7"/>
  <c r="D438" i="7"/>
  <c r="D1337" i="7"/>
  <c r="D1240" i="7"/>
  <c r="D1338" i="7"/>
  <c r="D1065" i="7"/>
  <c r="D1066" i="7"/>
  <c r="D1067" i="7"/>
  <c r="D1068" i="7"/>
  <c r="D1069" i="7"/>
  <c r="D1070" i="7"/>
  <c r="D1071" i="7"/>
  <c r="D1072" i="7"/>
  <c r="D1073" i="7"/>
  <c r="D1074" i="7"/>
  <c r="D1075" i="7"/>
  <c r="D1076" i="7"/>
  <c r="D1077" i="7"/>
  <c r="D1078" i="7"/>
  <c r="D1079" i="7"/>
  <c r="D1080" i="7"/>
  <c r="D1081" i="7"/>
  <c r="D1082" i="7"/>
  <c r="D1083" i="7"/>
  <c r="D1084" i="7"/>
  <c r="D1085" i="7"/>
  <c r="D1086" i="7"/>
  <c r="D1446" i="7"/>
  <c r="D1447" i="7"/>
  <c r="D851" i="7"/>
  <c r="D658" i="7"/>
  <c r="D1087" i="7"/>
  <c r="D1088" i="7"/>
  <c r="D1477" i="7"/>
  <c r="D1262" i="7"/>
  <c r="D181" i="7"/>
  <c r="D1200" i="7"/>
  <c r="D1201" i="7"/>
  <c r="D1089" i="7"/>
  <c r="D1090" i="7"/>
  <c r="D1091" i="7"/>
  <c r="D1092" i="7"/>
  <c r="D1093" i="7"/>
  <c r="D1094" i="7"/>
  <c r="D1095" i="7"/>
  <c r="D613" i="7"/>
  <c r="D1339" i="7"/>
  <c r="D439" i="7"/>
  <c r="D440" i="7"/>
  <c r="D441" i="7"/>
  <c r="D442" i="7"/>
  <c r="D443" i="7"/>
  <c r="D506" i="7"/>
  <c r="D512" i="7"/>
  <c r="D332" i="7"/>
  <c r="D661" i="7"/>
  <c r="D42" i="7"/>
  <c r="D43" i="7"/>
  <c r="D44" i="7"/>
  <c r="D45" i="7"/>
  <c r="D1529" i="7"/>
  <c r="D1537" i="7"/>
  <c r="D664" i="7"/>
  <c r="D665" i="7"/>
  <c r="D648" i="7"/>
  <c r="D663" i="7"/>
  <c r="D660" i="7"/>
  <c r="D669" i="7"/>
  <c r="D670" i="7"/>
  <c r="D1241" i="7"/>
  <c r="D1242" i="7"/>
  <c r="D671" i="7"/>
  <c r="D1448" i="7"/>
  <c r="D407" i="7"/>
  <c r="D1202" i="7"/>
  <c r="D1203" i="7"/>
  <c r="D1204" i="7"/>
  <c r="D46" i="7"/>
  <c r="D47" i="7"/>
  <c r="D48" i="7"/>
  <c r="D49" i="7"/>
  <c r="D50" i="7"/>
  <c r="D182" i="7"/>
  <c r="D584" i="7"/>
  <c r="D1170" i="7"/>
  <c r="D1178" i="7"/>
  <c r="D1205" i="7"/>
  <c r="D183" i="7"/>
  <c r="D585" i="7"/>
  <c r="D852" i="7"/>
  <c r="D853" i="7"/>
  <c r="D51" i="7"/>
  <c r="D52" i="7"/>
  <c r="D309" i="7"/>
  <c r="D310" i="7"/>
  <c r="D444" i="7"/>
  <c r="D445" i="7"/>
  <c r="D333" i="7"/>
  <c r="D1340" i="7"/>
  <c r="D1341" i="7"/>
  <c r="D53" i="7"/>
  <c r="D54" i="7"/>
  <c r="D1206" i="7"/>
  <c r="D446" i="7"/>
  <c r="D55" i="7"/>
  <c r="D56" i="7"/>
  <c r="D1342" i="7"/>
  <c r="D1343" i="7"/>
  <c r="D1344" i="7"/>
  <c r="D1345" i="7"/>
  <c r="D1346" i="7"/>
  <c r="D1347" i="7"/>
  <c r="D1348" i="7"/>
  <c r="D1349" i="7"/>
  <c r="D1096" i="7"/>
  <c r="D1097" i="7"/>
  <c r="D1098" i="7"/>
  <c r="D1530" i="7"/>
  <c r="D1538" i="7"/>
  <c r="D447" i="7"/>
  <c r="D1350" i="7"/>
  <c r="D1351" i="7"/>
  <c r="D448" i="7"/>
  <c r="D449" i="7"/>
  <c r="D450" i="7"/>
  <c r="D451" i="7"/>
  <c r="D452" i="7"/>
  <c r="D453" i="7"/>
  <c r="D454" i="7"/>
  <c r="D455" i="7"/>
  <c r="D456" i="7"/>
  <c r="D1207" i="7"/>
  <c r="D457" i="7"/>
  <c r="D458" i="7"/>
  <c r="D459" i="7"/>
  <c r="D460" i="7"/>
  <c r="D1449" i="7"/>
  <c r="D461" i="7"/>
  <c r="D1208" i="7"/>
  <c r="D1209" i="7"/>
  <c r="D1210" i="7"/>
  <c r="D1211" i="7"/>
  <c r="D1219" i="7"/>
  <c r="D1220" i="7"/>
  <c r="D1188" i="7"/>
  <c r="D1189" i="7"/>
  <c r="D1191" i="7"/>
  <c r="D1212" i="7"/>
  <c r="D1213" i="7"/>
  <c r="D1263" i="7"/>
  <c r="D1264" i="7"/>
  <c r="D1265" i="7"/>
  <c r="D1352" i="7"/>
  <c r="D856" i="7"/>
  <c r="D857" i="7"/>
  <c r="D858" i="7"/>
  <c r="D33" i="7"/>
  <c r="D59" i="7"/>
  <c r="D60" i="7"/>
  <c r="D61" i="7"/>
  <c r="D62" i="7"/>
  <c r="D63" i="7"/>
  <c r="D64" i="7"/>
  <c r="D65" i="7"/>
  <c r="D66" i="7"/>
  <c r="D67" i="7"/>
  <c r="D68" i="7"/>
  <c r="D69" i="7"/>
  <c r="D70" i="7"/>
  <c r="D71" i="7"/>
  <c r="D72" i="7"/>
  <c r="D73" i="7"/>
  <c r="D74" i="7"/>
  <c r="D1214" i="7"/>
  <c r="D1353" i="7"/>
  <c r="D75" i="7"/>
  <c r="D462" i="7"/>
  <c r="D1354" i="7"/>
  <c r="D1099" i="7"/>
  <c r="D76" i="7"/>
  <c r="D1243" i="7"/>
  <c r="D1355" i="7"/>
  <c r="D1244" i="7"/>
  <c r="D1245" i="7"/>
  <c r="D1356" i="7"/>
  <c r="D674" i="7"/>
  <c r="D1478" i="7"/>
  <c r="D463" i="7"/>
  <c r="D464" i="7"/>
  <c r="D465" i="7"/>
  <c r="D1100" i="7"/>
  <c r="D965" i="7"/>
  <c r="D1357" i="7"/>
  <c r="D1450" i="7"/>
  <c r="D1101" i="7"/>
  <c r="D184" i="7"/>
  <c r="D185" i="7"/>
  <c r="D186" i="7"/>
  <c r="D187" i="7"/>
  <c r="D188" i="7"/>
  <c r="D189" i="7"/>
  <c r="D966" i="7"/>
  <c r="D675" i="7"/>
  <c r="D1165" i="7"/>
  <c r="D1358" i="7"/>
  <c r="D859" i="7"/>
  <c r="D860" i="7"/>
  <c r="D861" i="7"/>
  <c r="D676" i="7"/>
  <c r="D677" i="7"/>
  <c r="D678" i="7"/>
  <c r="D679" i="7"/>
  <c r="D680" i="7"/>
  <c r="D586" i="7"/>
  <c r="D862" i="7"/>
  <c r="D1102" i="7"/>
  <c r="D1215" i="7"/>
  <c r="D466" i="7"/>
  <c r="D338" i="7"/>
  <c r="D339" i="7"/>
  <c r="D1359" i="7"/>
  <c r="D467" i="7"/>
  <c r="D468" i="7"/>
  <c r="D469" i="7"/>
  <c r="D470" i="7"/>
  <c r="D1360" i="7"/>
  <c r="D681" i="7"/>
  <c r="D1361" i="7"/>
  <c r="D572" i="7"/>
  <c r="D573" i="7"/>
  <c r="D571" i="7"/>
  <c r="D311" i="7"/>
  <c r="D312" i="7"/>
  <c r="D313" i="7"/>
  <c r="D314" i="7"/>
  <c r="D1216" i="7"/>
  <c r="D1217" i="7"/>
  <c r="D1362" i="7"/>
  <c r="D471" i="7"/>
  <c r="D863" i="7"/>
  <c r="D1363" i="7"/>
  <c r="D1364" i="7"/>
  <c r="D408" i="7"/>
  <c r="D1365" i="7"/>
  <c r="D472" i="7"/>
  <c r="D473" i="7"/>
  <c r="D474" i="7"/>
  <c r="D475" i="7"/>
  <c r="D476" i="7"/>
  <c r="D477" i="7"/>
  <c r="D478" i="7"/>
  <c r="D479" i="7"/>
  <c r="D480" i="7"/>
  <c r="D481" i="7"/>
  <c r="D482" i="7"/>
  <c r="D483" i="7"/>
  <c r="D1103" i="7"/>
  <c r="D587" i="7"/>
  <c r="D614" i="7"/>
  <c r="D615" i="7"/>
  <c r="D616" i="7"/>
  <c r="D1246" i="7"/>
  <c r="D1247" i="7"/>
  <c r="D1248" i="7"/>
  <c r="D1249" i="7"/>
  <c r="D1250" i="7"/>
  <c r="D1251" i="7"/>
  <c r="D1252" i="7"/>
  <c r="D484" i="7"/>
  <c r="D485" i="7"/>
  <c r="D682" i="7"/>
  <c r="D683" i="7"/>
  <c r="D684" i="7"/>
  <c r="D685" i="7"/>
  <c r="D756" i="7"/>
  <c r="D864" i="7"/>
  <c r="D77" i="7"/>
  <c r="D1451" i="7"/>
  <c r="D190" i="7"/>
  <c r="D191" i="7"/>
  <c r="D192" i="7"/>
  <c r="D193" i="7"/>
  <c r="D194" i="7"/>
  <c r="D486" i="7"/>
  <c r="D487" i="7"/>
  <c r="D488" i="7"/>
  <c r="D489" i="7"/>
  <c r="D490" i="7"/>
  <c r="D1218" i="7"/>
  <c r="D491" i="7"/>
  <c r="D492" i="7"/>
  <c r="D493" i="7"/>
  <c r="D1266" i="7"/>
  <c r="D1267" i="7"/>
  <c r="D1280" i="7"/>
  <c r="D686" i="7"/>
  <c r="D1452" i="7"/>
  <c r="D195" i="7"/>
  <c r="D78" i="7"/>
  <c r="D79" i="7"/>
  <c r="D1453" i="7"/>
  <c r="D494" i="7"/>
  <c r="D687" i="7"/>
  <c r="D667" i="7"/>
  <c r="D672" i="7"/>
  <c r="D646" i="7"/>
  <c r="D621" i="7"/>
  <c r="D642" i="7"/>
  <c r="D640" i="7"/>
  <c r="D688" i="7"/>
  <c r="D655" i="7"/>
  <c r="D662" i="7"/>
  <c r="D644" i="7"/>
  <c r="D657" i="7"/>
  <c r="D689" i="7"/>
  <c r="D690" i="7"/>
  <c r="D691" i="7"/>
  <c r="D692" i="7"/>
  <c r="D693" i="7"/>
  <c r="D80" i="7"/>
  <c r="D694" i="7"/>
  <c r="D695" i="7"/>
  <c r="D696" i="7"/>
  <c r="D697" i="7"/>
  <c r="D346" i="7"/>
  <c r="D81" i="7"/>
  <c r="D82" i="7"/>
  <c r="D285" i="7"/>
  <c r="D83" i="7"/>
  <c r="D84" i="7"/>
  <c r="D196" i="7"/>
  <c r="D495" i="7"/>
  <c r="D668" i="7"/>
  <c r="D673" i="7"/>
  <c r="D647" i="7"/>
  <c r="D639" i="7"/>
  <c r="D643" i="7"/>
  <c r="D641" i="7"/>
  <c r="D649" i="7"/>
  <c r="D656" i="7"/>
  <c r="D700" i="7"/>
  <c r="D701" i="7"/>
  <c r="D666" i="7"/>
  <c r="D496" i="7"/>
  <c r="D497" i="7"/>
  <c r="D498" i="7"/>
  <c r="D1221" i="7"/>
  <c r="D588" i="7"/>
  <c r="D353" i="7"/>
  <c r="D85" i="7"/>
  <c r="D1104" i="7"/>
  <c r="D86" i="7"/>
  <c r="D87" i="7"/>
  <c r="D88" i="7"/>
  <c r="D89" i="7"/>
  <c r="D90" i="7"/>
  <c r="D91" i="7"/>
  <c r="D499" i="7"/>
  <c r="D1268" i="7"/>
  <c r="D1269" i="7"/>
  <c r="D1270" i="7"/>
  <c r="D1222" i="7"/>
  <c r="D703" i="7"/>
  <c r="D704" i="7"/>
  <c r="D1105" i="7"/>
  <c r="D589" i="7"/>
  <c r="D1106" i="7"/>
  <c r="D865" i="7"/>
  <c r="D246" i="7"/>
  <c r="D247" i="7"/>
  <c r="D248" i="7"/>
  <c r="D1271" i="7"/>
  <c r="D1107" i="7"/>
  <c r="D1108" i="7"/>
  <c r="D1109" i="7"/>
  <c r="D705" i="7"/>
  <c r="D706" i="7"/>
  <c r="D707" i="7"/>
  <c r="D708" i="7"/>
  <c r="D709" i="7"/>
  <c r="D710" i="7"/>
  <c r="D711" i="7"/>
  <c r="D1479" i="7"/>
  <c r="D1480" i="7"/>
  <c r="D1481" i="7"/>
  <c r="D1482" i="7"/>
  <c r="D1483" i="7"/>
  <c r="D1484" i="7"/>
  <c r="D1485" i="7"/>
  <c r="D1486" i="7"/>
  <c r="D1487" i="7"/>
  <c r="D1366" i="7"/>
  <c r="D500" i="7"/>
  <c r="D501" i="7"/>
  <c r="D354" i="7"/>
  <c r="D249" i="7"/>
  <c r="D250" i="7"/>
  <c r="D1223" i="7"/>
  <c r="D251" i="7"/>
  <c r="D252" i="7"/>
  <c r="D712" i="7"/>
  <c r="D713" i="7"/>
  <c r="D714" i="7"/>
  <c r="D1531" i="7"/>
  <c r="D715" i="7"/>
  <c r="D151" i="7"/>
  <c r="D57" i="7"/>
  <c r="D1110" i="7"/>
  <c r="D1367" i="7"/>
  <c r="D1368" i="7"/>
  <c r="D1532" i="7"/>
  <c r="D1111" i="7"/>
  <c r="D1171" i="7"/>
  <c r="D718" i="7"/>
  <c r="D866" i="7"/>
  <c r="D719" i="7"/>
  <c r="D720" i="7"/>
  <c r="D721" i="7"/>
  <c r="D867" i="7"/>
  <c r="D722" i="7"/>
  <c r="D645" i="7"/>
  <c r="D724" i="7"/>
  <c r="D725" i="7"/>
  <c r="D659" i="7"/>
  <c r="D726" i="7"/>
  <c r="D1488" i="7"/>
  <c r="D1112" i="7"/>
  <c r="D1113" i="7"/>
  <c r="D1114" i="7"/>
  <c r="D1115" i="7"/>
  <c r="D1116" i="7"/>
  <c r="D1370" i="7"/>
  <c r="D868" i="7"/>
  <c r="D869" i="7"/>
  <c r="D1185" i="7"/>
  <c r="D197" i="7"/>
  <c r="D198" i="7"/>
  <c r="D199" i="7"/>
  <c r="D502" i="7"/>
  <c r="D503" i="7"/>
  <c r="D355" i="7"/>
  <c r="D356" i="7"/>
  <c r="D357" i="7"/>
  <c r="D358" i="7"/>
  <c r="D359" i="7"/>
  <c r="D727" i="7"/>
  <c r="D1117" i="7"/>
  <c r="D504" i="7"/>
  <c r="D505" i="7"/>
  <c r="D870" i="7"/>
  <c r="D1272" i="7"/>
  <c r="D728" i="7"/>
  <c r="D92" i="7"/>
  <c r="D93" i="7"/>
  <c r="D94" i="7"/>
  <c r="D729" i="7"/>
  <c r="D730" i="7"/>
  <c r="D871" i="7"/>
  <c r="D872" i="7"/>
  <c r="D873" i="7"/>
  <c r="D874" i="7"/>
  <c r="D875" i="7"/>
  <c r="D876" i="7"/>
  <c r="D877" i="7"/>
  <c r="D878" i="7"/>
  <c r="D879" i="7"/>
  <c r="D1224" i="7"/>
  <c r="D731" i="7"/>
  <c r="D880" i="7"/>
  <c r="D881" i="7"/>
  <c r="D1489" i="7"/>
  <c r="D1490" i="7"/>
  <c r="D732" i="7"/>
  <c r="D733" i="7"/>
  <c r="D734" i="7"/>
  <c r="D735" i="7"/>
  <c r="D736" i="7"/>
  <c r="D737" i="7"/>
  <c r="D738" i="7"/>
  <c r="D739" i="7"/>
  <c r="D785" i="7"/>
  <c r="D786" i="7"/>
  <c r="D507" i="7"/>
  <c r="D508" i="7"/>
  <c r="D253" i="7"/>
  <c r="D509" i="7"/>
  <c r="D510" i="7"/>
  <c r="D511" i="7"/>
  <c r="D95" i="7"/>
  <c r="D1533" i="7"/>
  <c r="D360" i="7"/>
  <c r="D882" i="7"/>
  <c r="D883" i="7"/>
  <c r="D764" i="7"/>
  <c r="D1372" i="7"/>
  <c r="D315" i="7"/>
  <c r="D884" i="7"/>
  <c r="D885" i="7"/>
  <c r="D200" i="7"/>
  <c r="D201" i="7"/>
  <c r="D886" i="7"/>
  <c r="D361" i="7"/>
  <c r="D967" i="7"/>
  <c r="D513" i="7"/>
  <c r="D514" i="7"/>
  <c r="D515" i="7"/>
  <c r="D516" i="7"/>
  <c r="D517" i="7"/>
  <c r="D316" i="7"/>
  <c r="D202" i="7"/>
  <c r="D887" i="7"/>
  <c r="D518" i="7"/>
  <c r="D519" i="7"/>
  <c r="D1373" i="7"/>
  <c r="D1369" i="7"/>
  <c r="D1371" i="7"/>
  <c r="D362" i="7"/>
  <c r="D363" i="7"/>
  <c r="D364" i="7"/>
  <c r="D365" i="7"/>
  <c r="D366" i="7"/>
  <c r="D367" i="7"/>
  <c r="D740" i="7"/>
  <c r="D1225" i="7"/>
  <c r="D520" i="7"/>
  <c r="D597" i="7"/>
  <c r="D741" i="7"/>
  <c r="D368" i="7"/>
  <c r="D1118" i="7"/>
  <c r="D742" i="7"/>
  <c r="D203" i="7"/>
  <c r="D890" i="7"/>
  <c r="D891" i="7"/>
  <c r="D892" i="7"/>
  <c r="D893" i="7"/>
  <c r="D894" i="7"/>
  <c r="D743" i="7"/>
  <c r="D204" i="7"/>
  <c r="D205" i="7"/>
  <c r="D96" i="7"/>
  <c r="D97" i="7"/>
  <c r="D1374" i="7"/>
  <c r="D744" i="7"/>
  <c r="D745" i="7"/>
  <c r="D746" i="7"/>
  <c r="D747" i="7"/>
  <c r="D748" i="7"/>
  <c r="D749" i="7"/>
  <c r="D750" i="7"/>
  <c r="D751" i="7"/>
  <c r="D752" i="7"/>
  <c r="D895" i="7"/>
  <c r="D896" i="7"/>
  <c r="D753" i="7"/>
  <c r="D1226" i="7"/>
  <c r="D1454" i="7"/>
  <c r="D1375" i="7"/>
  <c r="D1491" i="7"/>
  <c r="D1492" i="7"/>
  <c r="D1119" i="7"/>
  <c r="D1120" i="7"/>
  <c r="D1121" i="7"/>
  <c r="D1122" i="7"/>
  <c r="D1123" i="7"/>
  <c r="D1124" i="7"/>
  <c r="D1125" i="7"/>
  <c r="D409" i="7"/>
  <c r="D754" i="7"/>
  <c r="D317" i="7"/>
  <c r="D1376" i="7"/>
  <c r="D897" i="7"/>
  <c r="D898" i="7"/>
  <c r="D755" i="7"/>
  <c r="D1377" i="7"/>
  <c r="D1378" i="7"/>
  <c r="D206" i="7"/>
  <c r="D207" i="7"/>
  <c r="D899" i="7"/>
  <c r="D590" i="7"/>
  <c r="D591" i="7"/>
  <c r="D153" i="7"/>
  <c r="D58" i="7"/>
  <c r="D98" i="7"/>
  <c r="D900" i="7"/>
  <c r="D1379" i="7"/>
  <c r="D1380" i="7"/>
  <c r="D521" i="7"/>
  <c r="D522" i="7"/>
  <c r="D208" i="7"/>
  <c r="D523" i="7"/>
  <c r="D524" i="7"/>
  <c r="D525" i="7"/>
  <c r="D526" i="7"/>
  <c r="D527" i="7"/>
  <c r="D1381" i="7"/>
  <c r="D528" i="7"/>
  <c r="D901" i="7"/>
  <c r="D757" i="7"/>
  <c r="D1227" i="7"/>
  <c r="D902" i="7"/>
  <c r="D99" i="7"/>
  <c r="D758" i="7"/>
  <c r="D903" i="7"/>
  <c r="D904" i="7"/>
  <c r="D905" i="7"/>
  <c r="D906" i="7"/>
  <c r="D907" i="7"/>
  <c r="D908" i="7"/>
  <c r="D909" i="7"/>
  <c r="D910" i="7"/>
  <c r="D529" i="7"/>
  <c r="D530" i="7"/>
  <c r="D1382" i="7"/>
  <c r="D159" i="7"/>
  <c r="D759" i="7"/>
  <c r="D760" i="7"/>
  <c r="D761" i="7"/>
  <c r="D762" i="7"/>
  <c r="D763" i="7"/>
  <c r="D968" i="7"/>
  <c r="D969" i="7"/>
  <c r="D100" i="7"/>
  <c r="D101" i="7"/>
  <c r="D970" i="7"/>
  <c r="D971" i="7"/>
  <c r="D102" i="7"/>
  <c r="D103" i="7"/>
  <c r="D1255" i="7"/>
  <c r="D1126" i="7"/>
  <c r="D1127" i="7"/>
  <c r="D1128" i="7"/>
  <c r="D1129" i="7"/>
  <c r="D1130" i="7"/>
  <c r="D1131" i="7"/>
  <c r="D1132" i="7"/>
  <c r="D1133" i="7"/>
  <c r="D1134" i="7"/>
  <c r="D604" i="7"/>
  <c r="D911" i="7"/>
  <c r="D765" i="7"/>
  <c r="D1534" i="7"/>
  <c r="D1228" i="7"/>
  <c r="D766" i="7"/>
  <c r="D531" i="7"/>
  <c r="D1383" i="7"/>
  <c r="D369" i="7"/>
  <c r="D1535" i="7"/>
  <c r="D912" i="7"/>
  <c r="D913" i="7"/>
  <c r="D914" i="7"/>
  <c r="D915" i="7"/>
  <c r="D916" i="7"/>
  <c r="D917" i="7"/>
  <c r="D410" i="7"/>
  <c r="D209" i="7"/>
  <c r="D210" i="7"/>
  <c r="D918" i="7"/>
  <c r="D254" i="7"/>
  <c r="D255" i="7"/>
  <c r="D256" i="7"/>
  <c r="D370" i="7"/>
  <c r="D767" i="7"/>
  <c r="D768" i="7"/>
  <c r="D769" i="7"/>
  <c r="D770" i="7"/>
  <c r="D771" i="7"/>
  <c r="D772" i="7"/>
  <c r="D773" i="7"/>
  <c r="D774" i="7"/>
  <c r="D775" i="7"/>
  <c r="D776" i="7"/>
  <c r="D777" i="7"/>
  <c r="D778" i="7"/>
  <c r="D779" i="7"/>
  <c r="D780" i="7"/>
  <c r="D781" i="7"/>
  <c r="D211" i="7"/>
  <c r="D212" i="7"/>
  <c r="D213" i="7"/>
  <c r="D1384" i="7"/>
  <c r="D214" i="7"/>
  <c r="D215" i="7"/>
  <c r="D216" i="7"/>
  <c r="D1135" i="7"/>
  <c r="D919" i="7"/>
  <c r="D920" i="7"/>
  <c r="D782" i="7"/>
  <c r="D783" i="7"/>
  <c r="D532" i="7"/>
  <c r="D371" i="7"/>
  <c r="D1493" i="7"/>
  <c r="D1494" i="7"/>
  <c r="D1495" i="7"/>
  <c r="D1496" i="7"/>
  <c r="D217" i="7"/>
  <c r="D1136" i="7"/>
  <c r="D1137" i="7"/>
  <c r="D1138" i="7"/>
  <c r="D1139" i="7"/>
  <c r="D1385" i="7"/>
  <c r="D972" i="7"/>
  <c r="D973" i="7"/>
  <c r="D974" i="7"/>
  <c r="D975" i="7"/>
  <c r="D976" i="7"/>
  <c r="D977" i="7"/>
  <c r="D978" i="7"/>
  <c r="D1386" i="7"/>
  <c r="D1140" i="7"/>
  <c r="D1141" i="7"/>
  <c r="D1142" i="7"/>
  <c r="D104" i="7"/>
  <c r="D784" i="7"/>
  <c r="D105" i="7"/>
  <c r="D1179" i="7"/>
  <c r="D698" i="7"/>
  <c r="D699" i="7"/>
  <c r="D702" i="7"/>
  <c r="D716" i="7"/>
  <c r="D717" i="7"/>
  <c r="D723" i="7"/>
  <c r="D1387" i="7"/>
  <c r="D533" i="7"/>
  <c r="D923" i="7"/>
  <c r="D1186" i="7"/>
  <c r="D1536" i="7"/>
  <c r="D592" i="7"/>
  <c r="D593" i="7"/>
  <c r="D787" i="7"/>
  <c r="D788" i="7"/>
  <c r="D789" i="7"/>
  <c r="D790" i="7"/>
  <c r="D791" i="7"/>
  <c r="D1143" i="7"/>
  <c r="D594" i="7"/>
  <c r="D595" i="7"/>
  <c r="D534" i="7"/>
  <c r="D924" i="7"/>
  <c r="D925" i="7"/>
  <c r="D926" i="7"/>
  <c r="D535" i="7"/>
  <c r="D536" i="7"/>
  <c r="D537" i="7"/>
  <c r="D538" i="7"/>
  <c r="D539" i="7"/>
  <c r="D540" i="7"/>
  <c r="D541" i="7"/>
  <c r="D542" i="7"/>
  <c r="D543" i="7"/>
  <c r="D544" i="7"/>
  <c r="D545" i="7"/>
  <c r="D546" i="7"/>
  <c r="D1388" i="7"/>
  <c r="D792" i="7"/>
  <c r="D1455" i="7"/>
  <c r="D927" i="7"/>
  <c r="D928" i="7"/>
  <c r="D929" i="7"/>
  <c r="D108" i="7"/>
  <c r="D793" i="7"/>
  <c r="D794" i="7"/>
  <c r="D795" i="7"/>
  <c r="D109" i="7"/>
  <c r="D110" i="7"/>
  <c r="D111" i="7"/>
  <c r="D1389" i="7"/>
  <c r="D1390" i="7"/>
  <c r="D1391" i="7"/>
  <c r="D1392" i="7"/>
  <c r="D1393" i="7"/>
  <c r="D1394" i="7"/>
  <c r="D1395" i="7"/>
  <c r="D218" i="7"/>
  <c r="D219" i="7"/>
  <c r="D220" i="7"/>
  <c r="D1144" i="7"/>
  <c r="D1145" i="7"/>
  <c r="D221" i="7"/>
  <c r="D257" i="7"/>
  <c r="D258" i="7"/>
  <c r="D259" i="7"/>
  <c r="D112" i="7"/>
  <c r="D1396" i="7"/>
  <c r="D222" i="7"/>
  <c r="D796" i="7"/>
  <c r="D107" i="7"/>
  <c r="D797" i="7"/>
  <c r="D921" i="7"/>
  <c r="D922" i="7"/>
  <c r="D547" i="7"/>
  <c r="D548" i="7"/>
  <c r="D549" i="7"/>
  <c r="D1397" i="7"/>
  <c r="D1398" i="7"/>
  <c r="D1399" i="7"/>
  <c r="D260" i="7"/>
  <c r="D930" i="7"/>
  <c r="D223" i="7"/>
  <c r="D931" i="7"/>
  <c r="D550" i="7"/>
  <c r="D1400" i="7"/>
  <c r="D113" i="7"/>
  <c r="D114" i="7"/>
  <c r="D261" i="7"/>
  <c r="D262" i="7"/>
  <c r="D263" i="7"/>
  <c r="D115" i="7"/>
  <c r="D116" i="7"/>
  <c r="D117" i="7"/>
  <c r="D118" i="7"/>
  <c r="D798" i="7"/>
  <c r="D224" i="7"/>
  <c r="D596" i="7"/>
  <c r="D1181" i="7"/>
  <c r="D1497" i="7"/>
  <c r="D119" i="7"/>
  <c r="D120" i="7"/>
  <c r="D121" i="7"/>
  <c r="D122" i="7"/>
  <c r="D932" i="7"/>
  <c r="D123" i="7"/>
  <c r="D124" i="7"/>
  <c r="D933" i="7"/>
  <c r="D934" i="7"/>
  <c r="D935" i="7"/>
  <c r="D936" i="7"/>
  <c r="D937" i="7"/>
  <c r="D938" i="7"/>
  <c r="D939" i="7"/>
  <c r="D940" i="7"/>
  <c r="D941" i="7"/>
  <c r="D942" i="7"/>
  <c r="D943" i="7"/>
  <c r="D1401" i="7"/>
  <c r="D125" i="7"/>
  <c r="D126" i="7"/>
  <c r="D127" i="7"/>
  <c r="D1146" i="7"/>
  <c r="D128" i="7"/>
  <c r="D1147" i="7"/>
  <c r="D264" i="7"/>
  <c r="D1402" i="7"/>
  <c r="D265" i="7"/>
  <c r="D266" i="7"/>
  <c r="D551" i="7"/>
  <c r="D267" i="7"/>
  <c r="D268" i="7"/>
  <c r="D269" i="7"/>
  <c r="D270" i="7"/>
  <c r="D271" i="7"/>
  <c r="D272" i="7"/>
  <c r="D273" i="7"/>
  <c r="D274" i="7"/>
  <c r="D275" i="7"/>
  <c r="D276" i="7"/>
  <c r="D277" i="7"/>
  <c r="D278" i="7"/>
  <c r="D318" i="7"/>
  <c r="D319" i="7"/>
  <c r="D320" i="7"/>
  <c r="D321" i="7"/>
  <c r="D129" i="7"/>
  <c r="D888" i="7"/>
  <c r="D225" i="7"/>
  <c r="D1403" i="7"/>
  <c r="D1148" i="7"/>
  <c r="D799" i="7"/>
  <c r="D800" i="7"/>
  <c r="D1404" i="7"/>
  <c r="D1539" i="7"/>
  <c r="D1231" i="7"/>
  <c r="D1232" i="7"/>
  <c r="D1233" i="7"/>
  <c r="D552" i="7"/>
  <c r="D1149" i="7"/>
  <c r="D801" i="7"/>
  <c r="D802" i="7"/>
  <c r="D803" i="7"/>
  <c r="D160" i="7"/>
  <c r="D553" i="7"/>
  <c r="D279" i="7"/>
  <c r="D280" i="7"/>
  <c r="D372" i="7"/>
  <c r="D373" i="7"/>
  <c r="D374" i="7"/>
  <c r="D375" i="7"/>
  <c r="D376" i="7"/>
  <c r="D377" i="7"/>
  <c r="D378" i="7"/>
  <c r="D379" i="7"/>
  <c r="D380" i="7"/>
  <c r="D381" i="7"/>
  <c r="D382" i="7"/>
  <c r="D383" i="7"/>
  <c r="D598" i="7"/>
  <c r="D1182" i="7"/>
  <c r="D384" i="7"/>
  <c r="D385" i="7"/>
  <c r="D386" i="7"/>
  <c r="D1498" i="7"/>
  <c r="D1499" i="7"/>
  <c r="D1500" i="7"/>
  <c r="D1501" i="7"/>
  <c r="D1502" i="7"/>
  <c r="D1503" i="7"/>
  <c r="D1504" i="7"/>
  <c r="D1505" i="7"/>
  <c r="D1506" i="7"/>
  <c r="D1507" i="7"/>
  <c r="D1508" i="7"/>
  <c r="D1509" i="7"/>
  <c r="D1510" i="7"/>
  <c r="D1511" i="7"/>
  <c r="D1540" i="7"/>
  <c r="D411" i="7"/>
  <c r="D226" i="7"/>
  <c r="D1541" i="7"/>
  <c r="D1405" i="7"/>
  <c r="D281" i="7"/>
  <c r="D282" i="7"/>
  <c r="D412" i="7"/>
  <c r="D1150" i="7"/>
  <c r="D944" i="7"/>
  <c r="D804" i="7"/>
  <c r="D387" i="7"/>
  <c r="D388" i="7"/>
  <c r="D227" i="7"/>
  <c r="D1406" i="7"/>
  <c r="D554" i="7"/>
  <c r="D1456" i="7"/>
  <c r="D322" i="7"/>
  <c r="D945" i="7"/>
  <c r="D1512" i="7"/>
  <c r="D1513" i="7"/>
  <c r="D805" i="7"/>
  <c r="D806" i="7"/>
  <c r="D555" i="7"/>
  <c r="D228" i="7"/>
  <c r="D130" i="7"/>
  <c r="D1407" i="7"/>
  <c r="D1183" i="7"/>
  <c r="D599" i="7"/>
  <c r="D807" i="7"/>
  <c r="D946" i="7"/>
  <c r="D808" i="7"/>
  <c r="D809" i="7"/>
  <c r="D556" i="7"/>
  <c r="D1408" i="7"/>
  <c r="D557" i="7"/>
  <c r="D558" i="7"/>
  <c r="D559" i="7"/>
  <c r="D560" i="7"/>
  <c r="D1409" i="7"/>
  <c r="D1410" i="7"/>
  <c r="D1411" i="7"/>
  <c r="D1412" i="7"/>
  <c r="D1413" i="7"/>
  <c r="D1414" i="7"/>
  <c r="D1415" i="7"/>
  <c r="D1416" i="7"/>
  <c r="D1417" i="7"/>
  <c r="D810" i="7"/>
  <c r="D811" i="7"/>
  <c r="D812" i="7"/>
  <c r="D813" i="7"/>
  <c r="D814" i="7"/>
  <c r="D815" i="7"/>
  <c r="D816" i="7"/>
  <c r="D817" i="7"/>
  <c r="D818" i="7"/>
  <c r="D819" i="7"/>
  <c r="D820" i="7"/>
  <c r="D131" i="7"/>
  <c r="D1418" i="7"/>
  <c r="D1419" i="7"/>
  <c r="D600" i="7"/>
  <c r="D601" i="7"/>
  <c r="D602" i="7"/>
  <c r="D603" i="7"/>
  <c r="D889" i="7"/>
  <c r="D1542" i="7"/>
  <c r="D1543" i="7"/>
  <c r="D1544" i="7"/>
  <c r="D821" i="7"/>
  <c r="D822" i="7"/>
  <c r="D561" i="7"/>
  <c r="D1514" i="7"/>
  <c r="D1515" i="7"/>
  <c r="D1420" i="7"/>
  <c r="D1234" i="7"/>
  <c r="D283" i="7"/>
  <c r="D132" i="7"/>
  <c r="D229" i="7"/>
  <c r="D1421" i="7"/>
  <c r="D230" i="7"/>
  <c r="D231" i="7"/>
  <c r="D232" i="7"/>
  <c r="D823" i="7"/>
  <c r="D133" i="7"/>
  <c r="D1422" i="7"/>
  <c r="D824" i="7"/>
  <c r="D947" i="7"/>
  <c r="D825" i="7"/>
  <c r="D233" i="7"/>
  <c r="D1423" i="7"/>
  <c r="D1172" i="7"/>
  <c r="D979" i="7"/>
  <c r="D980" i="7"/>
  <c r="D981" i="7"/>
  <c r="D982" i="7"/>
  <c r="D413" i="7"/>
  <c r="D414" i="7"/>
  <c r="D983" i="7"/>
  <c r="D984" i="7"/>
  <c r="D985" i="7"/>
  <c r="D986" i="7"/>
  <c r="D987" i="7"/>
  <c r="D988" i="7"/>
  <c r="D989" i="7"/>
  <c r="D990" i="7"/>
  <c r="D991" i="7"/>
  <c r="D992" i="7"/>
  <c r="D993" i="7"/>
  <c r="D994" i="7"/>
  <c r="D995" i="7"/>
  <c r="D996" i="7"/>
  <c r="D997" i="7"/>
  <c r="D998" i="7"/>
  <c r="D999" i="7"/>
  <c r="D562" i="7"/>
  <c r="D1424" i="7"/>
  <c r="D1425" i="7"/>
  <c r="D1426" i="7"/>
  <c r="D1427" i="7"/>
  <c r="D1428" i="7"/>
  <c r="D134" i="7"/>
  <c r="D826" i="7"/>
  <c r="D563" i="7"/>
  <c r="D827" i="7"/>
  <c r="D1000" i="7"/>
  <c r="D135" i="7"/>
  <c r="D323" i="7"/>
  <c r="D324" i="7"/>
  <c r="D948" i="7"/>
  <c r="D949" i="7"/>
  <c r="D564" i="7"/>
  <c r="D136" i="7"/>
  <c r="D137" i="7"/>
  <c r="D138" i="7"/>
  <c r="D139" i="7"/>
  <c r="D1429" i="7"/>
  <c r="D950" i="7"/>
  <c r="D1545" i="7"/>
  <c r="D1546" i="7"/>
  <c r="D1516" i="7"/>
  <c r="D951" i="7"/>
  <c r="D952" i="7"/>
  <c r="D953" i="7"/>
  <c r="D954" i="7"/>
  <c r="D828" i="7"/>
  <c r="D1430" i="7"/>
  <c r="D1431" i="7"/>
  <c r="D1432" i="7"/>
  <c r="D1433" i="7"/>
  <c r="D1434" i="7"/>
  <c r="D1435" i="7"/>
  <c r="D1436" i="7"/>
  <c r="D1437" i="7"/>
  <c r="D605" i="7"/>
  <c r="D415" i="7"/>
  <c r="D1166" i="7"/>
  <c r="D1001" i="7"/>
  <c r="D1002" i="7"/>
  <c r="D1003" i="7"/>
  <c r="D1004" i="7"/>
  <c r="D1005" i="7"/>
  <c r="D1006" i="7"/>
  <c r="D1007" i="7"/>
  <c r="D1008" i="7"/>
  <c r="D1009" i="7"/>
  <c r="D1438" i="7"/>
  <c r="D1439" i="7"/>
  <c r="D1440" i="7"/>
  <c r="D565" i="7"/>
  <c r="D566" i="7"/>
  <c r="D567" i="7"/>
  <c r="D287" i="7"/>
  <c r="D234" i="7"/>
  <c r="D235" i="7"/>
  <c r="D236" i="7"/>
  <c r="D829" i="7"/>
  <c r="D830" i="7"/>
  <c r="D955" i="7"/>
  <c r="D288" i="7"/>
  <c r="D289" i="7"/>
  <c r="D290" i="7"/>
  <c r="D291" i="7"/>
  <c r="D292" i="7"/>
  <c r="D293" i="7"/>
  <c r="D294" i="7"/>
  <c r="D295" i="7"/>
  <c r="D296" i="7"/>
  <c r="D297" i="7"/>
  <c r="D298" i="7"/>
  <c r="T447" i="7" l="1"/>
  <c r="D1442" i="7" l="1"/>
  <c r="E1442" i="7"/>
  <c r="F1442" i="7"/>
  <c r="G1442" i="7"/>
  <c r="H1442" i="7"/>
  <c r="I1442" i="7"/>
</calcChain>
</file>

<file path=xl/sharedStrings.xml><?xml version="1.0" encoding="utf-8"?>
<sst xmlns="http://schemas.openxmlformats.org/spreadsheetml/2006/main" count="16756" uniqueCount="7617">
  <si>
    <t>main_category_code</t>
  </si>
  <si>
    <t>main_category_name</t>
  </si>
  <si>
    <t>ID</t>
  </si>
  <si>
    <t>PLC</t>
  </si>
  <si>
    <t>Programmable Logic Controller</t>
  </si>
  <si>
    <t>SEN</t>
  </si>
  <si>
    <t>Sensors</t>
  </si>
  <si>
    <t>HMI</t>
  </si>
  <si>
    <t>HUMAN MACHINE INTERFACE</t>
  </si>
  <si>
    <t>PRT</t>
  </si>
  <si>
    <t>PRESSURE TRANSMITTER</t>
  </si>
  <si>
    <t>UPS</t>
  </si>
  <si>
    <t>UPS &amp; STABILIZER</t>
  </si>
  <si>
    <t>CAB</t>
  </si>
  <si>
    <t>CABLE</t>
  </si>
  <si>
    <t>PRG</t>
  </si>
  <si>
    <t>PRESSURE GAUGE</t>
  </si>
  <si>
    <t>EFM</t>
  </si>
  <si>
    <t>Electromagnetic Flow Meter</t>
  </si>
  <si>
    <t>LVL</t>
  </si>
  <si>
    <t>LEVEL SENSOR</t>
  </si>
  <si>
    <t>WQA</t>
  </si>
  <si>
    <t>WATER QUALITY ANALYSER</t>
  </si>
  <si>
    <t>ELA</t>
  </si>
  <si>
    <t xml:space="preserve"> ELECTRICAL ACCESSORIES</t>
  </si>
  <si>
    <t>MOD</t>
  </si>
  <si>
    <t>MODEM</t>
  </si>
  <si>
    <t>PPA</t>
  </si>
  <si>
    <t>PANEL PARTS</t>
  </si>
  <si>
    <t>ITA</t>
  </si>
  <si>
    <t>IT ACCESSORIES</t>
  </si>
  <si>
    <t>SER</t>
  </si>
  <si>
    <t>SERVICE</t>
  </si>
  <si>
    <t>ONG</t>
  </si>
  <si>
    <t>O&amp;G ACCESSORIES</t>
  </si>
  <si>
    <t>MOV</t>
  </si>
  <si>
    <t>VALVE ACTUATOR</t>
  </si>
  <si>
    <t>PNL</t>
  </si>
  <si>
    <t>PANEL</t>
  </si>
  <si>
    <t>PLA</t>
  </si>
  <si>
    <t>PLUMBING ACCESSORIES</t>
  </si>
  <si>
    <t>CIM</t>
  </si>
  <si>
    <t>CIMCON Products</t>
  </si>
  <si>
    <t>ITS</t>
  </si>
  <si>
    <t>IT SOFTWARES</t>
  </si>
  <si>
    <t>TOO</t>
  </si>
  <si>
    <t>Tools</t>
  </si>
  <si>
    <t>CIV</t>
  </si>
  <si>
    <t>CIVIL</t>
  </si>
  <si>
    <t>MIS</t>
  </si>
  <si>
    <t>MISCELLENOUS</t>
  </si>
  <si>
    <t>STA</t>
  </si>
  <si>
    <t>Stationary</t>
  </si>
  <si>
    <t>AMR</t>
  </si>
  <si>
    <t>PAC</t>
  </si>
  <si>
    <t>Packing Materail</t>
  </si>
  <si>
    <t>DPI</t>
  </si>
  <si>
    <t>Dam Project Instrument</t>
  </si>
  <si>
    <t>product_rating_code</t>
  </si>
  <si>
    <t>product_rating_name</t>
  </si>
  <si>
    <t>main_category_id</t>
  </si>
  <si>
    <t>010</t>
  </si>
  <si>
    <t>0-10 BAR</t>
  </si>
  <si>
    <t>020</t>
  </si>
  <si>
    <t>10-20 BAR</t>
  </si>
  <si>
    <t>000</t>
  </si>
  <si>
    <t>NA</t>
  </si>
  <si>
    <t>003</t>
  </si>
  <si>
    <t>3.7"</t>
  </si>
  <si>
    <t>004</t>
  </si>
  <si>
    <t>4.3"</t>
  </si>
  <si>
    <t>007</t>
  </si>
  <si>
    <t>7"</t>
  </si>
  <si>
    <t>10"</t>
  </si>
  <si>
    <t>011</t>
  </si>
  <si>
    <t>15.6"</t>
  </si>
  <si>
    <t>012</t>
  </si>
  <si>
    <t>12"</t>
  </si>
  <si>
    <t>005</t>
  </si>
  <si>
    <t>0-5 BAR</t>
  </si>
  <si>
    <t>006</t>
  </si>
  <si>
    <t>0-6 BAR</t>
  </si>
  <si>
    <t>016</t>
  </si>
  <si>
    <t>0-16 BAR</t>
  </si>
  <si>
    <t>025</t>
  </si>
  <si>
    <t>0-25 BAR</t>
  </si>
  <si>
    <t>040</t>
  </si>
  <si>
    <t>0-40 BAR</t>
  </si>
  <si>
    <t>060</t>
  </si>
  <si>
    <t>0-60 BAR</t>
  </si>
  <si>
    <t>100</t>
  </si>
  <si>
    <t>0-100 BAR</t>
  </si>
  <si>
    <t>150</t>
  </si>
  <si>
    <t>0.-150 BAR</t>
  </si>
  <si>
    <t>1 PHASE- 600 VA</t>
  </si>
  <si>
    <t>101</t>
  </si>
  <si>
    <t>1 PHASE- 1 KVA</t>
  </si>
  <si>
    <t>102</t>
  </si>
  <si>
    <t>1 PHASE- 2 KVA</t>
  </si>
  <si>
    <t>103</t>
  </si>
  <si>
    <t>1 PHASE -3 KVA</t>
  </si>
  <si>
    <t>105</t>
  </si>
  <si>
    <t>1 PHASE -5 KVA</t>
  </si>
  <si>
    <t>310</t>
  </si>
  <si>
    <t>3 PHASE-10 KVA</t>
  </si>
  <si>
    <t>410</t>
  </si>
  <si>
    <t>DG SET - 10 KVA - 3 PHASE</t>
  </si>
  <si>
    <t>411</t>
  </si>
  <si>
    <t>DG SET - 50 KVA - 3 PHASE</t>
  </si>
  <si>
    <t>501</t>
  </si>
  <si>
    <t>STABILIZER- 3 PHASE 10KVA -OIL COOLED</t>
  </si>
  <si>
    <t>502</t>
  </si>
  <si>
    <t>STABILIZER- 3 PHASE 15KVA-OIL COOLED</t>
  </si>
  <si>
    <t>503</t>
  </si>
  <si>
    <t>STABILIZER- 3 PHASE 20 KVA-OIL COOLED</t>
  </si>
  <si>
    <t>504</t>
  </si>
  <si>
    <t>STABILIZER- 3 PHASE 25 KVA -OIL COOLED</t>
  </si>
  <si>
    <t>505</t>
  </si>
  <si>
    <t>STABILIZER- 3 PHASE 30 KVA -OIL COOLED</t>
  </si>
  <si>
    <t>506</t>
  </si>
  <si>
    <t>STABILIZER- 3 PHASE 7.5 KVA -OIL COOLED</t>
  </si>
  <si>
    <t>1 C -0.25 SQ MM</t>
  </si>
  <si>
    <t>1 C -0.5 SQ MM</t>
  </si>
  <si>
    <t>1 C -0.75 SQ MM</t>
  </si>
  <si>
    <t>104</t>
  </si>
  <si>
    <t>1 C -1.0 SQ MM</t>
  </si>
  <si>
    <t>1 C -1.5 SQ MM</t>
  </si>
  <si>
    <t>106</t>
  </si>
  <si>
    <t>1 C -2.5 SQ MM</t>
  </si>
  <si>
    <t>107</t>
  </si>
  <si>
    <t>1 C -4.0 SQ MM</t>
  </si>
  <si>
    <t>108</t>
  </si>
  <si>
    <t>1 C -6.0 SQ MM</t>
  </si>
  <si>
    <t>109</t>
  </si>
  <si>
    <t>110</t>
  </si>
  <si>
    <t>1 C- 10.0 SQ MM</t>
  </si>
  <si>
    <t>111</t>
  </si>
  <si>
    <t>1 C - 16 SQ MM</t>
  </si>
  <si>
    <t>201</t>
  </si>
  <si>
    <t>2 C -0.5 SQ MM</t>
  </si>
  <si>
    <t>202</t>
  </si>
  <si>
    <t>2 C -0.75 SQ MM</t>
  </si>
  <si>
    <t>203</t>
  </si>
  <si>
    <t>2 C -1.0 SQ MM</t>
  </si>
  <si>
    <t>204</t>
  </si>
  <si>
    <t>2 C -1.5 SQ MM</t>
  </si>
  <si>
    <t>205</t>
  </si>
  <si>
    <t>2 C -2.5 SQ MM</t>
  </si>
  <si>
    <t>206</t>
  </si>
  <si>
    <t>2 C -4.0 SQ MM</t>
  </si>
  <si>
    <t>207</t>
  </si>
  <si>
    <t>2 C - 16 SQ MM</t>
  </si>
  <si>
    <t>301</t>
  </si>
  <si>
    <t>3 C -1.0 SQ MM</t>
  </si>
  <si>
    <t>302</t>
  </si>
  <si>
    <t>3 C -1.5 SQ MM</t>
  </si>
  <si>
    <t>303</t>
  </si>
  <si>
    <t>3 C -2.5 SQ MM</t>
  </si>
  <si>
    <t>304</t>
  </si>
  <si>
    <t>3 C -4.0 SQ MM</t>
  </si>
  <si>
    <t>305</t>
  </si>
  <si>
    <t>3 C -0.5 SQ MM</t>
  </si>
  <si>
    <t>306</t>
  </si>
  <si>
    <t>3 C -6 SQ MM</t>
  </si>
  <si>
    <t>307</t>
  </si>
  <si>
    <t>3 C -10 SQ MM</t>
  </si>
  <si>
    <t>308</t>
  </si>
  <si>
    <t>3 C -16 SQ MM</t>
  </si>
  <si>
    <t>309</t>
  </si>
  <si>
    <t>3 C -25 SQ MM</t>
  </si>
  <si>
    <t>3 C -35 SQ MM</t>
  </si>
  <si>
    <t>311</t>
  </si>
  <si>
    <t>3 C -50 SQ MM</t>
  </si>
  <si>
    <t>312</t>
  </si>
  <si>
    <t>3 C -70 SQ MM</t>
  </si>
  <si>
    <t>313</t>
  </si>
  <si>
    <t>3 C -95 SQ MM</t>
  </si>
  <si>
    <t>314</t>
  </si>
  <si>
    <t>3 C -120 SQ MM</t>
  </si>
  <si>
    <t>315</t>
  </si>
  <si>
    <t>3 C -150 SQ MM</t>
  </si>
  <si>
    <t>316</t>
  </si>
  <si>
    <t>3 C -185 SQ MM</t>
  </si>
  <si>
    <t>317</t>
  </si>
  <si>
    <t>3 C -240 SQ MM</t>
  </si>
  <si>
    <t>318</t>
  </si>
  <si>
    <t>3 C -300 SQ MM</t>
  </si>
  <si>
    <t>319</t>
  </si>
  <si>
    <t>3 C -400 SQ MM</t>
  </si>
  <si>
    <t>323</t>
  </si>
  <si>
    <t>3 C -300 SQ MM (6.6Kv unearthed Alu.</t>
  </si>
  <si>
    <t>324</t>
  </si>
  <si>
    <t>3.5 C - 16 SQ MM</t>
  </si>
  <si>
    <t>401</t>
  </si>
  <si>
    <t>4 C -1.0 SQ MM</t>
  </si>
  <si>
    <t>402</t>
  </si>
  <si>
    <t>4 C -1.5 SQ MM</t>
  </si>
  <si>
    <t>403</t>
  </si>
  <si>
    <t>4 C -2.5 SQ MM</t>
  </si>
  <si>
    <t>404</t>
  </si>
  <si>
    <t>4 C -4.0 SQ MM</t>
  </si>
  <si>
    <t>405</t>
  </si>
  <si>
    <t>4 C - 0.75 SQ MM</t>
  </si>
  <si>
    <t>406</t>
  </si>
  <si>
    <t>4 C - 10 SQ MM</t>
  </si>
  <si>
    <t>407</t>
  </si>
  <si>
    <t>4 C - 16 SQ MM</t>
  </si>
  <si>
    <t>5 C - 1 SQ MM</t>
  </si>
  <si>
    <t>5 C - 1.5 SQ MM</t>
  </si>
  <si>
    <t>601</t>
  </si>
  <si>
    <t>6 C -1.0 SQ MM</t>
  </si>
  <si>
    <t>602</t>
  </si>
  <si>
    <t>6 C -1.5 SQ MM</t>
  </si>
  <si>
    <t>603</t>
  </si>
  <si>
    <t>6 C -2.5 SQ MM</t>
  </si>
  <si>
    <t>604</t>
  </si>
  <si>
    <t>6 C -4.0 SQ MM</t>
  </si>
  <si>
    <t>701</t>
  </si>
  <si>
    <t>7 C -1.0 SQ MM</t>
  </si>
  <si>
    <t>702</t>
  </si>
  <si>
    <t>7 C -1.5 SQ MM</t>
  </si>
  <si>
    <t>703</t>
  </si>
  <si>
    <t>7 C -2.5 SQ MM</t>
  </si>
  <si>
    <t>704</t>
  </si>
  <si>
    <t>7 C -4.0 SQ MM</t>
  </si>
  <si>
    <t>801</t>
  </si>
  <si>
    <t>8 C -1.0 SQ MM</t>
  </si>
  <si>
    <t>802</t>
  </si>
  <si>
    <t>8 C -1.5 SQ MM</t>
  </si>
  <si>
    <t>803</t>
  </si>
  <si>
    <t>8 C -2.5 SQ MM</t>
  </si>
  <si>
    <t>804</t>
  </si>
  <si>
    <t>8 C -4.0 SQ MM</t>
  </si>
  <si>
    <t>901</t>
  </si>
  <si>
    <t>10 C -1.0 SQ MM</t>
  </si>
  <si>
    <t>902</t>
  </si>
  <si>
    <t>10 C -1.5 SQ MM</t>
  </si>
  <si>
    <t>903</t>
  </si>
  <si>
    <t>10 C -2.5 SQ MM</t>
  </si>
  <si>
    <t>904</t>
  </si>
  <si>
    <t>10 C -4.0 SQ MM</t>
  </si>
  <si>
    <t>500</t>
  </si>
  <si>
    <t>1 PAIR X 0.75 SQ MM</t>
  </si>
  <si>
    <t>5 PAIR X 0.5 SQ MM</t>
  </si>
  <si>
    <t>5 PAIR X 1.0 SQ MM</t>
  </si>
  <si>
    <t>5 PAIR X 1.5 SQ MM</t>
  </si>
  <si>
    <t>6 PAIR X 0.5 SQ MM</t>
  </si>
  <si>
    <t>6 PAIR X 1 SQ MM</t>
  </si>
  <si>
    <t>4 PAIR X 1 SQ MM</t>
  </si>
  <si>
    <t>507</t>
  </si>
  <si>
    <t>2 PAIR X 0.5 SQ MM</t>
  </si>
  <si>
    <t>508</t>
  </si>
  <si>
    <t>4 PAIR X 0.5 SQ MM</t>
  </si>
  <si>
    <t>509</t>
  </si>
  <si>
    <t>2 PAIR X 0.75 SQ MM</t>
  </si>
  <si>
    <t>161</t>
  </si>
  <si>
    <t>16 C X 1.0 SQ MM</t>
  </si>
  <si>
    <t>162</t>
  </si>
  <si>
    <t>12 C -1.0 SQ MM</t>
  </si>
  <si>
    <t>Combine SQ MM for Billing</t>
  </si>
  <si>
    <t>070</t>
  </si>
  <si>
    <t>0-70 BAR</t>
  </si>
  <si>
    <t>001</t>
  </si>
  <si>
    <t>50 mm</t>
  </si>
  <si>
    <t>002</t>
  </si>
  <si>
    <t>65 mm</t>
  </si>
  <si>
    <t>80 mm</t>
  </si>
  <si>
    <t>100 mm</t>
  </si>
  <si>
    <t>125 mm</t>
  </si>
  <si>
    <t>150 mm</t>
  </si>
  <si>
    <t>200 mm</t>
  </si>
  <si>
    <t>008</t>
  </si>
  <si>
    <t>250 mm</t>
  </si>
  <si>
    <t>009</t>
  </si>
  <si>
    <t>300 mm</t>
  </si>
  <si>
    <t>350 mm</t>
  </si>
  <si>
    <t>400MM</t>
  </si>
  <si>
    <t>40 MM</t>
  </si>
  <si>
    <t>013</t>
  </si>
  <si>
    <t>600MM</t>
  </si>
  <si>
    <t>014</t>
  </si>
  <si>
    <t>900MM</t>
  </si>
  <si>
    <t>A</t>
  </si>
  <si>
    <t>1 METER PP TYPE CABLE FLOAT SWITCH</t>
  </si>
  <si>
    <t>2 METER PP TYPE CABLE FLOAT SWITCH</t>
  </si>
  <si>
    <t>3 METER PP TYPE CABLE FLOAT SWITCH</t>
  </si>
  <si>
    <t>4 METER PP TYPE CABLE FLOAT SWITCH</t>
  </si>
  <si>
    <t>0-5 METER</t>
  </si>
  <si>
    <t>B</t>
  </si>
  <si>
    <t>0-6 METER</t>
  </si>
  <si>
    <t>0-8 METER</t>
  </si>
  <si>
    <t>0-10 METER</t>
  </si>
  <si>
    <t>0-12 METER</t>
  </si>
  <si>
    <t>0-20 METER</t>
  </si>
  <si>
    <t>0-4 Meter</t>
  </si>
  <si>
    <t>0-3 METER</t>
  </si>
  <si>
    <t>C</t>
  </si>
  <si>
    <t>0 TO 15 MTR</t>
  </si>
  <si>
    <t>0 TO 35 MTR</t>
  </si>
  <si>
    <t>0 to 4 MTR</t>
  </si>
  <si>
    <t>F</t>
  </si>
  <si>
    <t>5 M H20</t>
  </si>
  <si>
    <t>E</t>
  </si>
  <si>
    <t>10 M H20</t>
  </si>
  <si>
    <t>050</t>
  </si>
  <si>
    <t>50 MH20</t>
  </si>
  <si>
    <t>100 M H20</t>
  </si>
  <si>
    <t>120M H20</t>
  </si>
  <si>
    <t>150 M H20</t>
  </si>
  <si>
    <t>175 MH20</t>
  </si>
  <si>
    <t>200 M H20</t>
  </si>
  <si>
    <t>N/A</t>
  </si>
  <si>
    <t>0 TO 400 NTU</t>
  </si>
  <si>
    <t>0 TO 4000</t>
  </si>
  <si>
    <t xml:space="preserve"> 6 LPH</t>
  </si>
  <si>
    <t>0 TO 20 mg/l, 0 TO 400 NTU</t>
  </si>
  <si>
    <t>PH +TDS+TU+DO</t>
  </si>
  <si>
    <t>Q</t>
  </si>
  <si>
    <t>PH +TDS+TU+DO+RCA</t>
  </si>
  <si>
    <t>PH +TDS+TU+RCA</t>
  </si>
  <si>
    <t>PH+TDS+TU+ORP</t>
  </si>
  <si>
    <t>PH+TDS+TU+ORP+DO</t>
  </si>
  <si>
    <t xml:space="preserve"> PH + TDS + TU + ORP + DO + RCA</t>
  </si>
  <si>
    <t xml:space="preserve">Range: -2000mv ~ +2000mV </t>
  </si>
  <si>
    <t>S</t>
  </si>
  <si>
    <t xml:space="preserve"> 0-20mg / L </t>
  </si>
  <si>
    <t>T</t>
  </si>
  <si>
    <t>100 MM-CABLE TIE</t>
  </si>
  <si>
    <t>150 MM- CABLE TIE</t>
  </si>
  <si>
    <t>200 MM- CABLE TIE</t>
  </si>
  <si>
    <t>300 MM-CABLE TIE</t>
  </si>
  <si>
    <t>75 MM CABLE TIE WHITE</t>
  </si>
  <si>
    <t>0.25 SQ. MM COPPER TYPE, PVC INSULATED RING TYPE--LUGS</t>
  </si>
  <si>
    <t>0.50 SQ. MM COPPER TYPE, PVC INSULATED RING TYPE--LUGS</t>
  </si>
  <si>
    <t>0.75 SQ. MM COPPER TYPE, PVC INSULATED RING TYPE--LUGS</t>
  </si>
  <si>
    <t>1.00 SQ. MM COPPER TYPE, PVC INSULATED RING TYPE--LUGS</t>
  </si>
  <si>
    <t>1.5 SQ. MM COPPER TYPE, PVC INSULATED RING TYPE--LUGS</t>
  </si>
  <si>
    <t>2.5 SQ. MM COPPER TYPE, PVC INSULATED RING TYPE--LUGS</t>
  </si>
  <si>
    <t>4.0 SQ. MM COPPER TYPE, PVC INSULATED RING TYPE--LUGS</t>
  </si>
  <si>
    <t>6.0 SQ. MM COPPER TYPE, PVC INSULATED RING TYPE--LUGS</t>
  </si>
  <si>
    <t>10.0 SQ. MM COPPER TYPE, PVC INSULATED RING TYPE--LUGS</t>
  </si>
  <si>
    <t>.5 SQ.MM RING TYPE INSU --LUGS</t>
  </si>
  <si>
    <t>1.0 SQ.MM RING TYPE INSU --LUGS</t>
  </si>
  <si>
    <t>1.5 SQ.MM RING TYPE INSU --LUGS</t>
  </si>
  <si>
    <t>2.0 SQ.MM RING TYPE INSU --LUGS</t>
  </si>
  <si>
    <t>2.5 SQ.MM RING TYPE INSU --LUGS</t>
  </si>
  <si>
    <t>015</t>
  </si>
  <si>
    <t>3.0 SQ.MM RING TYPE INSU --LUGS</t>
  </si>
  <si>
    <t>3.5 SQ.MM RING TYPE INSU --LUGS</t>
  </si>
  <si>
    <t>017</t>
  </si>
  <si>
    <t>4.0 SQ.MM RING TYPE INSU --LUGS</t>
  </si>
  <si>
    <t>018</t>
  </si>
  <si>
    <t>4.5 SQ.MM RING TYPE INSU --LUGS</t>
  </si>
  <si>
    <t>019</t>
  </si>
  <si>
    <t xml:space="preserve">25 SQ MM RING TYPE M-6 MM HOLE </t>
  </si>
  <si>
    <t xml:space="preserve">35 SQ MM RING TYPE M-6 MM HOLE </t>
  </si>
  <si>
    <t>021</t>
  </si>
  <si>
    <t xml:space="preserve">50 SQ MM RING TYPE M-10 MM HOLE </t>
  </si>
  <si>
    <t>022</t>
  </si>
  <si>
    <t>2.5 SQ MM COPPER FURK TYPE INSU-LUGS</t>
  </si>
  <si>
    <t>023</t>
  </si>
  <si>
    <t>0.5 SQ MM END SLEEVE INSU LUGS</t>
  </si>
  <si>
    <t>024</t>
  </si>
  <si>
    <t>2.5 SQ MM END SLEEVE INSU LUGS</t>
  </si>
  <si>
    <t>1.0 SQ MM END SLEEVE INSU LUGS</t>
  </si>
  <si>
    <t>026</t>
  </si>
  <si>
    <t>10 SQ MM END SLEEVE INSU LUGS</t>
  </si>
  <si>
    <t>027</t>
  </si>
  <si>
    <t>16 SQ MM END SLEEVE INSU LUGS</t>
  </si>
  <si>
    <t>028</t>
  </si>
  <si>
    <t>70 SQ MM RING TYPE M-10 MM HOLE</t>
  </si>
  <si>
    <t>029</t>
  </si>
  <si>
    <t>16 SQ MM RING TYPE M-8 MM HOLE</t>
  </si>
  <si>
    <t>030</t>
  </si>
  <si>
    <t xml:space="preserve"> Fork type PVC insulated Copper cable  Lugs 1.5 Sq.mm</t>
  </si>
  <si>
    <t>031</t>
  </si>
  <si>
    <t>10 SQ MM RING TYPE M-6 MM HOLE</t>
  </si>
  <si>
    <t>032</t>
  </si>
  <si>
    <t>25 SQ MM RING TYPE COPPER LUGS</t>
  </si>
  <si>
    <t>033</t>
  </si>
  <si>
    <t>35 SQ MM RING TYPE COPPER LUGS</t>
  </si>
  <si>
    <t>034</t>
  </si>
  <si>
    <t>70 SQ MM RING TYPE COPPER LUGS</t>
  </si>
  <si>
    <t>035</t>
  </si>
  <si>
    <t>95 SQ MM RING TYPE COPPER LUGS</t>
  </si>
  <si>
    <t>036</t>
  </si>
  <si>
    <t>50 SQ MM RING TYPE COPPER LUGS</t>
  </si>
  <si>
    <t>037</t>
  </si>
  <si>
    <t>100 SQ MM RING TYPE COPPER LUGS</t>
  </si>
  <si>
    <t>038</t>
  </si>
  <si>
    <t>110 SQ MM RING TYPE COPPER LUGS</t>
  </si>
  <si>
    <t>039</t>
  </si>
  <si>
    <t>120 SQ MM RING TYPE COPPER LUGS</t>
  </si>
  <si>
    <t>150 SQ MM RING TYPE COPPER LUGS</t>
  </si>
  <si>
    <t>041</t>
  </si>
  <si>
    <t>185 SQ MM RING TYPE COPPER LUGS</t>
  </si>
  <si>
    <t>25 SQ MM RING TYPE ALUMINIUM LUGS</t>
  </si>
  <si>
    <t>051</t>
  </si>
  <si>
    <t>35 SQ MM RING TYPE ALUMINIUM LUGS</t>
  </si>
  <si>
    <t>052</t>
  </si>
  <si>
    <t>70 SQ MM RING TYPE ALUMINIUM LUGS</t>
  </si>
  <si>
    <t>053</t>
  </si>
  <si>
    <t>95 SQ MM RING TYPE ALUMINIUM LUGS</t>
  </si>
  <si>
    <t>054</t>
  </si>
  <si>
    <t>50 SQ MM RING TYPE ALUMINIUM LUGS</t>
  </si>
  <si>
    <t>055</t>
  </si>
  <si>
    <t>100 SQ MM RING TYPE ALUMINIUM LUGS</t>
  </si>
  <si>
    <t>056</t>
  </si>
  <si>
    <t>110 SQ MM RING TYPE ALUMINIUM LUGS</t>
  </si>
  <si>
    <t>057</t>
  </si>
  <si>
    <t>120 SQ MM RING TYPE ALUMINIUM LUGS</t>
  </si>
  <si>
    <t>058</t>
  </si>
  <si>
    <t>150 SQ MM RING TYPE ALUMINIUM LUGS</t>
  </si>
  <si>
    <t>059</t>
  </si>
  <si>
    <t>185 SQ MM RING TYPE ALUMINIUM LUGS</t>
  </si>
  <si>
    <t>240 SQ MM RING TYPE ALUMINIUM LUGS</t>
  </si>
  <si>
    <t>I</t>
  </si>
  <si>
    <t>35 x8 --Wooden Screw</t>
  </si>
  <si>
    <t>50 X 8 - WOODEN SCREW</t>
  </si>
  <si>
    <t>K</t>
  </si>
  <si>
    <t>ANCHOR FASTNER PIN TYPE 10 X100</t>
  </si>
  <si>
    <t>ANCHOR FASTNER PIN TYPE 8 X 75</t>
  </si>
  <si>
    <t>WEDGE ANCHOR FASTNER 8 X75</t>
  </si>
  <si>
    <t xml:space="preserve">ANCHOR FASTNER PIN TYPE 12 X 75 </t>
  </si>
  <si>
    <t>ANCHOR FASTNER PIN TYPE 12 X 100</t>
  </si>
  <si>
    <t>L</t>
  </si>
  <si>
    <t>SADA SADDLE 25 MM</t>
  </si>
  <si>
    <t>SADA SADDLE 50 MM</t>
  </si>
  <si>
    <t xml:space="preserve">SADDLE 3/4" </t>
  </si>
  <si>
    <t xml:space="preserve">SADDLE 1/2" </t>
  </si>
  <si>
    <t>SADA SADDLE 40 MM</t>
  </si>
  <si>
    <t>J</t>
  </si>
  <si>
    <t>ROLL PLUG 10 X 50</t>
  </si>
  <si>
    <t>M</t>
  </si>
  <si>
    <t>12 mm PVC Conduit Light grade</t>
  </si>
  <si>
    <t>20 mm PVC Conduit Light grade</t>
  </si>
  <si>
    <t>25 mm PVC Conduit Light grade</t>
  </si>
  <si>
    <t>32 mm PVC Conduit Light grade</t>
  </si>
  <si>
    <t>40 mm PVC Conduit Light grade</t>
  </si>
  <si>
    <t>50 mm PVC Conduit Light grade</t>
  </si>
  <si>
    <t>65 mm PVC Conduit Light grade</t>
  </si>
  <si>
    <t>12 mm PVC Conduit medium grade</t>
  </si>
  <si>
    <t>20 mm PVC Conduit medium grade</t>
  </si>
  <si>
    <t>25 mm PVC Conduit medium grade</t>
  </si>
  <si>
    <t>32 mm PVC Conduit medium grade</t>
  </si>
  <si>
    <t>40 mm PVC Conduit medium grade</t>
  </si>
  <si>
    <t>50 mm PVC Conduit medium grade</t>
  </si>
  <si>
    <t>65 mm PVC Conduit medium grade</t>
  </si>
  <si>
    <t>polymide conduit pipe PG-11</t>
  </si>
  <si>
    <t>polymide conduit pipe PG-21</t>
  </si>
  <si>
    <t>20 mm PVC BLACK  medium grade</t>
  </si>
  <si>
    <t>50 mm PVC BLACK  medium grade</t>
  </si>
  <si>
    <t>N</t>
  </si>
  <si>
    <t>20mm PVC Flexible Conduit</t>
  </si>
  <si>
    <t>25 mm Metal Flexible conduit</t>
  </si>
  <si>
    <t>25 mm PVC Flexible pipe</t>
  </si>
  <si>
    <t>50 mm Metal Flexible conduit</t>
  </si>
  <si>
    <t>50 mm PVC Flexible pipe</t>
  </si>
  <si>
    <t>O</t>
  </si>
  <si>
    <t>20 MM BAND</t>
  </si>
  <si>
    <t>25 MM TEE</t>
  </si>
  <si>
    <t>50 MM TEE</t>
  </si>
  <si>
    <t>50 MM BAND</t>
  </si>
  <si>
    <t>25 MM BAND</t>
  </si>
  <si>
    <t>P</t>
  </si>
  <si>
    <t>75X25X 1.6 MM</t>
  </si>
  <si>
    <t>50X50 MM</t>
  </si>
  <si>
    <t>100X50 MM</t>
  </si>
  <si>
    <t>150X50 MM</t>
  </si>
  <si>
    <t>200X50MM</t>
  </si>
  <si>
    <t>300X50MM</t>
  </si>
  <si>
    <t>75x50x1.6 mm</t>
  </si>
  <si>
    <t xml:space="preserve">Cable tray </t>
  </si>
  <si>
    <t>20 mm medium grade</t>
  </si>
  <si>
    <t>25 mm medium grade</t>
  </si>
  <si>
    <t>32 mm medium grade</t>
  </si>
  <si>
    <t>40 mm medium grade</t>
  </si>
  <si>
    <t>50 mm medium grade</t>
  </si>
  <si>
    <t>End Stopper</t>
  </si>
  <si>
    <t>CW CTS 2.5 UN GREY</t>
  </si>
  <si>
    <t>CW EP 2.5 ENDPLATE</t>
  </si>
  <si>
    <t>D</t>
  </si>
  <si>
    <t xml:space="preserve">6-12 mm S.C gland </t>
  </si>
  <si>
    <t xml:space="preserve">16 mm S.C gland </t>
  </si>
  <si>
    <t xml:space="preserve">19 mm S.C gland </t>
  </si>
  <si>
    <t xml:space="preserve">22 mm S.C gland </t>
  </si>
  <si>
    <t>pG 13.5 - PVC</t>
  </si>
  <si>
    <t>PG 7 - PVC</t>
  </si>
  <si>
    <t>PG 9 - PVC</t>
  </si>
  <si>
    <t>PG-16 PVC</t>
  </si>
  <si>
    <t>PG-19 PVC</t>
  </si>
  <si>
    <t>PG-21 PVC</t>
  </si>
  <si>
    <t>PG-36 PVC</t>
  </si>
  <si>
    <t>PG-25 PVC</t>
  </si>
  <si>
    <t>PG-29 PVC</t>
  </si>
  <si>
    <t>25 MM S.C METAL</t>
  </si>
  <si>
    <t>32 MM S.C METAL</t>
  </si>
  <si>
    <t>35 MM S.C METAL</t>
  </si>
  <si>
    <t>38 MM S.C METAL</t>
  </si>
  <si>
    <t>M20 x 1.5 Plastic gland</t>
  </si>
  <si>
    <t>Metal Cable Gland Single comp. 3C*16 Sq.mm Aluminium Armour cable</t>
  </si>
  <si>
    <t>Metal Cable Gland Single comp. 3C*70Sq.mm Aluminium Armour cable</t>
  </si>
  <si>
    <t>Metal Cable Gland Single comp. 3C*185Sq.mm Aluminium Armour cable</t>
  </si>
  <si>
    <t>Metal Cable Gland Single comp. 3C*240Sq.mm Aluminium Armour cable</t>
  </si>
  <si>
    <t>Metal Cable Gland Double comp. 3C*70Sq.mm Aluminium Armour cable</t>
  </si>
  <si>
    <t>Metal Cable Gland Double comp. 3C*185Sq.mm Aluminium Armour cable</t>
  </si>
  <si>
    <t>Metal Cable Gland Double comp. 3C*240Sq.mm Aluminium Armour cable</t>
  </si>
  <si>
    <t>0.5 SQ. MM FERRULES</t>
  </si>
  <si>
    <t>1.0 SQ. MM FERRULES</t>
  </si>
  <si>
    <t>1.5 SQ. MM FERRULES</t>
  </si>
  <si>
    <t>5/15A 6 NOS. SOCKET ROUND PIN PDU WITH 2.5 MTR CABLE</t>
  </si>
  <si>
    <t xml:space="preserve">5A 3 PIN TOP (pack of 2) Three Pin Plug </t>
  </si>
  <si>
    <t>MCB CHANNEL</t>
  </si>
  <si>
    <t>SPIRAL 3X8 (9 MM) BLACK</t>
  </si>
  <si>
    <t>G</t>
  </si>
  <si>
    <t>SOLAR LED LIGHT 18 W</t>
  </si>
  <si>
    <t>V</t>
  </si>
  <si>
    <t>9 W LED WITH SOLAR PANEL AND BATTERY</t>
  </si>
  <si>
    <t>5 W Panel Tubelight</t>
  </si>
  <si>
    <t>INSULATION TAPE BLACK</t>
  </si>
  <si>
    <t>H</t>
  </si>
  <si>
    <t>Gasket</t>
  </si>
  <si>
    <t>LIMIT SWITCH ROLLER TYPE</t>
  </si>
  <si>
    <t>W</t>
  </si>
  <si>
    <t>CREDAL 19X19 MM</t>
  </si>
  <si>
    <t>Copuler</t>
  </si>
  <si>
    <t>X</t>
  </si>
  <si>
    <t>EARTHIGN RODE 17.2/3 WITH BFC BAG</t>
  </si>
  <si>
    <t>U</t>
  </si>
  <si>
    <t>POLYPLAST SMALL PIT COVER</t>
  </si>
  <si>
    <t>LIGHTNING ARRESTER KALRE ALR-04 WITH 5 MTR POLE</t>
  </si>
  <si>
    <t>LIGHTNING ARRESTER COUNTER</t>
  </si>
  <si>
    <t>JUNCTION BOX FOR LIGHTING ARRESTOR</t>
  </si>
  <si>
    <t>EARTHING RODE PRIME SERIES 80/3 GI</t>
  </si>
  <si>
    <t>BFC CHEMICAL BAG PRIME 25 KG</t>
  </si>
  <si>
    <t>EARTHING RODE PRIME SERIES 80/2 GI</t>
  </si>
  <si>
    <t>FRP EARTH PIT COVER SMALL</t>
  </si>
  <si>
    <t>EARTHING STRIP GI 25X3 MM</t>
  </si>
  <si>
    <t>EARTHING ELECTRODE WITH BFC BAG 17.2 PIT COVER SMALL POLYPLAST</t>
  </si>
  <si>
    <t xml:space="preserve">LIGHTNING ARRESTER </t>
  </si>
  <si>
    <t xml:space="preserve">25 MM Dia and 1 Mtr Length  With 5 Spoke and Bowl LIGHTING ARRESTER </t>
  </si>
  <si>
    <t xml:space="preserve">Early Streamer Emission
(ESE) Lightning Rod - with all installation accessories-adaptor, Mast, Mast protector, Down Conductor, Strike Counter, Test Link, Earth Terminal, Earth pits. Protection Tube </t>
  </si>
  <si>
    <t>Combine Code 25 MM Lightning Arrester and GI Strip</t>
  </si>
  <si>
    <t>EARTHING STRIP GI 25X5 MM</t>
  </si>
  <si>
    <t>Earthing Plate 600*600*3mm</t>
  </si>
  <si>
    <t>Charkol solid</t>
  </si>
  <si>
    <t>Rock Salt</t>
  </si>
  <si>
    <t>4  X  4 PVC Juncation Box Terminal</t>
  </si>
  <si>
    <t>Z</t>
  </si>
  <si>
    <t>6 X 4 PVC juncation Box</t>
  </si>
  <si>
    <t>stand</t>
  </si>
  <si>
    <t>125*125*80 JB</t>
  </si>
  <si>
    <t>TrinitT Juncation Box</t>
  </si>
  <si>
    <t xml:space="preserve">1/2 " Flexible </t>
  </si>
  <si>
    <t>R</t>
  </si>
  <si>
    <t xml:space="preserve">3/4 " Flexible </t>
  </si>
  <si>
    <t xml:space="preserve">1 " Flexible </t>
  </si>
  <si>
    <t xml:space="preserve">1.5 " Flexible </t>
  </si>
  <si>
    <t>Indore cable termination Kit for 6.6 KV , aluminium cable  3C*70Sq. mm</t>
  </si>
  <si>
    <t>RS-485 COM. PORT</t>
  </si>
  <si>
    <t>ETHERNET PORT</t>
  </si>
  <si>
    <t>RS-485 &amp;RS-232 PORT</t>
  </si>
  <si>
    <t>2X ETHERNET</t>
  </si>
  <si>
    <t>ETHERNET AND ONE RS-485</t>
  </si>
  <si>
    <t>RS 485 to RS 232 Convertor</t>
  </si>
  <si>
    <t>RS 232 to RS 485 Converter</t>
  </si>
  <si>
    <t>USB to RS485 converter</t>
  </si>
  <si>
    <t>NONE</t>
  </si>
  <si>
    <t>SPD 1 PHASE (P+N)</t>
  </si>
  <si>
    <t>SPD 3 PHASE + N</t>
  </si>
  <si>
    <t>Over Voltage Protection- OVP for SLC</t>
  </si>
  <si>
    <t>24V DC 8PIN ROUND</t>
  </si>
  <si>
    <t>240V AC 8PIN ROUND</t>
  </si>
  <si>
    <t>24VDC  8 PIN FLAT</t>
  </si>
  <si>
    <t>240V AC 8PIN FLAT</t>
  </si>
  <si>
    <t>240V AC</t>
  </si>
  <si>
    <t>24 V DC 2 CO, 10 A</t>
  </si>
  <si>
    <t>overload relay</t>
  </si>
  <si>
    <t>single phase protection Relay</t>
  </si>
  <si>
    <t>110 VDC</t>
  </si>
  <si>
    <t>230V</t>
  </si>
  <si>
    <t>110V AC</t>
  </si>
  <si>
    <t xml:space="preserve">PHASE SEQUENCE </t>
  </si>
  <si>
    <t>CURRENT SENSING RELAY</t>
  </si>
  <si>
    <t>Panel Door Limit Switch</t>
  </si>
  <si>
    <t>0-60C</t>
  </si>
  <si>
    <t>1 PHASE MULTIFUNCTION METER , CLASS 1 ACCURACY, RS-485</t>
  </si>
  <si>
    <t>3PHASE 4 WIRE WITH CLASS 1 ACCURACY, RS-485</t>
  </si>
  <si>
    <t>3PHASE 4 WIRE WITH CLASS 0.5 ACCURACY, RS-485</t>
  </si>
  <si>
    <t>3PHASE DUAL SOURCE ENERGY METER</t>
  </si>
  <si>
    <t>Neodymium Block magnet</t>
  </si>
  <si>
    <t>280*80MM BALL 230VAC</t>
  </si>
  <si>
    <t>4" EXHAUST FAN WITH FILTER</t>
  </si>
  <si>
    <t>12V26 AH SMF BATTERY</t>
  </si>
  <si>
    <t>12V42 AH SMF BATTERY</t>
  </si>
  <si>
    <t>12V 7 AH SMF BATTERY</t>
  </si>
  <si>
    <t>12V-1.3 AH SMF Battery</t>
  </si>
  <si>
    <t>12V-7 AH SMF Battery</t>
  </si>
  <si>
    <t>12V-4.5 AH SMF Battery</t>
  </si>
  <si>
    <t>3.7V 4 AMP CHARGER</t>
  </si>
  <si>
    <t>MCB Auto Trip reset device (3 Pole up to 32A)</t>
  </si>
  <si>
    <t>2A SP MCB</t>
  </si>
  <si>
    <t>6A DP PCB</t>
  </si>
  <si>
    <t>ACTI 9 C60 06A /2P/ 10000 A</t>
  </si>
  <si>
    <t>ACTI 9 C60  10A /2P/ 10000 A</t>
  </si>
  <si>
    <t>ACTI 9 C60 16A /2P/ 10000 A</t>
  </si>
  <si>
    <t>ACTI 9 C60 20A /2P/ 10000 A</t>
  </si>
  <si>
    <t>ACTI 9 C60 63A /3P/ 10000 A</t>
  </si>
  <si>
    <t>63 A 2 POLE DC MCB-6 KA 800 VDC</t>
  </si>
  <si>
    <t>ACTI 9 C60 40A/3P/10000 A</t>
  </si>
  <si>
    <t>64 A 4 POLE DC MCB-6 KA 1000 VDC</t>
  </si>
  <si>
    <t>63A 1 POLE DC 6kA 1000V DC MCB IEC standard:60947-2</t>
  </si>
  <si>
    <t>32 AMP 4 POLE RCBO L&amp;T 30 mA</t>
  </si>
  <si>
    <t>4 Pole MCB 63 A</t>
  </si>
  <si>
    <t>16 AMP MCB-3 POLE</t>
  </si>
  <si>
    <t>10 AMP MCB - 2 POLE</t>
  </si>
  <si>
    <t>32 Amp 3P</t>
  </si>
  <si>
    <t>6 Amp single pole</t>
  </si>
  <si>
    <t>40 AMP MCCB</t>
  </si>
  <si>
    <t>1 No add On</t>
  </si>
  <si>
    <t>2 NO-2NC add on</t>
  </si>
  <si>
    <t>1NC ADD ON</t>
  </si>
  <si>
    <t>Cable Duct</t>
  </si>
  <si>
    <t>Loctite 3900 (500 ML)</t>
  </si>
  <si>
    <t>VFD 3 HP</t>
  </si>
  <si>
    <t>VFD 5 HP</t>
  </si>
  <si>
    <t>VFD 10 HP</t>
  </si>
  <si>
    <t>VFD 12.5 HP</t>
  </si>
  <si>
    <t>VFD 15 HP</t>
  </si>
  <si>
    <t>VFD 17.5 HP</t>
  </si>
  <si>
    <t>VFD 20 /25 HP</t>
  </si>
  <si>
    <t>VFD 30 /35 HP</t>
  </si>
  <si>
    <t>VFD 3 HP SOLAR</t>
  </si>
  <si>
    <t>VFD 5 HP SOLAR</t>
  </si>
  <si>
    <t>VFD 7.5 HP SOLAR</t>
  </si>
  <si>
    <t>VFD 10 HP SOLAR</t>
  </si>
  <si>
    <t>VFD 12.5 HP SOLAR</t>
  </si>
  <si>
    <t>VFD 15 HP SOLAR</t>
  </si>
  <si>
    <t>VFD 17.5 HP SOLAR</t>
  </si>
  <si>
    <t>VFD 20 HP SOLAR</t>
  </si>
  <si>
    <t>VFD 25 HP SOLAR</t>
  </si>
  <si>
    <t>VFD 30 HP SOLAR</t>
  </si>
  <si>
    <t>VFD 2 HP SOLAR</t>
  </si>
  <si>
    <t>VFD 40 HP SOLAR</t>
  </si>
  <si>
    <t>VFD 36 /40 HP</t>
  </si>
  <si>
    <t>VFD 41 /45 HP</t>
  </si>
  <si>
    <t>VFD 46/50 HP</t>
  </si>
  <si>
    <t>VFD 51/60 HP</t>
  </si>
  <si>
    <t>VFD 61/65 HP</t>
  </si>
  <si>
    <t>VFD 66/70 HP</t>
  </si>
  <si>
    <t>VFD 71/75 HP</t>
  </si>
  <si>
    <t>Soft strater 30HP</t>
  </si>
  <si>
    <t>Soft strater 50HP</t>
  </si>
  <si>
    <t>VFD 7.5 HP 415 VAC</t>
  </si>
  <si>
    <t>PUSH BUTTON 2 POSITION SELECTOR SWITCH</t>
  </si>
  <si>
    <t>PUSH BUTTON WITH NO/NC Contcat</t>
  </si>
  <si>
    <t>LRS 200-24 VDC</t>
  </si>
  <si>
    <t>100-240V input,  24VDC output  LABL2REM24100K</t>
  </si>
  <si>
    <t>SMPS Output 27.6Vdc at 2.4A +27.6Vdc at 1.25A; with battery charger output PSC-100B-C</t>
  </si>
  <si>
    <t>Din Rail Switching Mode Power Supply Input 230VAC OUTPUT : 24V 2.1 A</t>
  </si>
  <si>
    <t>Power Supply,AC-DC,24V,2.2A 100-264V In,Enclosed,Commercial,52.8W,LRS Series</t>
  </si>
  <si>
    <t>100-240v input, 12 vOUTPUT 2.1 AMP</t>
  </si>
  <si>
    <t>SMPS 24 VDC LRS50-24</t>
  </si>
  <si>
    <t xml:space="preserve">LRS 75-24 </t>
  </si>
  <si>
    <t>single phase power supply,
100...240V input, 24V DC output,
252W, 10,5A</t>
  </si>
  <si>
    <t>SMPS 12 VDC LRS-50-12</t>
  </si>
  <si>
    <t>RTD PT 100</t>
  </si>
  <si>
    <t>Photocell sensor BT31P1</t>
  </si>
  <si>
    <t>22mm Green LED</t>
  </si>
  <si>
    <t>22mm RED LED</t>
  </si>
  <si>
    <t>22mm BLUE LED</t>
  </si>
  <si>
    <t>22mm YELLOW LED</t>
  </si>
  <si>
    <t>RYB Indication</t>
  </si>
  <si>
    <t>ABB AX80-30-11-3P 220VAC Contactor</t>
  </si>
  <si>
    <t>ABB AX50-30-11-3P 220VAC Contactor</t>
  </si>
  <si>
    <t>AC-3 - &lt;= 440 V 25A - 220 V AC coil</t>
  </si>
  <si>
    <t>25A,  4 P Contactor MCX 02+ADD ON CONTACT L&amp;T</t>
  </si>
  <si>
    <t>Contactor MNX 32 3POLE</t>
  </si>
  <si>
    <t>Contactor MNX 36 3POLE</t>
  </si>
  <si>
    <t>Contactor MNX 50 3POLE</t>
  </si>
  <si>
    <t>Contactor MNX 80 3POLE</t>
  </si>
  <si>
    <t>Contactor MNX 95 3POLE</t>
  </si>
  <si>
    <t>Contactor MNX 110 3POLE</t>
  </si>
  <si>
    <t>Contactor MNX 140 3POLE</t>
  </si>
  <si>
    <t>Contactor MNX 185 3POLE</t>
  </si>
  <si>
    <t>Contactor MNX 225 3POLE</t>
  </si>
  <si>
    <t>Contactor 9 Amp 3 pole</t>
  </si>
  <si>
    <t>Contactor 40 Amp 3 pole SCH</t>
  </si>
  <si>
    <t>Contactor 50 Amp 3 pole SCH</t>
  </si>
  <si>
    <t>Contactor 3tf30  3 pole Siemens</t>
  </si>
  <si>
    <t>10 Amp Auxiliary Contactor</t>
  </si>
  <si>
    <t>4 - 20 mA input and 485 Output</t>
  </si>
  <si>
    <t>RTD &amp; 4 - 20 mA input and 485 Output</t>
  </si>
  <si>
    <t xml:space="preserve">2 Pole 2 Way Selector Swith with OFF </t>
  </si>
  <si>
    <t>2 Pole 3 Way Selector Swith W/O OFF</t>
  </si>
  <si>
    <t>40 AMP AC/DC Change Over Switch</t>
  </si>
  <si>
    <t>100 AMP CHANGE OVER SWITCH</t>
  </si>
  <si>
    <t>80/5</t>
  </si>
  <si>
    <t>100/5</t>
  </si>
  <si>
    <t>200/5</t>
  </si>
  <si>
    <t>60/5</t>
  </si>
  <si>
    <t>Relay Base Flat 8Pin</t>
  </si>
  <si>
    <t>AA</t>
  </si>
  <si>
    <t>Relay base Round 8PIN</t>
  </si>
  <si>
    <t>ALVD2 3Phase</t>
  </si>
  <si>
    <t>AC</t>
  </si>
  <si>
    <t xml:space="preserve">Soft starter 7.5 HP </t>
  </si>
  <si>
    <t xml:space="preserve">Soft starter 10 HP </t>
  </si>
  <si>
    <t xml:space="preserve">Soft starter 12.5 HP </t>
  </si>
  <si>
    <t xml:space="preserve">Soft starter 15 HP </t>
  </si>
  <si>
    <t xml:space="preserve">Soft starter  17.5 HP </t>
  </si>
  <si>
    <t xml:space="preserve">Soft starter 20 HP </t>
  </si>
  <si>
    <t xml:space="preserve">Soft starter 25 HP </t>
  </si>
  <si>
    <t xml:space="preserve">Soft starter 30 HP </t>
  </si>
  <si>
    <t xml:space="preserve">Soft starter 40 HP </t>
  </si>
  <si>
    <t xml:space="preserve">Soft starter 50 HP </t>
  </si>
  <si>
    <t xml:space="preserve">Soft starter 60 HP </t>
  </si>
  <si>
    <t>125 Amp 3pole</t>
  </si>
  <si>
    <t>Y</t>
  </si>
  <si>
    <t>160 Amp 3pole</t>
  </si>
  <si>
    <t>200 Amp 3pole</t>
  </si>
  <si>
    <t>250 Amp 3pole</t>
  </si>
  <si>
    <t>300 Amp 3pole</t>
  </si>
  <si>
    <t>350 Amp 3Pole</t>
  </si>
  <si>
    <t>400 Amp 3pole</t>
  </si>
  <si>
    <t>320 AMP 3 POLE</t>
  </si>
  <si>
    <t>50 AMP 3 POLE 36 kA</t>
  </si>
  <si>
    <t>3TF30</t>
  </si>
  <si>
    <t>AD</t>
  </si>
  <si>
    <t>3TF40</t>
  </si>
  <si>
    <t>3TF46</t>
  </si>
  <si>
    <t>3TF48</t>
  </si>
  <si>
    <t>3TF50</t>
  </si>
  <si>
    <t>Contactor Coil MNX 80</t>
  </si>
  <si>
    <t>Contactor Coil MNX 140</t>
  </si>
  <si>
    <t>Contactor Coil MNX 185</t>
  </si>
  <si>
    <t>3TF52</t>
  </si>
  <si>
    <t>3TF54</t>
  </si>
  <si>
    <t>Contactor Kit MNX 50</t>
  </si>
  <si>
    <t>AE</t>
  </si>
  <si>
    <t>Contactor Kit MNX 80</t>
  </si>
  <si>
    <t>Contactor Kit MNX 110</t>
  </si>
  <si>
    <t>Contactor Kit MNX 9</t>
  </si>
  <si>
    <t>Contactor 10 KVAR</t>
  </si>
  <si>
    <t>AF</t>
  </si>
  <si>
    <t>3Phase Analog</t>
  </si>
  <si>
    <t>AG</t>
  </si>
  <si>
    <t>3 Phase Digital</t>
  </si>
  <si>
    <t>AH</t>
  </si>
  <si>
    <t>Analog</t>
  </si>
  <si>
    <t>AI</t>
  </si>
  <si>
    <t>Digital</t>
  </si>
  <si>
    <t>Capacitor 7.5KVAR</t>
  </si>
  <si>
    <t>AJ</t>
  </si>
  <si>
    <t>Capacitor 10 KVAR</t>
  </si>
  <si>
    <t>Capacitor 15 KvAR</t>
  </si>
  <si>
    <t>Capacitor 25 KvAR</t>
  </si>
  <si>
    <t>32 amP</t>
  </si>
  <si>
    <t>AK</t>
  </si>
  <si>
    <t>63 AMP</t>
  </si>
  <si>
    <t>80 AMP</t>
  </si>
  <si>
    <t>100 AMP</t>
  </si>
  <si>
    <t>125 AMP</t>
  </si>
  <si>
    <t>150 AMP</t>
  </si>
  <si>
    <t>175 AMP</t>
  </si>
  <si>
    <t>200 AMP</t>
  </si>
  <si>
    <t>FIBER TRANSVICER</t>
  </si>
  <si>
    <t xml:space="preserve">PIG TAIL: SC SM 1 METER </t>
  </si>
  <si>
    <t>PATCH CORD: LC SC SM DUPLEX 3 METER</t>
  </si>
  <si>
    <t xml:space="preserve">LIU: 12 PORT RACK MOUNT SC SM </t>
  </si>
  <si>
    <t>OUTDOOR JOINTER</t>
  </si>
  <si>
    <t>1 METER STANDARD CAT 6 LAN CABLE (PATCH CORD)</t>
  </si>
  <si>
    <t>2 METER STANDARD CAT 6 LAN CABLE (PATCH CORD)</t>
  </si>
  <si>
    <t>5 METER STANDARD CAT 6 LAN CABLE (PATCH CORD)</t>
  </si>
  <si>
    <t xml:space="preserve">INDUSTRIAL 24 PORT 10/100/1000 MBPS </t>
  </si>
  <si>
    <t>8 PORT WEB SMART SWITCH</t>
  </si>
  <si>
    <t>5 PORT LAN SWITCH</t>
  </si>
  <si>
    <t>12 PORT LAN SWITCH</t>
  </si>
  <si>
    <t>CAT 6 CABLE 305 MTR</t>
  </si>
  <si>
    <t>RJ 45 CONNECTOR</t>
  </si>
  <si>
    <t>Cable tester (RJ 45 Connector)</t>
  </si>
  <si>
    <t>wall mount 600W*12U*500D</t>
  </si>
  <si>
    <t>042</t>
  </si>
  <si>
    <t>TPLINK 8 PORT 10/100  LAN SWITCH</t>
  </si>
  <si>
    <t>043</t>
  </si>
  <si>
    <t>External  Type</t>
  </si>
  <si>
    <t>044</t>
  </si>
  <si>
    <t>Xexagon 2 PORT 10/100/1000M  Industrial SWITCH</t>
  </si>
  <si>
    <t>6 SOCKET</t>
  </si>
  <si>
    <t>CORE I3 WITH ITB HARD DISK 128 GB HARDDISK WIN 10 8GB RAM DVD R/W</t>
  </si>
  <si>
    <t>CORE I5 WITH ITB HARD DISK 128 GB HARDDISK WIN 10 8GB RAM DVD R/W</t>
  </si>
  <si>
    <t>INTEL CORE I3 12TH GEN 4GB DDR RAM,1TB HDD ,18.5 LED SCREEN,KBD,MOUSE</t>
  </si>
  <si>
    <t xml:space="preserve">CORE I5 WITH ITB HARD DISK 512 GB SSD WIN 12 8GB RAM </t>
  </si>
  <si>
    <t>Core i7 12700/8GB/1 TB</t>
  </si>
  <si>
    <t>LENOVO THINKCENTER</t>
  </si>
  <si>
    <t>HP2367IL i3/4GB/1TB/20"/WIN11</t>
  </si>
  <si>
    <t xml:space="preserve">HP PRO TWR 280G9 MT CORE I3 12100 </t>
  </si>
  <si>
    <t xml:space="preserve">HP 280 G6 DESKTOP </t>
  </si>
  <si>
    <t xml:space="preserve">DELL PRECISION 3650 </t>
  </si>
  <si>
    <t>Core i7 10th gen Desktop/Laptop with 8 GB RAM and 1TB SSD with latest configurations</t>
  </si>
  <si>
    <t>Windows 10/12/16 or latest; 64 bit ; Intel Core i7 processor, 8GB RAM, 500GB SATA Hard Drive, 10/100 Ethernet card, DVD RW Drive</t>
  </si>
  <si>
    <t>65 INCH Or Above 4K LFD Professional Display including  350 Nit Brightness, Min 2XHDMI, 1-DVI/VGA, 1x RJ45</t>
  </si>
  <si>
    <t>i3 processor with 512 GB SSD, 8 GB RAM with HDMI and VGA port and 19-inch monitor, Windows 10, KBD Mouse</t>
  </si>
  <si>
    <t>Industrial touch panel (IPC) screen size : 15 "touch screen with 1.6 GHZ CPU, 2 GB DDR3 RAM, 500 GB , 9~36 VDC with adaptor, windows 10 OS, and WiFi and Lan port</t>
  </si>
  <si>
    <t xml:space="preserve">i3_x000D_8th generation processor(4GB/1TB/DVD writer,17" Monitor, mouse and key_x000D_board, </t>
  </si>
  <si>
    <t>i5, 13th Gen, 8GB RAM, 21" Display, mouse and key
board</t>
  </si>
  <si>
    <t>industrial 4 port 10/100/1000T , 2 port SFP managed switch</t>
  </si>
  <si>
    <t>RS485 to ethernet convertor</t>
  </si>
  <si>
    <t>RS 485 to 232 Convertor</t>
  </si>
  <si>
    <t>PRINTER HP DJ 2332</t>
  </si>
  <si>
    <t xml:space="preserve">BROTHER PRINTER CARTRIDGE </t>
  </si>
  <si>
    <t>BROTHER PRINTER DCP-B7535 DW</t>
  </si>
  <si>
    <t>LaserJet Printer A4 Size</t>
  </si>
  <si>
    <t>HP178NW COLOR LS</t>
  </si>
  <si>
    <t>CANON IRC3223</t>
  </si>
  <si>
    <t>BROTHER PRINTER DCP-L3551CDW</t>
  </si>
  <si>
    <t>HP Laser Printer 1018</t>
  </si>
  <si>
    <t>HP B &amp; W PRINTER</t>
  </si>
  <si>
    <t xml:space="preserve">HP Office Jet Pro 7740 CARTRIDGE </t>
  </si>
  <si>
    <t>Laser jet</t>
  </si>
  <si>
    <t>Hp ink tank printer COLOUR</t>
  </si>
  <si>
    <t>HP LASERJET PRINTER CARTRIDGE</t>
  </si>
  <si>
    <t>Hp Laserjet 1188 Printer All in One</t>
  </si>
  <si>
    <t>Brother DCP-L3560CDW</t>
  </si>
  <si>
    <t>Wireless Router</t>
  </si>
  <si>
    <t xml:space="preserve">FIREWALL ROUTER XG87 </t>
  </si>
  <si>
    <t>FIREWALL ROUTER XG87 WITH STREAM PORTECTION -12 MOS</t>
  </si>
  <si>
    <t>FIREWALL ROUTER XG107</t>
  </si>
  <si>
    <t>FIREWALL ROUTER XG107 WITH STREAM PORTECTION -12 MOS</t>
  </si>
  <si>
    <t>D LINK 4G ROUTER DWR-921</t>
  </si>
  <si>
    <t>MEDIAPLAYER ROUTER FOR VIDEO WALL</t>
  </si>
  <si>
    <t>FIREWALL ROUTER K7</t>
  </si>
  <si>
    <t xml:space="preserve">KEYBOARD </t>
  </si>
  <si>
    <t xml:space="preserve">WIRELESS KEYBOARD </t>
  </si>
  <si>
    <t>MOUSE</t>
  </si>
  <si>
    <t>WIRELESS MOUSE</t>
  </si>
  <si>
    <t>CABINET FINGER</t>
  </si>
  <si>
    <t>INTEL CORE I5 1OTH GEN PROCESSOR</t>
  </si>
  <si>
    <t xml:space="preserve"> 16GB DDR4 RAM</t>
  </si>
  <si>
    <t>WD 500GB SSD</t>
  </si>
  <si>
    <t>GRAPHIC CARD</t>
  </si>
  <si>
    <t>MINI DISPLAY CONVERTER</t>
  </si>
  <si>
    <t>HDMI CABLE 10 MTR</t>
  </si>
  <si>
    <t>POWER CORD</t>
  </si>
  <si>
    <t>SMPS</t>
  </si>
  <si>
    <t>WIFI DEVICE</t>
  </si>
  <si>
    <t>21.5 "</t>
  </si>
  <si>
    <t>18.5 "</t>
  </si>
  <si>
    <t>32"</t>
  </si>
  <si>
    <t>19"</t>
  </si>
  <si>
    <t>27"</t>
  </si>
  <si>
    <t>43"</t>
  </si>
  <si>
    <t>24"</t>
  </si>
  <si>
    <t xml:space="preserve">55 " </t>
  </si>
  <si>
    <t xml:space="preserve">65 " </t>
  </si>
  <si>
    <t>75"</t>
  </si>
  <si>
    <t>80"</t>
  </si>
  <si>
    <t>IP- 2 MP  DOM CAMERA -4 MM</t>
  </si>
  <si>
    <t>IP- 2 MP  BULLET CAMERA -4 MM</t>
  </si>
  <si>
    <t>OUTDOOR JB FOR CAMERA</t>
  </si>
  <si>
    <t>IP BULLET CAMERA COVER</t>
  </si>
  <si>
    <t>NVR 4 CH-DS-7P04NI-Q1</t>
  </si>
  <si>
    <t>NVR -8 CH -ZF08NI-Q1</t>
  </si>
  <si>
    <t>NVR -32 CH -DS-7732NI-K4</t>
  </si>
  <si>
    <t>HARD DISK 2 TB WD PURPLE</t>
  </si>
  <si>
    <t xml:space="preserve"> indor/outdor Camera with 1/2.8" CMOS sensor, 5MP (2592 x 1944) min individually</t>
  </si>
  <si>
    <t>POE SWITCH - 4 PORT</t>
  </si>
  <si>
    <t>POE SWTICH - 8 PORT</t>
  </si>
  <si>
    <t>POE SWITCH - 16 PORT</t>
  </si>
  <si>
    <t>POE SWITCH - 24 PORT</t>
  </si>
  <si>
    <t>RACK - 4U TOPRACKS</t>
  </si>
  <si>
    <t>RACK - 6U - NVR  RACK</t>
  </si>
  <si>
    <t>RACK - 12U - NVR  RACK</t>
  </si>
  <si>
    <t>RACK - 3U TOPRACKS</t>
  </si>
  <si>
    <t xml:space="preserve">PTZ CAMERA </t>
  </si>
  <si>
    <t>PTZ CAMERA BRACKET</t>
  </si>
  <si>
    <t>2 MP Camera</t>
  </si>
  <si>
    <t>DVR</t>
  </si>
  <si>
    <t>NVR HARD disk 1 TB</t>
  </si>
  <si>
    <t>4 Ch 5 V DC power supply</t>
  </si>
  <si>
    <t xml:space="preserve">Camera Box 4x4 </t>
  </si>
  <si>
    <t xml:space="preserve">Video Ballon Pin </t>
  </si>
  <si>
    <t>BNC Pin</t>
  </si>
  <si>
    <t>DC PIN</t>
  </si>
  <si>
    <t>SSD 256 gb</t>
  </si>
  <si>
    <t>MICRO SD CARD 32 gb</t>
  </si>
  <si>
    <t>8 GB DDR4 SERVER RAM</t>
  </si>
  <si>
    <t>HDD 1TB</t>
  </si>
  <si>
    <t>HDD 8TB</t>
  </si>
  <si>
    <t>USB TO SERIAL CONVERTOR</t>
  </si>
  <si>
    <t>DELL LATITUDE 3520</t>
  </si>
  <si>
    <t>15" display laptop, CPU I3 Processor with 8 GB RAM AND 1 TB HDD</t>
  </si>
  <si>
    <t>DELL POWEREDGE R240 XENON E224</t>
  </si>
  <si>
    <t xml:space="preserve">DELL POWEREDGE R250 Intel Xeon E-2314 2.8GHz, 8M Cache, 4C/4T, Turbo (65W), 3200 MT/s
1 x 16GB UDIMM
</t>
  </si>
  <si>
    <t>SERVER tower type, Intel xeol processor , 16GB RAM, 1 TB hard desk</t>
  </si>
  <si>
    <t>INTEL XEON Processor / Latest,DDR4 DIMMs at up to 2400 MT/s 12  DIMM: 128 GB, 4*1.2TB Raid , rack mounting</t>
  </si>
  <si>
    <t xml:space="preserve">Tower Server with 8 GB RAM AND 1 TB HDD </t>
  </si>
  <si>
    <t xml:space="preserve">HPE  DL380  Gen10  2U  RACK  24u 600*1000 with accessories included 4 fan 
1 5skt 5/15 amp pdu MCB 
1 full tray 
1 cable manager 
 </t>
  </si>
  <si>
    <t>Dell-Poweredge-Xenon E5-2440 or higher - 1600MT/s RDIMMS or higher 8 GB RDIMM, RAID 5 software or hardware controller compatible 5-1TB 7.2 K RPM near line SAS 6 bps 2.5 in Hot plu hard drive or higher compatible with 23 " TFT monitor</t>
  </si>
  <si>
    <t>LAPTOP BATTERY</t>
  </si>
  <si>
    <t>MATERIAL TO OFFICE</t>
  </si>
  <si>
    <t>MATERIAL FROM OFFICE TO SITE/STORE</t>
  </si>
  <si>
    <t>AT SITE WORK</t>
  </si>
  <si>
    <t>WOODEN BOX PACKING</t>
  </si>
  <si>
    <t>AT REMOTE SITE</t>
  </si>
  <si>
    <t>MATERIAL FROM VENDOR TO SITE</t>
  </si>
  <si>
    <t>PACKAGING AND FORWARDING</t>
  </si>
  <si>
    <t>RO WATER MACHINE</t>
  </si>
  <si>
    <t>PRINTER</t>
  </si>
  <si>
    <t>REPOWDER COATING OF ENCLOSURE</t>
  </si>
  <si>
    <t>Pressure Transmitter</t>
  </si>
  <si>
    <t>Hydrostatic Level Transmiter</t>
  </si>
  <si>
    <t>Flow Meter 100 mm</t>
  </si>
  <si>
    <t>Flow meter 150 mm</t>
  </si>
  <si>
    <t>RADAR LEVEL TRANSMITTER</t>
  </si>
  <si>
    <t>VERNIER CALIPER (0 TO 300 MM (0.02 MM))</t>
  </si>
  <si>
    <t>MEASURING STEEL TAPE (0 TO 10.000 MM) MT-01</t>
  </si>
  <si>
    <t>DIGITAL mV/mA CALIBRATOR (LOOP cALIBRATOR) (0 TO 24V/0 TO 22 Ma DC)</t>
  </si>
  <si>
    <t>PRESSURE TRANSMITTER (0TO53 BAR(0.001 BAR)),N1N10410134441</t>
  </si>
  <si>
    <t>PIPETTES GRADUATED (0 TO 10 ML/0.1 ML) ,PIPETTE_10 ML-02</t>
  </si>
  <si>
    <t>PIPETTES GRADUATED (0 TO 10 ML/0.1 ML) ,PIPETTE_10 ML-01</t>
  </si>
  <si>
    <t>CONICAL FLASK (1000 ml (200-1000 ml IN STEP 200 ml) FLASK_1000 ml</t>
  </si>
  <si>
    <t>CONICAL FLASK (250 ml (100-250 ml IN STEP 50 ml) FLASK_250 ml</t>
  </si>
  <si>
    <t>CONICAL FLASK (500 ml (200-500 ml IN STEP 100 ml) FLASK_500 ml</t>
  </si>
  <si>
    <t>ULTRASONIC LEVEL TRANSMITTER(4-20 mA),PBD/E6170230</t>
  </si>
  <si>
    <t>MEASURING STEEL TAPE (0 TO 30.000 MM)MT-02</t>
  </si>
  <si>
    <t>Multimeter</t>
  </si>
  <si>
    <t>Ph SENSOR TRANSMITTER</t>
  </si>
  <si>
    <t>ROOMS TARIFF</t>
  </si>
  <si>
    <t>Welding</t>
  </si>
  <si>
    <t xml:space="preserve">CU/CUSO4 </t>
  </si>
  <si>
    <t>Coupan</t>
  </si>
  <si>
    <t xml:space="preserve">12 MM </t>
  </si>
  <si>
    <t xml:space="preserve">15 MM </t>
  </si>
  <si>
    <t>19 MM</t>
  </si>
  <si>
    <t>25 MM</t>
  </si>
  <si>
    <t>32 MM</t>
  </si>
  <si>
    <t>50 MM</t>
  </si>
  <si>
    <t>12 MM CI</t>
  </si>
  <si>
    <t>15 MM CI</t>
  </si>
  <si>
    <t>19 MM CI</t>
  </si>
  <si>
    <t>25 MM CI</t>
  </si>
  <si>
    <t>32 MM CI</t>
  </si>
  <si>
    <t>40 MM CI</t>
  </si>
  <si>
    <t>50 MM CI</t>
  </si>
  <si>
    <t>80 MM CI</t>
  </si>
  <si>
    <t>100 MM CI</t>
  </si>
  <si>
    <t>125 MM CI</t>
  </si>
  <si>
    <t>150 MM CI</t>
  </si>
  <si>
    <t>112</t>
  </si>
  <si>
    <t>200 MM CI</t>
  </si>
  <si>
    <t>113</t>
  </si>
  <si>
    <t>250 MM CI</t>
  </si>
  <si>
    <t>114</t>
  </si>
  <si>
    <t>300 MM CI</t>
  </si>
  <si>
    <t>80 MM</t>
  </si>
  <si>
    <t>100 MM</t>
  </si>
  <si>
    <t>125 MM</t>
  </si>
  <si>
    <t>150 MM</t>
  </si>
  <si>
    <t>200 MM</t>
  </si>
  <si>
    <t>250 MM</t>
  </si>
  <si>
    <t>300 MM</t>
  </si>
  <si>
    <t>350 MM</t>
  </si>
  <si>
    <t>400 MM</t>
  </si>
  <si>
    <t>65 MM</t>
  </si>
  <si>
    <t>EXTENDED SHAFT MS POWDER COATED 500 MM LONG FOR BFV 80 MM</t>
  </si>
  <si>
    <t>EXTENDED SHAFT MS POWDER COATED 1000 MM LONG FOR BFV 100 MM</t>
  </si>
  <si>
    <t>EXTENDED SHAFT MS POWDER COATED 500 MM LONG FOR BFV 150 MM</t>
  </si>
  <si>
    <t>EXTENDED SHAFT WITH MS POWDER COATED PIPE AND COUPLER 500 MM LONG FOR BFV 100 MM</t>
  </si>
  <si>
    <t>ELECTRICAL ACTUATOR HANDWHEEL SHAFT EXTENSION</t>
  </si>
  <si>
    <t xml:space="preserve">EXTENDED SHAFT &amp; COUPLER  MS POWDER COATED 500 MM LONG FOR SUIT 50MM BALL VALVE </t>
  </si>
  <si>
    <t>EXTENDED SHAFT MS POWDER COATED 1500 MM LONG FOR BFV 100 MM</t>
  </si>
  <si>
    <t>BRACKET FOR  THREE PHASE ACTUTATOR WITH DIRECT MOUNT</t>
  </si>
  <si>
    <t>BRACKET FOR  THREE PHASE ACTUTATOR WITH EXTENDED SHAFT MOUNT</t>
  </si>
  <si>
    <t>Cam shaft</t>
  </si>
  <si>
    <t xml:space="preserve">Marsh Multiturn ACT motor QT-5, </t>
  </si>
  <si>
    <t xml:space="preserve">Marsh Multiturn  ACT motor QT-10, </t>
  </si>
  <si>
    <t>Marsh Multiturn ACT motor QT-20</t>
  </si>
  <si>
    <t>500mm</t>
  </si>
  <si>
    <t>600mm</t>
  </si>
  <si>
    <t>800mm</t>
  </si>
  <si>
    <t>900mm</t>
  </si>
  <si>
    <t>1200mm</t>
  </si>
  <si>
    <t>RTU 1000</t>
  </si>
  <si>
    <t>RTU 6000-16</t>
  </si>
  <si>
    <t>RTU 6000-32</t>
  </si>
  <si>
    <t>RTU 3000</t>
  </si>
  <si>
    <t>RTU 9000</t>
  </si>
  <si>
    <t>RTU 6000-16 REDUNDANT</t>
  </si>
  <si>
    <t>RTU6000 PLUS+</t>
  </si>
  <si>
    <t>WIMAN RTU PANEL</t>
  </si>
  <si>
    <t>MY IR</t>
  </si>
  <si>
    <t>RTU + 1 SCADA</t>
  </si>
  <si>
    <t>RTU + 2 SCADA</t>
  </si>
  <si>
    <t>RTU + 3 SCADA</t>
  </si>
  <si>
    <t>RTU + 4 SCADA</t>
  </si>
  <si>
    <t>RTU + 5 SCADA</t>
  </si>
  <si>
    <t>RTU + 6 SCADA</t>
  </si>
  <si>
    <t>RTU + 7 SCADA</t>
  </si>
  <si>
    <t>RTU + 8 SCADA</t>
  </si>
  <si>
    <t>RTU + 9 SCADA</t>
  </si>
  <si>
    <t>RTU + 10 SCADA</t>
  </si>
  <si>
    <t xml:space="preserve">RTU + SCADA+ PDB </t>
  </si>
  <si>
    <t>RTU + 14 SCADA</t>
  </si>
  <si>
    <t>RTU+ 15 SCADA</t>
  </si>
  <si>
    <t>PLC  panel for Intake well- 4203</t>
  </si>
  <si>
    <t>PLC  panel for CWPH- 4203</t>
  </si>
  <si>
    <t>PLC  panel for Filter House-1 - 4203</t>
  </si>
  <si>
    <t>PLC  panel for  Filter House-2 - 4203</t>
  </si>
  <si>
    <t>PLC Panel for Filter House-3 - 4203</t>
  </si>
  <si>
    <t>PLC panel for Filter House-4 - 4203</t>
  </si>
  <si>
    <t>PLC Panel for chemical house - 4203</t>
  </si>
  <si>
    <t>PLC  Panel for chlorination- 4203</t>
  </si>
  <si>
    <t>PLC  Panel for DG set - 4203</t>
  </si>
  <si>
    <t>RTU + 1 SCADA + 1 ACT</t>
  </si>
  <si>
    <t>RTU + 2 SCADA + 2 ACT</t>
  </si>
  <si>
    <t>RTU + 3 SCADA + 3 ACT</t>
  </si>
  <si>
    <t>RTU + 4 SCADA + 4 ACT</t>
  </si>
  <si>
    <t>RTU + 1 SCADA + 2 ACT</t>
  </si>
  <si>
    <t>RTU + 10 SCADA + 10 ACT</t>
  </si>
  <si>
    <t>RTU + 5 SCADA + 5 ACT</t>
  </si>
  <si>
    <t>RTU + 6 SCADA + 6 ACT</t>
  </si>
  <si>
    <t>RTU + 8 SCADA + 8 ACT</t>
  </si>
  <si>
    <t>RTU + 3 SCADA + 4 ACT</t>
  </si>
  <si>
    <t>RTU +3 SCADA + 3 - Three phase act + 3 - Single phase act</t>
  </si>
  <si>
    <t>RTU +7scada + 1 act</t>
  </si>
  <si>
    <t>RTU+4 scada + 10 act</t>
  </si>
  <si>
    <t>RTU+4 scada + 15 act</t>
  </si>
  <si>
    <t>RTU+4 SCADA+5 ACT</t>
  </si>
  <si>
    <t>RTU + 1 ACT</t>
  </si>
  <si>
    <t>RTU + 2 ACT</t>
  </si>
  <si>
    <t>RTU + 3 ACT</t>
  </si>
  <si>
    <t>RTU + 4 ACT</t>
  </si>
  <si>
    <t>RTU + 5 ACT</t>
  </si>
  <si>
    <t>RTU + 6 ACT</t>
  </si>
  <si>
    <t>RTU + 7 ACT</t>
  </si>
  <si>
    <t>RTU + 8 ACT</t>
  </si>
  <si>
    <t>RTU + 9 ACT</t>
  </si>
  <si>
    <t>RTU + 10 ACT</t>
  </si>
  <si>
    <t>STP PANEL</t>
  </si>
  <si>
    <t>FILTER BED PANEL</t>
  </si>
  <si>
    <t xml:space="preserve">5 HP X 1 NOS </t>
  </si>
  <si>
    <t>5 HP X 2 NOS</t>
  </si>
  <si>
    <t>7.5 HP X 1 NOS</t>
  </si>
  <si>
    <t>7.5 HP X 2 NOS</t>
  </si>
  <si>
    <t>10 HP X 1 NOS</t>
  </si>
  <si>
    <t>10 HP X 2 NOS</t>
  </si>
  <si>
    <t>12.5 HP X 1 NOS</t>
  </si>
  <si>
    <t>12.5 HP X 2 NOS</t>
  </si>
  <si>
    <t>15 HP X 1 NOS</t>
  </si>
  <si>
    <t>15 HP X 2 NOS</t>
  </si>
  <si>
    <t>17.5 HP X 1 NOS</t>
  </si>
  <si>
    <t>17.5 HP X 2 NOS</t>
  </si>
  <si>
    <t>20 HP X 1 NOS</t>
  </si>
  <si>
    <t>20 HP X 2 NOS</t>
  </si>
  <si>
    <t>22.5 HP X 1 NOS</t>
  </si>
  <si>
    <t>22.5 HP X 2 NOS</t>
  </si>
  <si>
    <t>25 HP X 1 NOS</t>
  </si>
  <si>
    <t>25 HP X 2 NOS</t>
  </si>
  <si>
    <t>30 HP X 1 NOS</t>
  </si>
  <si>
    <t>30 HP X 2 NOS</t>
  </si>
  <si>
    <t>35 HP X 1 NOS</t>
  </si>
  <si>
    <t>35 HP X 2 NOS</t>
  </si>
  <si>
    <t>40 HP X 1 NOS</t>
  </si>
  <si>
    <t>40 HP X 2 NOS</t>
  </si>
  <si>
    <t>50 HP X 1 NOS</t>
  </si>
  <si>
    <t>50 HP X 2 NOS</t>
  </si>
  <si>
    <t>60 HP X 1 NOS</t>
  </si>
  <si>
    <t>60 HP X 2 NOS</t>
  </si>
  <si>
    <t>60 HP X 3 NOS</t>
  </si>
  <si>
    <t>100 HP X 3 NOS</t>
  </si>
  <si>
    <t>10 HP X 4 , 7.5 HP X 4, 5 HP X 2 NOS  STAR DELTA STARTER</t>
  </si>
  <si>
    <t>1HPX 2 , 3 HPX 1 ,5 HPX1 NOS DOL STARTER</t>
  </si>
  <si>
    <t>75 hp X 2 NOS</t>
  </si>
  <si>
    <t>80 HP X 2 NOS</t>
  </si>
  <si>
    <t>100 HP X 1 NOS</t>
  </si>
  <si>
    <t>100 HP X 2 NOS</t>
  </si>
  <si>
    <t>120 HP X 1 NOS</t>
  </si>
  <si>
    <t>120 HP X 2 NOS</t>
  </si>
  <si>
    <t>75HP X 3 NOS</t>
  </si>
  <si>
    <t>335 HP X 2 NOS</t>
  </si>
  <si>
    <t>3 HP TW Star Delta Panel + Dosing Pump Controlling (1w+1s) + Solar PDB+Space for 2 Nos 3Phase  ACT</t>
  </si>
  <si>
    <t>5 HP TW Star Delta Panel + Dosing Pump Controlling (1w+1s) + Solar PDB+Space for 2 Nos 3Phase  ACT</t>
  </si>
  <si>
    <t>15 HP *2</t>
  </si>
  <si>
    <t>30 HP *2</t>
  </si>
  <si>
    <t>40HP *3 STAR DELTA</t>
  </si>
  <si>
    <t>045</t>
  </si>
  <si>
    <t>40 HP * 1 Soft Starter + 3 Nos Actuator</t>
  </si>
  <si>
    <t>panel with backelite plate</t>
  </si>
  <si>
    <t>20HP</t>
  </si>
  <si>
    <t>30 HP</t>
  </si>
  <si>
    <t>40 HP</t>
  </si>
  <si>
    <t xml:space="preserve">50 HP </t>
  </si>
  <si>
    <t>60 HP</t>
  </si>
  <si>
    <t>70 HP</t>
  </si>
  <si>
    <t>80HP</t>
  </si>
  <si>
    <t>90 HP</t>
  </si>
  <si>
    <t>100 HP</t>
  </si>
  <si>
    <t>30HP</t>
  </si>
  <si>
    <t>40HP</t>
  </si>
  <si>
    <t>50HP</t>
  </si>
  <si>
    <t>60HP</t>
  </si>
  <si>
    <t>70HP</t>
  </si>
  <si>
    <t>90HP</t>
  </si>
  <si>
    <t>100 Amp + 30 HP SS+ 2 NOs ACtuator</t>
  </si>
  <si>
    <t>100 Amp +RTU SCADA</t>
  </si>
  <si>
    <t>200AMP</t>
  </si>
  <si>
    <t>250 AMP</t>
  </si>
  <si>
    <t>400AMP</t>
  </si>
  <si>
    <t>SINGLE PHASE PANEL</t>
  </si>
  <si>
    <t>THREE PHASE PANEL</t>
  </si>
  <si>
    <t>200 W x 300 H X 300 D</t>
  </si>
  <si>
    <t>200 W x 200 H X 180 D</t>
  </si>
  <si>
    <t>470 W x 330 H X 270 D</t>
  </si>
  <si>
    <t>350 W x 280 H X 230 D</t>
  </si>
  <si>
    <t>270 W x 240 H X 190 D</t>
  </si>
  <si>
    <t>320W*490H*280D</t>
  </si>
  <si>
    <t>280W*360H*220D</t>
  </si>
  <si>
    <t>280W*350H*260D</t>
  </si>
  <si>
    <t>260W*350H*280D</t>
  </si>
  <si>
    <t>230W*270H*220D</t>
  </si>
  <si>
    <t xml:space="preserve">
230L*280W*270D</t>
  </si>
  <si>
    <t xml:space="preserve">
250L*250W*280D</t>
  </si>
  <si>
    <t xml:space="preserve">
270L*300W*380D</t>
  </si>
  <si>
    <t>250L*230W*280D</t>
  </si>
  <si>
    <t>280L*200W*410D</t>
  </si>
  <si>
    <t>420L*600W*420D</t>
  </si>
  <si>
    <t>270L*370W*310D</t>
  </si>
  <si>
    <t>Bullet camera canopy</t>
  </si>
  <si>
    <t>700 X 700 X 700 Solar Inverter &amp; Battery Box</t>
  </si>
  <si>
    <t>10 HP STARTER</t>
  </si>
  <si>
    <t>15 HP STARTER</t>
  </si>
  <si>
    <t>20 HP STARTER</t>
  </si>
  <si>
    <t>25 HP STARTER</t>
  </si>
  <si>
    <t>30 HP STARTER</t>
  </si>
  <si>
    <t>35 HP STARTER</t>
  </si>
  <si>
    <t>40 HP STARTER</t>
  </si>
  <si>
    <t>50 HP STARTER</t>
  </si>
  <si>
    <t>55 HP STARTER</t>
  </si>
  <si>
    <t>60 HP STARTER</t>
  </si>
  <si>
    <t>70 HPSTARTER</t>
  </si>
  <si>
    <t>75 HP STARTER</t>
  </si>
  <si>
    <t>80 HP STARTER</t>
  </si>
  <si>
    <t>90 HP STARTER</t>
  </si>
  <si>
    <t>100 HP STARTER</t>
  </si>
  <si>
    <t>120 HP STARTER</t>
  </si>
  <si>
    <t>125 HP STARTER</t>
  </si>
  <si>
    <t>150 HP STARTER</t>
  </si>
  <si>
    <t>180 HP STARTER</t>
  </si>
  <si>
    <t>5 HP STARTER</t>
  </si>
  <si>
    <t>7.5 HP STARTER</t>
  </si>
  <si>
    <t>17.5 HP STARTER</t>
  </si>
  <si>
    <t>12.5 HP STARTER</t>
  </si>
  <si>
    <t>2 HP STARTER</t>
  </si>
  <si>
    <t>3 HP STARTER</t>
  </si>
  <si>
    <t xml:space="preserve">335 HP STARTER </t>
  </si>
  <si>
    <t>7.5 HP + 50 HP Combine Starter</t>
  </si>
  <si>
    <t>10 HP + 5 HP starter</t>
  </si>
  <si>
    <t xml:space="preserve">3 HP </t>
  </si>
  <si>
    <t xml:space="preserve">5 HP </t>
  </si>
  <si>
    <t xml:space="preserve">10 HP </t>
  </si>
  <si>
    <t>15 HP</t>
  </si>
  <si>
    <t>20 HP</t>
  </si>
  <si>
    <t>25 HP</t>
  </si>
  <si>
    <t>35 HP</t>
  </si>
  <si>
    <t>50 HP</t>
  </si>
  <si>
    <t>17.5HP</t>
  </si>
  <si>
    <t>350W*450+25H*300MM</t>
  </si>
  <si>
    <t xml:space="preserve">UPS+BATTERY BOX WITH STAND </t>
  </si>
  <si>
    <t>500*500*250 MM</t>
  </si>
  <si>
    <t>600*600*210 mm</t>
  </si>
  <si>
    <t xml:space="preserve">1500(H) With Base </t>
  </si>
  <si>
    <t>250(W)* 500(H)*120 (D)</t>
  </si>
  <si>
    <t>550 (W) * 150 (H)*650 (D)</t>
  </si>
  <si>
    <t>75X 75 X 50 MM</t>
  </si>
  <si>
    <t>100 X 100 X 50 MM</t>
  </si>
  <si>
    <t>255 X 200 X 80 MM</t>
  </si>
  <si>
    <t>3 TO 5 HP STARTER + ACT CONTROL</t>
  </si>
  <si>
    <t>7.5 HP STARTER + ACT CONTROL</t>
  </si>
  <si>
    <t>10 HP STARTER + ACT CONTROL</t>
  </si>
  <si>
    <t>12.5 HP STARTER + ACT CONTROL</t>
  </si>
  <si>
    <t>15 HP STARTER + ACT CONTROL</t>
  </si>
  <si>
    <t>17.5 HP STARTER + ACT CONTROL</t>
  </si>
  <si>
    <t>20 HP STARTER + ACT CONTROL</t>
  </si>
  <si>
    <t>25 HP STARTER + ACT CONTROL</t>
  </si>
  <si>
    <t>30 HP STARTER + ACT CONTROL</t>
  </si>
  <si>
    <t>35 HP STARTER + ACT CONTROL</t>
  </si>
  <si>
    <t>40 HP STARTER + ACT CONTROL</t>
  </si>
  <si>
    <t>7.5 HP TW VFD + Dosing Pump Controlling (1w+1s) + Solar PDB+Space for 2 Nos 3Phase  ACT</t>
  </si>
  <si>
    <t>10 HP TW VFD+ Dosing Pump Controlling (1w+1s) + Solar PDB+Space for 2 Nos 3Phase  ACT</t>
  </si>
  <si>
    <t>12.5 HP TW VFD+ Dosing Pump Controlling (1w+1s) + Solar PDB+Space for 2 Nos 3Phase  ACT</t>
  </si>
  <si>
    <t xml:space="preserve">15 HP Solar Based Tubewell without VFD - Automation Panel with PDB AND Dosing Pump Controlling (1w+1s) </t>
  </si>
  <si>
    <t xml:space="preserve">17.5 HP Solar Based Tubewell without VFD - Automation Panel with PDB AND Dosing Pump Controlling (1w+1s) </t>
  </si>
  <si>
    <t xml:space="preserve">20 HP Solar Based Tubewell without VFD - Automation Panel with PDB AND Dosing Pump Controlling (1w+1s) </t>
  </si>
  <si>
    <t xml:space="preserve">30 HP Solar Based Tubewell without VFD - Automation Panel with PDB AND Dosing Pump Controlling (1w+1s) </t>
  </si>
  <si>
    <t xml:space="preserve">SOLAR BASED TUBEWELL Automation Panel W/O TW VFD  With Actuator VFD -Automation Panel with PDB AND Dosing Pump Controlling (1w+1s) </t>
  </si>
  <si>
    <t>iCL + iTU - SENSOR PANEL</t>
  </si>
  <si>
    <t xml:space="preserve">RTU  1000 </t>
  </si>
  <si>
    <t>WITH ISOLATION TRANS.</t>
  </si>
  <si>
    <t>WITHOUT ISOLATION TRANS</t>
  </si>
  <si>
    <t>20 ACT PANEL</t>
  </si>
  <si>
    <t>3-PH ,2 ACT CONTROL PANEL</t>
  </si>
  <si>
    <t>100Amp</t>
  </si>
  <si>
    <t>125 Amp</t>
  </si>
  <si>
    <t>1 HP</t>
  </si>
  <si>
    <t>COMBINE PANEL(1 HP TO 25HP)</t>
  </si>
  <si>
    <t>125amp</t>
  </si>
  <si>
    <t>150amp</t>
  </si>
  <si>
    <t>200amp</t>
  </si>
  <si>
    <t>250 amp</t>
  </si>
  <si>
    <t>300 amp</t>
  </si>
  <si>
    <t>315 amp</t>
  </si>
  <si>
    <t xml:space="preserve"> 7.5 HP Softstarter panel with 2 nos Singale phase butterfly actuactor and 1 nos dosing pump</t>
  </si>
  <si>
    <t>10 HP Softstarter panel with 2 nos Singale phase butterfly actuactor and 1 nos dosing pump</t>
  </si>
  <si>
    <t>12.5 HP Softstarter panel with 2 nos Singale phase butterfly actuactor and 1 nos dosing pump</t>
  </si>
  <si>
    <t>15 HP Softstarter panel with 2 nos Singale phase butterfly actuactor and 1 nos dosing pump</t>
  </si>
  <si>
    <t>20 HP Softstarter panel with 2 nos Singale phase butterfly actuactor and 1 nos dosing pump</t>
  </si>
  <si>
    <t>30 HP Softstarter panel with 2 nos Singale phase butterfly actuactor and 1 nos dosing pump</t>
  </si>
  <si>
    <t>40  HP Softstarter panel with 2 nos Singale phase butterfly actuactor and 1 nos dosing pump</t>
  </si>
  <si>
    <t>50  HP Softstarter panel with 2 nos Singale phase butterfly actuactor and 1 nos dosing pump</t>
  </si>
  <si>
    <t>LT PANEL 55 KW  SOFTSTARTER WITH CAPACITOR BANK</t>
  </si>
  <si>
    <t>LT PANEL 315 KW  SOFTSTARTER WITH CAPACITOR BANK</t>
  </si>
  <si>
    <t>LT PANEL 355 KW  SOFTSTARTER WITH CAPACITOR BANK</t>
  </si>
  <si>
    <t xml:space="preserve">HT PANEL 6.6KW WITH VT MOTOR SOFTSTARTER    </t>
  </si>
  <si>
    <t>30 HP Softstarter panel with 2 nos three phase actuactor and 1 nos dosing pump</t>
  </si>
  <si>
    <t>160AMp</t>
  </si>
  <si>
    <t>200Amp</t>
  </si>
  <si>
    <t>250AMp</t>
  </si>
  <si>
    <t>320Amp</t>
  </si>
  <si>
    <t>400Amp</t>
  </si>
  <si>
    <t>2" (61mm OD)</t>
  </si>
  <si>
    <t>1" (33mm OD)</t>
  </si>
  <si>
    <t>3"</t>
  </si>
  <si>
    <t>4"</t>
  </si>
  <si>
    <t>15 MM</t>
  </si>
  <si>
    <t>110 MM</t>
  </si>
  <si>
    <t>12 MM (1/2)"</t>
  </si>
  <si>
    <t xml:space="preserve">1/4" for Dosing </t>
  </si>
  <si>
    <t>25MM SS SNUBBER</t>
  </si>
  <si>
    <t>50MM SS SNUBBER</t>
  </si>
  <si>
    <t>SS 304 SNUBBER 1/4" BSP FF</t>
  </si>
  <si>
    <t>SS 304 PIPE NIPPLE 1/4" X 3" SCH40</t>
  </si>
  <si>
    <t>RO TEE 1/4"</t>
  </si>
  <si>
    <t>RO ELBOW 1/4" MFX</t>
  </si>
  <si>
    <t>RO SOCKET 1/4" MFX</t>
  </si>
  <si>
    <t>SS BAR STOCK NEEDLE VALVE -3/8"</t>
  </si>
  <si>
    <t>SS 304 HEX NIPPLE BSP 1/4"</t>
  </si>
  <si>
    <t>SS NEEDLE VALVE ROUND BSP-1/4" FF</t>
  </si>
  <si>
    <t>SS Bolt 3/8 * 1.5 Inch</t>
  </si>
  <si>
    <t>Needle Valve</t>
  </si>
  <si>
    <t xml:space="preserve">SS 304 NIPPLE </t>
  </si>
  <si>
    <t>SS bolt M10*75</t>
  </si>
  <si>
    <t xml:space="preserve">12" X 12" </t>
  </si>
  <si>
    <t>100mm Line size Flanged Bend</t>
  </si>
  <si>
    <t>Metal Clamp 4 Inch</t>
  </si>
  <si>
    <t>PS PIPE 100MM SIZE</t>
  </si>
  <si>
    <t>MS ANGLE  L TYPE 50X6MM</t>
  </si>
  <si>
    <t>MS PLATE 1250X2500X4MM</t>
  </si>
  <si>
    <t>MS ANGLE  L TYPE 25X3MM</t>
  </si>
  <si>
    <t>PS PIPE 150MM SIZE</t>
  </si>
  <si>
    <t>PS PIPE 200MM SIZE</t>
  </si>
  <si>
    <t>PS PIPE 250MM SIZE</t>
  </si>
  <si>
    <t>PS PIPE 300MM SIZE</t>
  </si>
  <si>
    <t>PS PIPE 350MM SIZE</t>
  </si>
  <si>
    <t>PS PIPE 80MM SIZE</t>
  </si>
  <si>
    <t xml:space="preserve">100x150 mm MS Reducer </t>
  </si>
  <si>
    <t>5/8</t>
  </si>
  <si>
    <t>5/8 X3" DOUBLE WASHER</t>
  </si>
  <si>
    <t>5/8 X5" DOUBLE WASHER</t>
  </si>
  <si>
    <t>16 MM HEX NUT</t>
  </si>
  <si>
    <t>5/8 x8" LONG BOLT</t>
  </si>
  <si>
    <t>MS HEX PIN WITH WASHER 10X 50</t>
  </si>
  <si>
    <t>5/8 X6" DOUBLE WASHER</t>
  </si>
  <si>
    <t>12 x 5" Nut Bolt With Double Washer</t>
  </si>
  <si>
    <t>12 x 3" Nut Bolt With Double Washer</t>
  </si>
  <si>
    <t>12 x 2.5" Nut Bolt With Double Washer</t>
  </si>
  <si>
    <t>1/2" X (k)</t>
  </si>
  <si>
    <t>2"  D JOINT With Nut Bolt -50 mm</t>
  </si>
  <si>
    <t>3" D JOINT With Nut Bolt - 80 mm</t>
  </si>
  <si>
    <t>4"  D JOINT With Nut Bolt -100 mm</t>
  </si>
  <si>
    <t>5" D JOINT With Nut Bolt- 125 mm</t>
  </si>
  <si>
    <t>6"  D JOINT With Nut Bolt- 150 mm</t>
  </si>
  <si>
    <t>50 MM PN10</t>
  </si>
  <si>
    <t>80 MM PN10</t>
  </si>
  <si>
    <t>100 MM PN10</t>
  </si>
  <si>
    <t>125 MM PN10</t>
  </si>
  <si>
    <t>150 MM PN10</t>
  </si>
  <si>
    <t>200 MM PN10</t>
  </si>
  <si>
    <t>250 MM PN10</t>
  </si>
  <si>
    <t>300 MM PN10</t>
  </si>
  <si>
    <t>350 MM PN10</t>
  </si>
  <si>
    <t>50 MM PN16</t>
  </si>
  <si>
    <t>80 MM PN16</t>
  </si>
  <si>
    <t>100 MM PN16</t>
  </si>
  <si>
    <t>125 MM PN16</t>
  </si>
  <si>
    <t>150 MM PN16</t>
  </si>
  <si>
    <t>200 MM PN16</t>
  </si>
  <si>
    <t>250 MM PN16</t>
  </si>
  <si>
    <t>300 MM PN16</t>
  </si>
  <si>
    <t>350 MM PN16</t>
  </si>
  <si>
    <t>40 MM PN16</t>
  </si>
  <si>
    <t>200 GM</t>
  </si>
  <si>
    <t>59 ML</t>
  </si>
  <si>
    <t>COUPLING 1/4"</t>
  </si>
  <si>
    <t>COUPLING 1/2"</t>
  </si>
  <si>
    <t>COUPLING 3/4"</t>
  </si>
  <si>
    <t>COUPLING 1"</t>
  </si>
  <si>
    <t>COUPLING 32 MM</t>
  </si>
  <si>
    <t>COUPLING 40 MM</t>
  </si>
  <si>
    <t>COUPLING 2"</t>
  </si>
  <si>
    <t>Braket Reducer for SLCs</t>
  </si>
  <si>
    <t>NIPPLE 1/4"</t>
  </si>
  <si>
    <t>NIPPLE 1/2"</t>
  </si>
  <si>
    <t>NIPPLE 3/4"</t>
  </si>
  <si>
    <t>NIPPLE 1"</t>
  </si>
  <si>
    <t>NIPPLE 32 MM</t>
  </si>
  <si>
    <t>NIPPLE 40 MM</t>
  </si>
  <si>
    <t>NIPPLE 2"</t>
  </si>
  <si>
    <t>NIPPLE 3/8"X4"</t>
  </si>
  <si>
    <t>NIPPLE 3/8"X3"</t>
  </si>
  <si>
    <t>NIPPLE 1/4" x 2"</t>
  </si>
  <si>
    <t>Hex nipple 3/8"</t>
  </si>
  <si>
    <t>ELBOW 1/4"</t>
  </si>
  <si>
    <t>ELBOW 1/2"</t>
  </si>
  <si>
    <t>ELBOW 3/4"</t>
  </si>
  <si>
    <t>ELBOW 1"</t>
  </si>
  <si>
    <t>ELBOW 32 MM</t>
  </si>
  <si>
    <t>ELBOW 40 MM</t>
  </si>
  <si>
    <t>ELBOW 2"</t>
  </si>
  <si>
    <t>ELBOW 3/8"</t>
  </si>
  <si>
    <t>TEE3/8"</t>
  </si>
  <si>
    <t>TEE 1"</t>
  </si>
  <si>
    <t>TEE 32 MM</t>
  </si>
  <si>
    <t xml:space="preserve">TEE </t>
  </si>
  <si>
    <t>MS Bus 3/8*1/4</t>
  </si>
  <si>
    <t>MS Bus 1/2*1/4</t>
  </si>
  <si>
    <t>MS SCOKET 1/2 MALE  x 1/4 Female</t>
  </si>
  <si>
    <t xml:space="preserve">Socket 3/8" Hose X 1/2" Thread Female </t>
  </si>
  <si>
    <t>Coupling 19mm</t>
  </si>
  <si>
    <t>GI Bushing  1/2 to 3/8"</t>
  </si>
  <si>
    <t>NIPPLE 1/2"X2"</t>
  </si>
  <si>
    <t>HEX NIPPLE 3"</t>
  </si>
  <si>
    <t>NIPPLE 1/2"X4"</t>
  </si>
  <si>
    <t>Hex NIPPLE 6"</t>
  </si>
  <si>
    <t>NIpple 19mm, 4"</t>
  </si>
  <si>
    <t>TEE 1/2"</t>
  </si>
  <si>
    <t>TEE 20MM</t>
  </si>
  <si>
    <t>GI REDUCER 10/25MM</t>
  </si>
  <si>
    <t>CLAMP</t>
  </si>
  <si>
    <t xml:space="preserve">1/2 GI socket </t>
  </si>
  <si>
    <t>GI REDUCER 32x20mm</t>
  </si>
  <si>
    <t>GI REDUCER 32x25mm</t>
  </si>
  <si>
    <t>GI REDUCER 65/80 mm</t>
  </si>
  <si>
    <t>GI Reducer 1/2" to 1/4"</t>
  </si>
  <si>
    <t>TEE 50 MM</t>
  </si>
  <si>
    <t>2" PVC D JOINT With Nut Bolt -50 mm</t>
  </si>
  <si>
    <t>3" PVC D JOINT With Nut Bolt - 80 mm</t>
  </si>
  <si>
    <t>4" PVC D JOINT With Nut Bolt -100 mm</t>
  </si>
  <si>
    <t>5" PVC D JOINT With Nut Bolt- 125 mm</t>
  </si>
  <si>
    <t>6" PVC D JOINT With Nut Bolt- 150 mm</t>
  </si>
  <si>
    <t>PVC SOCKET -50 mm</t>
  </si>
  <si>
    <t>PVC SOCKET -80 mm</t>
  </si>
  <si>
    <t>PVC SOCKET -100 mm</t>
  </si>
  <si>
    <t>PVC SOCKET -125 mm</t>
  </si>
  <si>
    <t>PVC SOCKET -150 mm</t>
  </si>
  <si>
    <t>6 KG PVC PIPE-50</t>
  </si>
  <si>
    <t>6 KG PVC PIPE -80 mm</t>
  </si>
  <si>
    <t>10 KG PVC PIPE-100 mm</t>
  </si>
  <si>
    <t>10 KG PVC PIPE -125 mm</t>
  </si>
  <si>
    <t>10 KG PVC PIPE-150 mm</t>
  </si>
  <si>
    <t>10 KG PVC PIPE-200 mm</t>
  </si>
  <si>
    <t>1/4" PVC T For RO Pipe</t>
  </si>
  <si>
    <t>LEAD WOOL</t>
  </si>
  <si>
    <t>HEMP YAAN</t>
  </si>
  <si>
    <t>75 x 10 W/S</t>
  </si>
  <si>
    <t>2 PLA</t>
  </si>
  <si>
    <t>1/2 X 8 HOSE</t>
  </si>
  <si>
    <t>1 1/4 PLA</t>
  </si>
  <si>
    <t>1/2" Medium Grade Pipe</t>
  </si>
  <si>
    <t>1/2" Band</t>
  </si>
  <si>
    <t>1/2" Male Socket</t>
  </si>
  <si>
    <t>1/2" Female Socket</t>
  </si>
  <si>
    <t>ELBOW 15 MM 90*</t>
  </si>
  <si>
    <t>BALL VALVE 15 MM</t>
  </si>
  <si>
    <t>UPVC SOLVENT 946 ML</t>
  </si>
  <si>
    <t>UPVC FABT 15 MM</t>
  </si>
  <si>
    <t>UPVC T Joint 1/2" 2 Side Female Thread and 1 Side Plain</t>
  </si>
  <si>
    <t>TEE 40 MM</t>
  </si>
  <si>
    <t>TEE 2"</t>
  </si>
  <si>
    <t>TEE 65 MM</t>
  </si>
  <si>
    <t>TEE 90 MM</t>
  </si>
  <si>
    <t>TEE 110 MM</t>
  </si>
  <si>
    <t>PU MALE ADAPTOR 1/2"-10 MM</t>
  </si>
  <si>
    <t>PU MALE ADAPTOR 1/4"-10 MM</t>
  </si>
  <si>
    <t>PU CONNECTOR 1/2'' - 10 MM</t>
  </si>
  <si>
    <t>PU REDUCING UNION 10X6 MM</t>
  </si>
  <si>
    <t>PU PIPE 10X6 MM</t>
  </si>
  <si>
    <t>BRASS CP MXF MINI BALL VALVE BSP 1/2"</t>
  </si>
  <si>
    <t>BRASS MALE FEMALE BUSHING 1X1/2</t>
  </si>
  <si>
    <t>BRASS NRV 1/2 "</t>
  </si>
  <si>
    <t>BRASS FTA COVER 3/4 X 1/2 "</t>
  </si>
  <si>
    <t>BRASS NRV BUSH 2 x 1/2 "</t>
  </si>
  <si>
    <t>BRASS SYPHONE COCK 3/8 "</t>
  </si>
  <si>
    <t>AP 1 LTR</t>
  </si>
  <si>
    <t xml:space="preserve">AP 1 LTR THINNER </t>
  </si>
  <si>
    <t>ASIAN PAIN BRUSH</t>
  </si>
  <si>
    <t xml:space="preserve">8 hole Rubber Gasket  for Flow Meter
Size:50mm
ID: 50 mm, OD: 165 mm
PCD:125 mm </t>
  </si>
  <si>
    <t xml:space="preserve">8 hole Rubber Gasket  for Flow Meter
Size:80mm
ID: 80 mm, OD: 200 mm
PCD:160 mm </t>
  </si>
  <si>
    <t xml:space="preserve">8 hole Rubber Gasket  for Flow Meter
Size:100mm
ID: 100 mm, OD: 220 mm
PCD:180 mm </t>
  </si>
  <si>
    <t xml:space="preserve">8 hole Rubber Gasket  for Flow Meter
Size:125mm
ID: 125 mm, OD: 250 mm
PCD:210mm </t>
  </si>
  <si>
    <t xml:space="preserve">8 hole Rubber Gasket  for Flow Meter
Size:150mm
ID: 150 mm, OD: 285 mm
PCD:240 mm </t>
  </si>
  <si>
    <t xml:space="preserve">8 hole Rubber Gasket  for Flow Meter
Size:200mm
ID: 200 mm, OD: 340 mm
PCD:295 mm </t>
  </si>
  <si>
    <t xml:space="preserve">8 hole Rubber Gasket  for Flow Meter
Size:250mm
ID: 250 mm, OD: 355 mm
PCD:250 mm </t>
  </si>
  <si>
    <t>HYLAM FLANGE</t>
  </si>
  <si>
    <t>FRP DRUM 100 LTR</t>
  </si>
  <si>
    <t>200 LTR</t>
  </si>
  <si>
    <t>FRP DRUM WITH TANK THICKNESS 5.0 MM AND WIEGHT 8 KG</t>
  </si>
  <si>
    <t>DI flange socket, line size 150mm</t>
  </si>
  <si>
    <t>DI flange socket, line size 200mm</t>
  </si>
  <si>
    <t>DI flange socket, line size 250mm</t>
  </si>
  <si>
    <t>DI flange socket, line size 300mm</t>
  </si>
  <si>
    <t>DI flange socket, line size 350mm</t>
  </si>
  <si>
    <t>DI flange socket, line size 400mm</t>
  </si>
  <si>
    <t>Jute</t>
  </si>
  <si>
    <t xml:space="preserve">20 X 20 X3 </t>
  </si>
  <si>
    <t>20 X 20 X 5</t>
  </si>
  <si>
    <t>25 X 25 X 3</t>
  </si>
  <si>
    <t>25 X 25 X 5</t>
  </si>
  <si>
    <t>35 X 35 X5</t>
  </si>
  <si>
    <t>50 X 50 X3</t>
  </si>
  <si>
    <t>50X50 X5</t>
  </si>
  <si>
    <t>CI assembly -50 mm</t>
  </si>
  <si>
    <t>CI assembly - 80 mm</t>
  </si>
  <si>
    <t>CI assembly -100 mm</t>
  </si>
  <si>
    <t>CI assembly- 125 mm</t>
  </si>
  <si>
    <t>CI assembly- 150 mm</t>
  </si>
  <si>
    <t>SLC 1000</t>
  </si>
  <si>
    <t>SLC 2000</t>
  </si>
  <si>
    <t>SLC 3000</t>
  </si>
  <si>
    <t>SLC 3100</t>
  </si>
  <si>
    <t>SLC NBIOT</t>
  </si>
  <si>
    <t>LC DCU</t>
  </si>
  <si>
    <t>Em Meter</t>
  </si>
  <si>
    <t>3G DCU</t>
  </si>
  <si>
    <t>4G DCU</t>
  </si>
  <si>
    <t>HAND HELD UNIT</t>
  </si>
  <si>
    <t>iRTU1000</t>
  </si>
  <si>
    <t>iRTU 3000</t>
  </si>
  <si>
    <t xml:space="preserve">iRTU 6000 </t>
  </si>
  <si>
    <t>iRTU9000</t>
  </si>
  <si>
    <t>iRTU 6000 ++</t>
  </si>
  <si>
    <t>iRTS10</t>
  </si>
  <si>
    <t>CIM-10 Device</t>
  </si>
  <si>
    <t>iRTU 6000+</t>
  </si>
  <si>
    <t>LRTU3000</t>
  </si>
  <si>
    <t>LRTU1000</t>
  </si>
  <si>
    <t>ExM-IOC2 -24 DI, 16 DO, 8AI</t>
  </si>
  <si>
    <t>LoRa Gateway</t>
  </si>
  <si>
    <t>EXM-IOC1 -16 DI, 24 DO, 2AI, 8 AO</t>
  </si>
  <si>
    <t>GPS MODEM</t>
  </si>
  <si>
    <t>GPS Modem(Graylogix)</t>
  </si>
  <si>
    <t>GSM MODEM SIM900</t>
  </si>
  <si>
    <t>iFPC3000</t>
  </si>
  <si>
    <t>iPMU4000 With Memory</t>
  </si>
  <si>
    <t>iRTU1000 V2</t>
  </si>
  <si>
    <t>iRTU3000-A</t>
  </si>
  <si>
    <t>iSLC-10 V2 With GSM</t>
  </si>
  <si>
    <t>iRTU6000</t>
  </si>
  <si>
    <t>RF Reapeter</t>
  </si>
  <si>
    <t>RTU GMDA</t>
  </si>
  <si>
    <t>iRTS20</t>
  </si>
  <si>
    <t>FEP</t>
  </si>
  <si>
    <t>Indoor type detectors</t>
  </si>
  <si>
    <t>GST200 Rubber Keypad</t>
  </si>
  <si>
    <t>Sounder</t>
  </si>
  <si>
    <t>Manual call point</t>
  </si>
  <si>
    <t>GST- 200 Loop Interface Board</t>
  </si>
  <si>
    <t>iEdge 360 Platform
Lic.</t>
  </si>
  <si>
    <t>ViBit</t>
  </si>
  <si>
    <t>Vibit SMPS</t>
  </si>
  <si>
    <t>Vibit Wi-fi router</t>
  </si>
  <si>
    <t>SQL SERVER</t>
  </si>
  <si>
    <t>MICROSOFT 365 BUSINESS BASIS</t>
  </si>
  <si>
    <t>SUPPORT CHARGES</t>
  </si>
  <si>
    <t>FIELD SENSE SUPPORT</t>
  </si>
  <si>
    <t>FIELD SENSE SETUP</t>
  </si>
  <si>
    <t>ANTIVIRUS</t>
  </si>
  <si>
    <t>WIN 10 OEM SECURITY</t>
  </si>
  <si>
    <t>WINDOWS SERVER</t>
  </si>
  <si>
    <t>WEB BASED SCADA</t>
  </si>
  <si>
    <t>MS office 2013</t>
  </si>
  <si>
    <t>Cyber Security</t>
  </si>
  <si>
    <t>VMS software</t>
  </si>
  <si>
    <t xml:space="preserve">iEdge 360 Platform Lic.
</t>
  </si>
  <si>
    <t>Application development</t>
  </si>
  <si>
    <t>MS office 2019</t>
  </si>
  <si>
    <t>Office 2019</t>
  </si>
  <si>
    <t>MULTIMETER</t>
  </si>
  <si>
    <t>SCREW DRIVER</t>
  </si>
  <si>
    <t>TESTER</t>
  </si>
  <si>
    <t>PLIER</t>
  </si>
  <si>
    <t>WIRE STRIPER</t>
  </si>
  <si>
    <t xml:space="preserve">MEASURING TAPE </t>
  </si>
  <si>
    <t>VERNIER CALIPER</t>
  </si>
  <si>
    <t>HAMMER</t>
  </si>
  <si>
    <t>CRIMPING TOOLS</t>
  </si>
  <si>
    <t>WIRE CUTTER</t>
  </si>
  <si>
    <t>Allen key Set</t>
  </si>
  <si>
    <t>GEN</t>
  </si>
  <si>
    <t>SHOES</t>
  </si>
  <si>
    <t>HELMET</t>
  </si>
  <si>
    <t>GOOGLES</t>
  </si>
  <si>
    <t>BELT</t>
  </si>
  <si>
    <t>GLOVES</t>
  </si>
  <si>
    <t>Drill Machin</t>
  </si>
  <si>
    <t>SITE 1</t>
  </si>
  <si>
    <t>HR BK OHT1</t>
  </si>
  <si>
    <t>HR BKOHT2</t>
  </si>
  <si>
    <t>MIMIC PANEL NORTH</t>
  </si>
  <si>
    <t>PLC PANEL-1 FOR SOUTH ZOE</t>
  </si>
  <si>
    <t>PLC PANEL-2 FOR SOUTH ZOE</t>
  </si>
  <si>
    <t>PLC PANEL-6 FOR NORTHH ZOE</t>
  </si>
  <si>
    <t>PLC PANEL-7 FOR NORTHH ZOE</t>
  </si>
  <si>
    <t>PLC PANEL-8 FOR NORTHH ZOE</t>
  </si>
  <si>
    <t>PLC PANEL-9 FOR NORTHH ZOE</t>
  </si>
  <si>
    <t>PLC CONTROL PANEL-8 36LT CDRS</t>
  </si>
  <si>
    <t>PLC CONTROL PANEL-5 NAD MAIN</t>
  </si>
  <si>
    <t>PLC CONTROL PANEL-13 CHUNABHATTI NEW</t>
  </si>
  <si>
    <t>PLC CONTROL PANEL-14 QUERY PH</t>
  </si>
  <si>
    <t>PLC CONTROL PANEL-9 RENU PH</t>
  </si>
  <si>
    <t>PLC CONTROL PANEL-10 MAP SAILORS</t>
  </si>
  <si>
    <t>PLC CONTROL PANEL-6, 150 RL PH</t>
  </si>
  <si>
    <t>PLC CONTROL PANEL-1 TUNIR PH</t>
  </si>
  <si>
    <t>PLC CONTROL PANEL-2 STATION MESS</t>
  </si>
  <si>
    <t xml:space="preserve">PLC CONTROL PANEL-3  300RL </t>
  </si>
  <si>
    <t>PLC CONTROL PANEL-4 MANGERA PH</t>
  </si>
  <si>
    <t>PLC CONTROL PANEL-11 OLD CHUNABHATTI</t>
  </si>
  <si>
    <t>PLC CONTROL PANEL-12 84 LEADING</t>
  </si>
  <si>
    <t>PLC CONTROL PANEL-7 NOFRA PH</t>
  </si>
  <si>
    <t>MITSUBISHI PLC SYSTEM -150RL</t>
  </si>
  <si>
    <t>MITSUBISHI PLC SYSTEM -NAD MAIN</t>
  </si>
  <si>
    <t>MITSUBISHI PLC SYSTEM - MANGERA</t>
  </si>
  <si>
    <t>MITSUBISHI PLC SYSTEM - STATION MES</t>
  </si>
  <si>
    <t>MITSUBISHI PLC SYSTEM - TUNIR</t>
  </si>
  <si>
    <t>FX5U-64MT/ESS-BS PLC</t>
  </si>
  <si>
    <t>MAIN PUMP HOUSE</t>
  </si>
  <si>
    <t>NAVY PUMP HOUSE</t>
  </si>
  <si>
    <t>OLD PUMP HOUSE</t>
  </si>
  <si>
    <t>MAP PUMP HOUSE</t>
  </si>
  <si>
    <t>BG PUMP HOUSE</t>
  </si>
  <si>
    <t>BG OHT</t>
  </si>
  <si>
    <t>NEW LINE OHT</t>
  </si>
  <si>
    <t>152 AD OHT</t>
  </si>
  <si>
    <t>MH OHT</t>
  </si>
  <si>
    <t>OTM OHT</t>
  </si>
  <si>
    <t>16 channel Digital module</t>
  </si>
  <si>
    <t>12V/40AH Battery</t>
  </si>
  <si>
    <t>12V/75AH Battery</t>
  </si>
  <si>
    <t>GATE Panel - 4115 - Lot-1</t>
  </si>
  <si>
    <t>Master RTU MCS Panel</t>
  </si>
  <si>
    <t>046</t>
  </si>
  <si>
    <t>Solar Panel with Inverter and battery -4115 27Nos</t>
  </si>
  <si>
    <t>047</t>
  </si>
  <si>
    <t>Workstation</t>
  </si>
  <si>
    <t>048</t>
  </si>
  <si>
    <t>IT HArdware Printer, firewall and router</t>
  </si>
  <si>
    <t>049</t>
  </si>
  <si>
    <t>iCL and iTU with wiman modem and panel</t>
  </si>
  <si>
    <t xml:space="preserve">Softstarter Panel </t>
  </si>
  <si>
    <t>12v/18AH BATTERY</t>
  </si>
  <si>
    <t>GATE Panel - 4115 - Lot-2</t>
  </si>
  <si>
    <t>T W AUTOMATION SYS FOR PUMP PLANT 7.5HP - Affcons +SCL</t>
  </si>
  <si>
    <t>T W AUTOMATION SYS FOR PUMP PLANT 10HP -Affcons +SCL</t>
  </si>
  <si>
    <t>T W AUTOMATION SYS FOR PUMP PLANT 12.5HP - Affcons +SCL</t>
  </si>
  <si>
    <t>T W AUTOMATION SYS FOR PUMP PLANT 15HP - Affcons +SCL</t>
  </si>
  <si>
    <t>T W AUTOMATION SYS FOR PUMP PLANT 17.5HP - Affcons +SCL</t>
  </si>
  <si>
    <t>T W AUTOMATION SYS FOR PUMP PLANT 20HP - Affcons +SCL</t>
  </si>
  <si>
    <t>T W AUTOMATION SYS FOR PUMP PLANT 25 HP - Affcons +SCL</t>
  </si>
  <si>
    <t>CERT-IN certificate  for webscanet</t>
  </si>
  <si>
    <t>061</t>
  </si>
  <si>
    <t>Solar Panel with Inverter and battery -4115 26 Nos</t>
  </si>
  <si>
    <t>062</t>
  </si>
  <si>
    <t>GATE Panel - 4115 - Lot-3</t>
  </si>
  <si>
    <t>063</t>
  </si>
  <si>
    <t xml:space="preserve">4138 - Panel 15 HP SD </t>
  </si>
  <si>
    <t>064</t>
  </si>
  <si>
    <t xml:space="preserve">8104_G Cable and Accessories Billing , CABF301KE00003, CABF403KE00003, CABF901KE00003
</t>
  </si>
  <si>
    <t>065</t>
  </si>
  <si>
    <t>Mobile Phobe</t>
  </si>
  <si>
    <t>066</t>
  </si>
  <si>
    <t>4107_A -RTU &amp; Panel Spares</t>
  </si>
  <si>
    <t>067</t>
  </si>
  <si>
    <t>4144_ L&amp;T SCADA SYSTEM</t>
  </si>
  <si>
    <t>068</t>
  </si>
  <si>
    <t>Eathing System for PNC</t>
  </si>
  <si>
    <t>069</t>
  </si>
  <si>
    <t>1 SCADA +2 ACT PANEL 4151</t>
  </si>
  <si>
    <t xml:space="preserve">FILTERBED AUTOMATION PANEL WITH RTU9000,HMI , MODEM </t>
  </si>
  <si>
    <t>071</t>
  </si>
  <si>
    <t>6 Nos PUMP INTEKWELL AUTOMATION PANEL WITH RTU6000,MODEM,HMI,External DI Card</t>
  </si>
  <si>
    <t>072</t>
  </si>
  <si>
    <t>5 Nos PUMP AUTOMATION PANEL WITH RTU6000,MODEM,HMI,External DI Card</t>
  </si>
  <si>
    <t>073</t>
  </si>
  <si>
    <t>3 Nos PUMP INTEKWELL AUTOMATION PANEL WITH RTU6000,MODEM,HMI</t>
  </si>
  <si>
    <t>074</t>
  </si>
  <si>
    <t>9 Nos PUMP INTEKWELL AUTOMATION PANEL WITH RTU6000,MODEM,HMI,External DI Card</t>
  </si>
  <si>
    <t>075</t>
  </si>
  <si>
    <t>T W AUTOMATION SYS FOR PUMP PLANT 30 HP - Affcons+ SCL</t>
  </si>
  <si>
    <t>076</t>
  </si>
  <si>
    <t>GRID BASED TW AUTOMATION PANEL WITH RTU + HMI -7.5 HP</t>
  </si>
  <si>
    <t>077</t>
  </si>
  <si>
    <t>GRID BASED TW AUTOMATION PANEL WITH RTU + HMI -12.5 HP</t>
  </si>
  <si>
    <t>078</t>
  </si>
  <si>
    <t>GRID BASED TW AUTOMATION PANEL WITH RTU + HMI -17.5 HP</t>
  </si>
  <si>
    <t>079</t>
  </si>
  <si>
    <t>GRID BASED TW AUTOMATION PANEL WITH RTU + HMI -25 HP</t>
  </si>
  <si>
    <t>080</t>
  </si>
  <si>
    <t>iCL and iTU with panel</t>
  </si>
  <si>
    <t>081</t>
  </si>
  <si>
    <t>T W AUTOMATION PANEL WITH ONLY ACTUATOR VFD +RTU+HMI</t>
  </si>
  <si>
    <t>082</t>
  </si>
  <si>
    <t>Cable + Earthing+ Cable Tray + Nut  Bolt for ANPR Project</t>
  </si>
  <si>
    <t>083</t>
  </si>
  <si>
    <t>Automation panel  with  RTU and 30 hp Star delt and IPC-4158</t>
  </si>
  <si>
    <t>084</t>
  </si>
  <si>
    <t>Automation panel  with  RTU and 15hp Star delt and IPC-4159</t>
  </si>
  <si>
    <t>085</t>
  </si>
  <si>
    <t xml:space="preserve">GRID BASED TW AUTOMATION PANEL WITH RTU + HMI -3 HP </t>
  </si>
  <si>
    <t>086</t>
  </si>
  <si>
    <t>GRID BASED TW AUTOMATION PANEL WITH RTU + HMI -5 HP</t>
  </si>
  <si>
    <t>087</t>
  </si>
  <si>
    <t xml:space="preserve"> PANEL WITH SOLAR VFD &amp; W/O RTU- 15 HP</t>
  </si>
  <si>
    <t>088</t>
  </si>
  <si>
    <t xml:space="preserve"> PANEL WITH SOLAR VFD &amp; W/O RTU- 17.5 HP</t>
  </si>
  <si>
    <t>089</t>
  </si>
  <si>
    <t xml:space="preserve"> PANEL WITH SOLAR VFD &amp; W/O RTU- 25 HP</t>
  </si>
  <si>
    <t>090</t>
  </si>
  <si>
    <t>SOLAR LED WITH BATTERY+SOLAR PANEl+POLE +Accessoies</t>
  </si>
  <si>
    <t>091</t>
  </si>
  <si>
    <t>T W AUTOMATION SYS FOR PUMP PLANT 7.5HP - VFD+HMI+CABLE</t>
  </si>
  <si>
    <t>092</t>
  </si>
  <si>
    <t>SOLAR LED WITH BATTERY+SOLAR PANEl+POLE +Accessoies -for MUDRIKA</t>
  </si>
  <si>
    <t>093</t>
  </si>
  <si>
    <t>Cable-4158_A and 4159_A</t>
  </si>
  <si>
    <t>094</t>
  </si>
  <si>
    <t>095</t>
  </si>
  <si>
    <t>Combine Items for Automation of WTP Plant Bramhapuri include 6 Nos RTU, 6  Nos Automation Panel, Ultrasonic Level Sensor, PT, Sesnor With Transmitter (pH,CL &amp; TU), SCADA, PC , Printer, Cable &amp; UPS for Project -4161</t>
  </si>
  <si>
    <t>096</t>
  </si>
  <si>
    <t>AC 1.5 TON</t>
  </si>
  <si>
    <t>097</t>
  </si>
  <si>
    <t>EDGE RTU/Gateway  WITH 4G MODEM
RS 485:  1 Nos
Lan Port : 1 Nos
HDMI Port: 1 Nos
Certifications 
Communication Protocol: MQTT with TLS/DTLS/AES standards
OTA:Yes 
Remote Configuration: Yes</t>
  </si>
  <si>
    <t>098</t>
  </si>
  <si>
    <t>40 HP LT PANEL WITH 3 NOS STAR-DELTA STARTER,APR, RTU ,ENERGY METER &amp; MODEM</t>
  </si>
  <si>
    <t>099</t>
  </si>
  <si>
    <t xml:space="preserve"> MCS PC Intel Core i7, latest Generation or Higher , RAM 16 GB or Higher, DDR4, Expandable upto 32 GB, win 10 pro, USB keyboard and mouse.
LED, 21’’Non –Touch 
42" LED Monitor 43BM702</t>
  </si>
  <si>
    <t>100 AMP APR GRID BASED TW AUTOMATION PANEL WITH RTU + HMI+1 KVA UPS+ BATTERY -5 HP</t>
  </si>
  <si>
    <t>101 AMP APR GRID BASED TW AUTOMATION PANEL WITH RTU + HMI+1 KVA UPS+ BATTERY -7.5 HP</t>
  </si>
  <si>
    <t>102 AMP APR GRID BASED TW AUTOMATION PANEL WITH RTU + HMI+1 KVA UPS+ BATTERY -15 HP</t>
  </si>
  <si>
    <t>103 AMP APR GRID BASED TW AUTOMATION PANEL WITH RTU + HMI+1 KVA UPS+ BATTERY -17.5 HP</t>
  </si>
  <si>
    <t>104 AMP APR GRID BASED TW AUTOMATION PANEL WITH RTU + HMI+1 KVA UPS+ BATTERY -20 HP</t>
  </si>
  <si>
    <t>SOLAR LED WITH BATTERY+SOLAR PANEl+POLE +Accessoies For Afcon</t>
  </si>
  <si>
    <t>Supply, installation, testing and Commissioning of following RTU Spares for Two nos pump and one no three phase panel - I</t>
  </si>
  <si>
    <t>Supply, installation, testing and Commissioning of following RTU Spares for Two nos pump and one no three phase panel - II</t>
  </si>
  <si>
    <t>4167-  Ludhiana Division No-1 Flow Meter</t>
  </si>
  <si>
    <t>4167-  Ludhiana Division No-3 Flow Meter</t>
  </si>
  <si>
    <t>4167-  Div. No.-2 Ptk Flow Meter</t>
  </si>
  <si>
    <t>4167- S.B.S Nagar Flow Meter</t>
  </si>
  <si>
    <t>4167-  Pressure Transmitter</t>
  </si>
  <si>
    <t>4167-  Ludhiana Division No-1 Wafer type butter fly valve with actuator</t>
  </si>
  <si>
    <t>4167-  Ludhiana Division No-1  Soft starter based starter panel with RTU</t>
  </si>
  <si>
    <t>115</t>
  </si>
  <si>
    <t xml:space="preserve">4167-  Display units at District level </t>
  </si>
  <si>
    <t>116</t>
  </si>
  <si>
    <t>4167-  Ludhiana Division No-3  Soft starter based starter panel with RTU</t>
  </si>
  <si>
    <t>117</t>
  </si>
  <si>
    <t>4167- Div. No.-2 Ptk Soft starter based starter panel with RTU</t>
  </si>
  <si>
    <t>118</t>
  </si>
  <si>
    <t>4167-  Div. No.-2 PtkWafer type butter fly valve with actuator</t>
  </si>
  <si>
    <t>119</t>
  </si>
  <si>
    <t>4167-S.B.S Nagar Soft starter based starter panel with RTU</t>
  </si>
  <si>
    <t>120</t>
  </si>
  <si>
    <t>4167-  S.B.S Nagar Wafer type butter fly valve with actuator</t>
  </si>
  <si>
    <t>121</t>
  </si>
  <si>
    <t>4167-CCR Items</t>
  </si>
  <si>
    <t>122</t>
  </si>
  <si>
    <t>4167-  Computer server</t>
  </si>
  <si>
    <t>123</t>
  </si>
  <si>
    <t>4167-  Cable and accesories Lot-1</t>
  </si>
  <si>
    <t>124</t>
  </si>
  <si>
    <t>Combine Items for Automation of WTP Plant KAMPTEE include 3 Nos RTU, 3 Nos Automation Panel, Ultrasonic Level Sensor, PT, Sesnor With Transmitter (pH,CL &amp; TU), SCADA, PC , Printer, Cable &amp; UPS for Project -4171</t>
  </si>
  <si>
    <t>125</t>
  </si>
  <si>
    <t xml:space="preserve">PLC based  Automation Panel suitable for control and monitoring of 4Nos. Pumps,  4Nos. Energy Meter 02 No ULT, 30 Nos. PT,  Nos., 12 Nos. Priming motorised Valves, 12 Nos. air release SOV,52 Nos. Motorised valves , 18 Nos. EMF, 2 Nos. 50 HP VFD , 3 Nos. 25 HP VFD, 4G/5G Modem and 04 Nos. Magnetic Sensors, with 7" TS HMI with 3 KVA UPS Power back up for RTU Panel. Sankar Vihar PUmp House </t>
  </si>
  <si>
    <t>126</t>
  </si>
  <si>
    <t xml:space="preserve">PLC based  Automation Panel suitable for control and monitoring of 2 Nos. Pumps,  2 Nos. Energy Meter 02 No ULT, 23 Nos. PT, 4 Nos. Priming motorised Valves, 4 Nos. air release SOV,20 Nos. Motorised valves , 13 Nos. EMF, 1 Nos. 75 HP VFD , 3 Nos. 50 HP VFD, 4G/5G Modem and 02 Nos. Magnetic Sensors, with 7" TS HMI with 3 KVA UPS Power back up for RTU Panel. OLD VRC PUmp House </t>
  </si>
  <si>
    <t>127</t>
  </si>
  <si>
    <t xml:space="preserve">PLC based  Automation Panel suitable for control and monitoring of 5 Nos. Pumps,  5 Nos. Energy Meter 02 No ULT, 17 Nos. PT, 5 Nos. Priming motorised Valves, 5 Nos. air release SOV, 26 Nos. Motorised valves , 14 Nos. EMF, 1 Nos. 50 HP VFD , 4 Nos. 40 HP VFD, 4G/5G Modem and 02 Nos. Magnetic Sensors, with 7" TS HMI with 3 KVA UPS Power back up for RTU Panel. NEW VRC PUmp House </t>
  </si>
  <si>
    <t>128</t>
  </si>
  <si>
    <t>PLC based  Automation Panel suitable for control and monitoring of 3 Nos. Pumps,  3 Nos. Energy Meter 01 No ULT, 7 Nos. PT, 3 Nos. Priming motorised Valves, 3 Nos. air release SOV, 7 Nos. Motorised valves , 4 Nos. EMF, 3 Nos. 40 HP VFD, 4G/5G Modem and 02 Nos. Magnetic Sensors, with 7" TS HMI with 3 KVA UPS Power back up for RTU Panel. YOGINDER VIHAR PH PANEL</t>
  </si>
  <si>
    <t>129</t>
  </si>
  <si>
    <t>PLC based  Automation Panel suitable for control and monitoring of 3 Nos. Pumps,  3 Nos. Energy Meter 01 No ULT, 5 Nos. PT, 3 Nos. Priming motorised Valves, 3 Nos. air release SOV, 5 Nos. Motorised valves , 2 Nos. EMF, 3 Nos. 25 HP VFD, 4G/5G Modem and 02 Nos. Magnetic Sensors, with 7" TS HMI with 3 KVA UPS Power back up for RTU Panel. ANUJ VIHAR PH PANEL</t>
  </si>
  <si>
    <t>130</t>
  </si>
  <si>
    <t>PLC based  Automation Panel suitable for control and monitoring of  3 Nos. Energy Meter , 3 Nos. PT,  4G/5G Modem and 02 Nos. Magnetic Sensors, with 7" TS HMI with 3 KVA UPS Power back up for RTU Panel.VIKRAM VIHAR PH PANEL</t>
  </si>
  <si>
    <t>131</t>
  </si>
  <si>
    <t>PLC based  Automation Panel suitable for control and monitoring of 1 Nos. Motorised valves , 1 Nos. EMF,  4G/5G Modem and 02 Nos. Magnetic Sensors, with 7" TS HMI with 3 KVA UPS Power back up for RTU Panel. NODEL POINT-1 PANEL</t>
  </si>
  <si>
    <t>132</t>
  </si>
  <si>
    <t>4167-  Faridkot Flow Meter</t>
  </si>
  <si>
    <t>133</t>
  </si>
  <si>
    <t>4167-  Mansa-02 Flow Meter</t>
  </si>
  <si>
    <t>134</t>
  </si>
  <si>
    <t>4167-  Barnala Flow Meter</t>
  </si>
  <si>
    <t>135</t>
  </si>
  <si>
    <t>4167- Gurdaspur Div,-02 Flow Meter</t>
  </si>
  <si>
    <t>136</t>
  </si>
  <si>
    <t xml:space="preserve">4167- Sri Fatehgarh Sahib Flow Meter </t>
  </si>
  <si>
    <t>137</t>
  </si>
  <si>
    <t xml:space="preserve">4167-  Kapurthala Flow Meter </t>
  </si>
  <si>
    <t>138</t>
  </si>
  <si>
    <t xml:space="preserve">4167- Jalandhar Div,01 Flow Meter </t>
  </si>
  <si>
    <t>139</t>
  </si>
  <si>
    <t>4167- Faridkot  Wafer type butter fly valve with actuator</t>
  </si>
  <si>
    <t>140</t>
  </si>
  <si>
    <t>4167-  Mansa-02 Wafer type butter fly valve with actuator</t>
  </si>
  <si>
    <t>141</t>
  </si>
  <si>
    <t>4167-  Barnala Flow Wafer type butter fly valve with actuator</t>
  </si>
  <si>
    <t>142</t>
  </si>
  <si>
    <t>4167- Gurdaspur Div,-02 Wafer type butter fly valve with actuator</t>
  </si>
  <si>
    <t>143</t>
  </si>
  <si>
    <t>4167- Sri Fatehgarh Sahib Wafer type butter fly valve with actuator</t>
  </si>
  <si>
    <t>144</t>
  </si>
  <si>
    <t>4167-  Kapurthala Wafer type butter fly valve with actuator</t>
  </si>
  <si>
    <t>145</t>
  </si>
  <si>
    <t>4167- Jalandhar Div,01 Wafer type butter fly valve with actuator</t>
  </si>
  <si>
    <t>146</t>
  </si>
  <si>
    <t>4167-  Faridkot  Soft starter based starter panel with RTU</t>
  </si>
  <si>
    <t>147</t>
  </si>
  <si>
    <t>4167-  Mansa-02 Soft starter based starter panel with RTU</t>
  </si>
  <si>
    <t>148</t>
  </si>
  <si>
    <t>4167-  Barnala Flow Soft starter based starter panel with RTU</t>
  </si>
  <si>
    <t>149</t>
  </si>
  <si>
    <t>4167- Gurdaspur Div,-02 Soft starter based starter panel with RTU</t>
  </si>
  <si>
    <t>4167- Sri Fatehgarh Sahib Soft starter based starter panel with RTU</t>
  </si>
  <si>
    <t>151</t>
  </si>
  <si>
    <t>4167-  Kapurthala Soft starter based starter panel with RTU</t>
  </si>
  <si>
    <t>152</t>
  </si>
  <si>
    <t>4167- Jalandhar Div,01 Soft starter based starter panel with RTU</t>
  </si>
  <si>
    <t>153</t>
  </si>
  <si>
    <t>4167- Additional Pump Protection, Energy Sensor to Remote/Automated operation of Pumps operator (to be installed S &amp; S well and /or Boosting Station</t>
  </si>
  <si>
    <t>154</t>
  </si>
  <si>
    <t>4167- Flow Meter Div No-1 Sri Muktabir Sahib</t>
  </si>
  <si>
    <t>155</t>
  </si>
  <si>
    <t>4167- Flow Meter Div. No.2 Patiala</t>
  </si>
  <si>
    <t>156</t>
  </si>
  <si>
    <t>4167- Flow Meter Div No-1 Hoshiarpur</t>
  </si>
  <si>
    <t>157</t>
  </si>
  <si>
    <t>4167- Flow Meter Div No-2 Hoshiarpur</t>
  </si>
  <si>
    <t>158</t>
  </si>
  <si>
    <t>4167- Flow Meter Division No.2 Amritsar</t>
  </si>
  <si>
    <t>159</t>
  </si>
  <si>
    <t>4167- Flow Meter Div No.1, Patiala</t>
  </si>
  <si>
    <t>160</t>
  </si>
  <si>
    <t>4167- Flow Meter Fazilka</t>
  </si>
  <si>
    <t>4167- Flow Meter Fzr At Zira</t>
  </si>
  <si>
    <t>4167- Flow Meter Malerkotla</t>
  </si>
  <si>
    <t>163</t>
  </si>
  <si>
    <t>4167- Flow Meter Sangrur</t>
  </si>
  <si>
    <t>164</t>
  </si>
  <si>
    <t>4167- Flow Meter No.2, Tarn Taran</t>
  </si>
  <si>
    <t>165</t>
  </si>
  <si>
    <t xml:space="preserve">4167- Flow Meter SAS Nagar  </t>
  </si>
  <si>
    <t>166</t>
  </si>
  <si>
    <t>4167- Flow Meter Ropar</t>
  </si>
  <si>
    <t>167</t>
  </si>
  <si>
    <t>4167-  Wafer type butter fly valve with actuator Div No-1 Sri Muktabir Sahib</t>
  </si>
  <si>
    <t>168</t>
  </si>
  <si>
    <t>4167-  Wafer type butter fly valve with actuator Div. No.2 Patiala</t>
  </si>
  <si>
    <t>169</t>
  </si>
  <si>
    <t>4167-  Wafer type butter fly valve with actuator Div No-1 Hoshiarpur</t>
  </si>
  <si>
    <t>170</t>
  </si>
  <si>
    <t>4167-  Wafer type butter fly valve with actuator Div No-2 Hoshiarpur</t>
  </si>
  <si>
    <t>171</t>
  </si>
  <si>
    <t>4167-  Wafer type butter fly valve with actuator Division No.2 Amritsar</t>
  </si>
  <si>
    <t>172</t>
  </si>
  <si>
    <t>4167-  Wafer type butter fly valve with actuator Div No.1, Patiala</t>
  </si>
  <si>
    <t>173</t>
  </si>
  <si>
    <t>4167-  Wafer type butter fly valve with actuator Fazilka</t>
  </si>
  <si>
    <t>174</t>
  </si>
  <si>
    <t>4167-  Wafer type butter fly valve with actuator Fzr At Zira</t>
  </si>
  <si>
    <t>175</t>
  </si>
  <si>
    <t>4167-  Wafer type butter fly valve with actuator Malerkotla</t>
  </si>
  <si>
    <t>176</t>
  </si>
  <si>
    <t>4167-  Wafer type butter fly valve with actuator Sangrur</t>
  </si>
  <si>
    <t>177</t>
  </si>
  <si>
    <t>4167-  Wafer type butter fly valve with actuator  No.2, Tarn Taran</t>
  </si>
  <si>
    <t>178</t>
  </si>
  <si>
    <t xml:space="preserve">4167-  Wafer type butter fly valve with actuator SAS Nagar  </t>
  </si>
  <si>
    <t>179</t>
  </si>
  <si>
    <t>4167-  Wafer type butter fly valve with actuator Ropar</t>
  </si>
  <si>
    <t>180</t>
  </si>
  <si>
    <t>4167-  Soft starter based starter panel with RTU Div No-1 Sri Muktabir Sahib</t>
  </si>
  <si>
    <t>181</t>
  </si>
  <si>
    <t>4167-  Soft starter based starter panel with RTU  Div. No.2 Patiala</t>
  </si>
  <si>
    <t>182</t>
  </si>
  <si>
    <t>4167-  Soft starter based starter panel with RTU  Div No-1 Hoshiarpur</t>
  </si>
  <si>
    <t>183</t>
  </si>
  <si>
    <t>4167-  Soft starter based starter panel with RTU  Div No-2 Hoshiarpur</t>
  </si>
  <si>
    <t>184</t>
  </si>
  <si>
    <t>4167-  Soft starter based starter panel with RTU  Division No.2 Amritsar</t>
  </si>
  <si>
    <t>185</t>
  </si>
  <si>
    <t>4167-  Soft starter based starter panel with RTU  Div No.1, Patiala</t>
  </si>
  <si>
    <t>186</t>
  </si>
  <si>
    <t>4167-  Soft starter based starter panel with RTU  Fazilka</t>
  </si>
  <si>
    <t>187</t>
  </si>
  <si>
    <t>4167-  Soft starter based starter panel with RTU  Fzr At Zira</t>
  </si>
  <si>
    <t>188</t>
  </si>
  <si>
    <t>4167-  Soft starter based starter panel with RTU  Malerkotla</t>
  </si>
  <si>
    <t>189</t>
  </si>
  <si>
    <t>4167-  Soft starter based starter panel with RTU  Sangrur</t>
  </si>
  <si>
    <t>190</t>
  </si>
  <si>
    <t>4167-  Soft starter based starter panel with RTU  No.2, Tarn Taran</t>
  </si>
  <si>
    <t>191</t>
  </si>
  <si>
    <t xml:space="preserve">4167-  Soft starter based starter panel with RTU  SAS Nagar  </t>
  </si>
  <si>
    <t>192</t>
  </si>
  <si>
    <t>4167-  Soft starter based starter panel with RTU  Ropar</t>
  </si>
  <si>
    <t>193</t>
  </si>
  <si>
    <t>4167-  Kapurthala Flow Meter</t>
  </si>
  <si>
    <t>194</t>
  </si>
  <si>
    <t>195</t>
  </si>
  <si>
    <t>4167- Kapurthala  Soft starter based starter panel with RTU</t>
  </si>
  <si>
    <t>196</t>
  </si>
  <si>
    <t>4167-  SBS NAGAR Flow Meter</t>
  </si>
  <si>
    <t>197</t>
  </si>
  <si>
    <t>4167- SBS NAGAR Wafer type butter fly valve with actuator</t>
  </si>
  <si>
    <t>198</t>
  </si>
  <si>
    <t>4167- SBS NAGAR  Soft starter based starter panel with RTU</t>
  </si>
  <si>
    <t>199</t>
  </si>
  <si>
    <t>4185- Rishbh contractor</t>
  </si>
  <si>
    <t>200</t>
  </si>
  <si>
    <t>RTU with Panel and UPS compatible (4173 WTP panel)</t>
  </si>
  <si>
    <t>IT Items For Project 4139-  (PC+ Monitore+ UPS+ Printer)</t>
  </si>
  <si>
    <t xml:space="preserve">4189- Solar Materails </t>
  </si>
  <si>
    <t>4189- Installation Materils :Saddle, Connduite Pie,Cable Etc</t>
  </si>
  <si>
    <t>4191- Automation Panel - RTU + HMI+ I/O Card</t>
  </si>
  <si>
    <t>4191- Cable +Earthing</t>
  </si>
  <si>
    <t xml:space="preserve">4191- Chlorine +Acylic Panel </t>
  </si>
  <si>
    <t>Split AC 1.5 Ton (air conditioner)</t>
  </si>
  <si>
    <t>208</t>
  </si>
  <si>
    <t>Hansford Vibration Sensor Cable With 4-Pin M12 Connector and 10 Mtr length</t>
  </si>
  <si>
    <t>209</t>
  </si>
  <si>
    <t xml:space="preserve">8163- RTU SCADA Panel </t>
  </si>
  <si>
    <t>210</t>
  </si>
  <si>
    <t>4203- Intake well</t>
  </si>
  <si>
    <t>211</t>
  </si>
  <si>
    <t>4203-PLC for CWPH</t>
  </si>
  <si>
    <t>212</t>
  </si>
  <si>
    <t>4203-PLC for Filter House-1</t>
  </si>
  <si>
    <t>213</t>
  </si>
  <si>
    <t>4203-PLC Panel  Filterl House-2</t>
  </si>
  <si>
    <t>214</t>
  </si>
  <si>
    <t>4203-PLC Panel  Filterl House-3</t>
  </si>
  <si>
    <t>215</t>
  </si>
  <si>
    <t>4203-PLC Panel Filterl House-4</t>
  </si>
  <si>
    <t>216</t>
  </si>
  <si>
    <t>4203-PLC for chemical house</t>
  </si>
  <si>
    <t>217</t>
  </si>
  <si>
    <t>4203-PLC for chlorination</t>
  </si>
  <si>
    <t>218</t>
  </si>
  <si>
    <t>4203- PLC for DG set</t>
  </si>
  <si>
    <t>219</t>
  </si>
  <si>
    <t>4197- Devash Automation Panel With HMI,MFM &amp;n ACTUATOR</t>
  </si>
  <si>
    <t>220</t>
  </si>
  <si>
    <t>Schneider PLC - DI-32,DO-16,AI-5(4-20 mA)</t>
  </si>
  <si>
    <t>221</t>
  </si>
  <si>
    <t>Schneider PLC  DI=42,DO=18, AI=7(4-20 mA)</t>
  </si>
  <si>
    <t>222</t>
  </si>
  <si>
    <t>Schneider PLC  DI=33,DO=15, AI=4(4-20 mA)</t>
  </si>
  <si>
    <t>223</t>
  </si>
  <si>
    <t>Schneider PLC , DI=25,DO=9, AI=1(4-20 mA)</t>
  </si>
  <si>
    <t>224</t>
  </si>
  <si>
    <t>Schneider PLC , DI=47,DO=24, AI=4(4-20 mA)</t>
  </si>
  <si>
    <t>226</t>
  </si>
  <si>
    <t>Local Display Unit (LDU) for RTU/Data logger</t>
  </si>
  <si>
    <t>227</t>
  </si>
  <si>
    <t>Outdoor Display Board Unit (ODBU)</t>
  </si>
  <si>
    <t>228</t>
  </si>
  <si>
    <t xml:space="preserve">Acoustic Doppler Current Profiler (ADCP) having velocity profiling range 0.4 to 40 Meters with compatible DGPS </t>
  </si>
  <si>
    <t>229</t>
  </si>
  <si>
    <t xml:space="preserve">2.4 GHz Telemetry / External Power / SonTek DGNSS Multi-constellation Module for remote data </t>
  </si>
  <si>
    <t>230</t>
  </si>
  <si>
    <t>SonTek Hydroboard II-Max for RiverSurveyor S5 and M9 systems, 51-in (130-cm) length, 16.4 ft/s (5.0 m/s) maximum velocity.</t>
  </si>
  <si>
    <t>231</t>
  </si>
  <si>
    <t>SonTek Hydroboard II-Max soft carrying case</t>
  </si>
  <si>
    <t>232</t>
  </si>
  <si>
    <t>Rechargeable NiMH AA batteries, package of (16)</t>
  </si>
  <si>
    <t>233</t>
  </si>
  <si>
    <t xml:space="preserve">ADCP 0-6m with DGPS and all accessories
RS5 portable five-beam 3.0 MHz acoustic Doppler current profiling/discharge measurement system </t>
  </si>
  <si>
    <t>234</t>
  </si>
  <si>
    <t>Battery charger, 16 position, for AA NiMH batteries</t>
  </si>
  <si>
    <t>235</t>
  </si>
  <si>
    <t>10-m power &amp; RS232 serial communications cable, compact 8-pin male wet-pluggable to 9-pin D-sub</t>
  </si>
  <si>
    <t>236</t>
  </si>
  <si>
    <t>Supply of PLC/RTU system with software development of PLC/RTU</t>
  </si>
  <si>
    <t>237</t>
  </si>
  <si>
    <t>Supply of Shaft Encoder based rotary position sensor with local digital Display</t>
  </si>
  <si>
    <t>238</t>
  </si>
  <si>
    <t xml:space="preserve">Supply of 3 Phase VFD Starter panel for each motor of BARRAGE </t>
  </si>
  <si>
    <t>239</t>
  </si>
  <si>
    <t>Supply of Data logger/RTU with 2 channel input type with GPRS/GSM based telemetry &amp; enclosure</t>
  </si>
  <si>
    <t>240</t>
  </si>
  <si>
    <t>Supply of Main PLC Controller system with firm ware</t>
  </si>
  <si>
    <t>241</t>
  </si>
  <si>
    <t xml:space="preserve">Supply of IT Hardware, which includes required Static IP,
Router with modem, Switch, firewall system and A3 / A4 color printer </t>
  </si>
  <si>
    <t>242</t>
  </si>
  <si>
    <t>SITC of SCADA Automation System -RK Order</t>
  </si>
  <si>
    <t>243</t>
  </si>
  <si>
    <t>4136-A Afcons T W AUTOMATION SYS FOR PUMP PLANT 10HP</t>
  </si>
  <si>
    <t>244</t>
  </si>
  <si>
    <t>4136-A Afcons T W AUTOMATION SYS FOR PUMP PLANT 12.5HP</t>
  </si>
  <si>
    <t>245</t>
  </si>
  <si>
    <t>4136-A Afcons T W AUTOMATION SYS FOR PUMP PLANT 15HP</t>
  </si>
  <si>
    <t>246</t>
  </si>
  <si>
    <t>4136-A Afcons T W AUTOMATION SYS FOR PUMP PLANT 17.5HP</t>
  </si>
  <si>
    <t>247</t>
  </si>
  <si>
    <t>4205 PH &amp; Conductivity sensor with transmitter each one at Outlet of Raw water tank</t>
  </si>
  <si>
    <t>248</t>
  </si>
  <si>
    <t>4205CIMCON make flowchart programmable RTU 6000 with suitable enclosure. DI=40, DO=16, AI=8 (4-20 mA), with keyboard, display, ARM 7 processor, with SD card socket, battery backup, DI # 16 - power fail. GSM Based Remote Terminal Units with Analog and Digital parameter and features as specified to store and transmit data on GSM as Backbone to control room.</t>
  </si>
  <si>
    <t>249</t>
  </si>
  <si>
    <t>4200- CIMCON make automation panel and actuator comprises of following components. Intakewell</t>
  </si>
  <si>
    <t>250</t>
  </si>
  <si>
    <t>4200-CIMCON make automation panel and actuator comprises of following components. CWR1 Pump House</t>
  </si>
  <si>
    <t>251</t>
  </si>
  <si>
    <t>4200-CIMCON make automation panel and actuator comprises of following components. CWR2 Pump House</t>
  </si>
  <si>
    <t>252</t>
  </si>
  <si>
    <t>UP JJM Server with Below Specfication:
16 GB RAM (expandable to 32 GB)
512 GB SSD
Windows Server OS 2019 or higher
MSSQL 2015 or higher
Xeon processor</t>
  </si>
  <si>
    <t>253</t>
  </si>
  <si>
    <t>4200-Supply of CIMCON make butterfly valve with single phase actuators, size 100 mm (4 Nos) &amp;
125 mm (4 Nos), PN -1.6</t>
  </si>
  <si>
    <t>254</t>
  </si>
  <si>
    <t>4200-Supply of CIMCON make butterfly valve with single phase actuators, size 100 mm (6 Nos) &amp;
125 mm (2 Nos), PN -1.6</t>
  </si>
  <si>
    <t>Anutech-Solar Based Tubewell without PUMP VFD - Combined Panel (Automation Panel, Actuator Panel with ControlPanel )</t>
  </si>
  <si>
    <t>TUBEWELL Panel HSC</t>
  </si>
  <si>
    <t>TW WITH 15 KW SOFT STARTER, APR AND 3 NOS. ACT PANEL</t>
  </si>
  <si>
    <t>ZPS PANEL WITH 3 NOS. 42 KW SOFT STARTER, APR AND 4 NOS. ACT. PANEL</t>
  </si>
  <si>
    <t>ZPS PANEL WITH 3 NOS. 22 KW SOFT STARTER, APR AND 4 NOS. ACT. PANEL</t>
  </si>
  <si>
    <t>ZPS PANEL WITH 3 NOS. 15 KW SOFT STARTER, APR AND 3 NOS. ACT. PANEL</t>
  </si>
  <si>
    <t>PLC PANEL-3 FOR SOUTH ZOE</t>
  </si>
  <si>
    <t>PLC PANEL-4 FOR SOUTH ZOE</t>
  </si>
  <si>
    <t>PLC PANEL-5 FOR SOUTH ZOE</t>
  </si>
  <si>
    <t>MIMIC+ PLC CONTROL PANEL-1</t>
  </si>
  <si>
    <t>MIMIC+ PLC CONTROL PANEL-2</t>
  </si>
  <si>
    <t>6 CHANNEL PSU PANEL</t>
  </si>
  <si>
    <t>8 CHANNEL PSU PANEL</t>
  </si>
  <si>
    <t>RTU PANEL with 16 EM for TCL</t>
  </si>
  <si>
    <t>Energymeter Panel</t>
  </si>
  <si>
    <t>WOODEN BOX EXPORT QUALITY</t>
  </si>
  <si>
    <t>ZPS PANEL WITH 3 NOS. 62 KW SOFT STARTER, APR AND 5 NOS. ACT. PANEL</t>
  </si>
  <si>
    <t xml:space="preserve">Sankar Vihar VFD Panel-1 with 03 nos. 25HP VFD starter, 03 nos. MFM, </t>
  </si>
  <si>
    <t xml:space="preserve">Sankar Vihar VFD Panel-2 with 02 nos. 50HP VFD starter, 02 nos. MFM, </t>
  </si>
  <si>
    <t>OLD VRC VFD panel-1 with VFD 50HP rating , 02 nos. + multifunction meter 02 nos.</t>
  </si>
  <si>
    <t>OLD VRC VFD panel-2 with VFD 50HP rating , 01 nos. &amp; 75HP 01 Nos. + multifunction meter 02 nos.</t>
  </si>
  <si>
    <t>NEW VRC VFD panel-1 with VFD 40HP rating, 03 nos., + multifunction meter 03 nos.</t>
  </si>
  <si>
    <t>NEW VRC VFD panel-2 with VFD 40HP rating, 01 nos &amp; 50HP 01nos. + multifunction meter 02 nos.</t>
  </si>
  <si>
    <t>Yoginder Vihar VFD panel-1 with VFD 40HP rating 03 nos., + multifunction meter 03 nos.</t>
  </si>
  <si>
    <t xml:space="preserve">Anuj Vihar VFD Panel-1 with 03 nos. 25HP VFD starter, 03 nos. MFM, </t>
  </si>
  <si>
    <t xml:space="preserve">Nodal Point 1 additional area level monitoring  Panel with 01 nos. SMPS, 01 nos. Process indicator and 1 nos Wiman Modem. </t>
  </si>
  <si>
    <t xml:space="preserve">WTP Filter Bed panel , RTU with 3 phase valve operation for 3 nos. and 5 nos. provision. </t>
  </si>
  <si>
    <t>COMMISSSIONING SPARE FOR SOLAR SALT RTU  Panel System 
(1) ULT (0-10Mtr)-01 Nos, (2) PT 0-16 Bar -05 nos. (3) EM- 8 Nos. (4) Copper cable  2C, 6C and 10 c x 1.5,  sq mm  etc. (Lot)</t>
  </si>
  <si>
    <t>RTU 9000 Panel Complete Set</t>
  </si>
  <si>
    <t>ADDITIONAL MATERIAL</t>
  </si>
  <si>
    <t>TRIFOLITE TAG</t>
  </si>
  <si>
    <t>SHORT LINKS</t>
  </si>
  <si>
    <t>8 RELAY OUTPUT MODULE</t>
  </si>
  <si>
    <t>16 RELAY OUTPUT MODULE</t>
  </si>
  <si>
    <t>24 CHANEL MIX MODULE</t>
  </si>
  <si>
    <t>8 CHANEL DIGITAL INPUT</t>
  </si>
  <si>
    <t>220 V AC COIL FOR SCHNEIDER CONTACTOR</t>
  </si>
  <si>
    <t>EXTENDED ROTARY HANDEL FOR MCCB</t>
  </si>
  <si>
    <t>FX3U-32BL BATTERY</t>
  </si>
  <si>
    <t>O RING 67X7</t>
  </si>
  <si>
    <t>FX5-4AD-ADP-BS</t>
  </si>
  <si>
    <t>SW1DNDING-GXW3-E PLC SOFTWARE</t>
  </si>
  <si>
    <t>Hardware Accessories (Flange, Nut, Volt, Washer, Anchor fastner,&amp; Gasket)</t>
  </si>
  <si>
    <t>GI Accessories 1" , 1/2" , 3/4' Nipple, 1", 1/2", 3/4" Elbow, 1", 1/2", 3/4" Tee, 1",1/2",3/4" Union, Hex nipple, Bush etc.)</t>
  </si>
  <si>
    <t>Cost of Installation, Armoured power cable, Motor and controliing Flexible Cable with required accessories Gland, tray, pipes &amp; integration of actuators, Flow meters and Other instruments</t>
  </si>
  <si>
    <t>SC simplex coupler adapter (Fiber accessories)</t>
  </si>
  <si>
    <t>Adapter panel complete (Fiber Accessories)</t>
  </si>
  <si>
    <t xml:space="preserve">RD6018W Dc power supply Variable adjustable module </t>
  </si>
  <si>
    <t>40W SOLAR PLATE</t>
  </si>
  <si>
    <t>80W SOLAR PLATE</t>
  </si>
  <si>
    <t>100 W SOLAR PLATE WITH 12V/40 AH BATTERY</t>
  </si>
  <si>
    <t>Solar charger 10A @12V/24V</t>
  </si>
  <si>
    <t>SODIYAM HYPO CHLORIDE</t>
  </si>
  <si>
    <t>DISTILLED WATER</t>
  </si>
  <si>
    <t>MAGNETIC STIRRER WITH HOT PLATE 2 LTR</t>
  </si>
  <si>
    <t>MAGNETIC PTFE</t>
  </si>
  <si>
    <t>GRAD.PIPETTE 10 ML LALCO</t>
  </si>
  <si>
    <t>CONICAL 250 ML</t>
  </si>
  <si>
    <t>CONICAL 500 ML</t>
  </si>
  <si>
    <t>CONICAL 1000 ML</t>
  </si>
  <si>
    <t>BEAKER 500 ML LALCO</t>
  </si>
  <si>
    <t>BEAKER 1000 ML LALCO</t>
  </si>
  <si>
    <t>SENSOR TESTING ADOPTER</t>
  </si>
  <si>
    <t>4000 NTU SOLUTION STANDARD</t>
  </si>
  <si>
    <t xml:space="preserve">RO WATER PUMP WITH + PU WHITE PIPE </t>
  </si>
  <si>
    <t>PREELAM BOARD</t>
  </si>
  <si>
    <t>TROLLY FOR SENSOR TESTING WITH STAND AND TRNASPORTATION</t>
  </si>
  <si>
    <t xml:space="preserve">Chakker Plate Fabrication and installation </t>
  </si>
  <si>
    <t>ALUMINUM FABRICATED LADDER FOR ADVM SENSOR</t>
  </si>
  <si>
    <t>DAM GATE  DESIGN FABRICATION STRUCTURE</t>
  </si>
  <si>
    <t xml:space="preserve">PREFABRICATED CABIN SIZE 6 X 6 X 8 FT </t>
  </si>
  <si>
    <t>FABRICATE ROUND MS PLATE FOR CAMERA JB</t>
  </si>
  <si>
    <t xml:space="preserve">PROCESS INDICATOR </t>
  </si>
  <si>
    <t>PIC-38</t>
  </si>
  <si>
    <t>AC to DC transducer</t>
  </si>
  <si>
    <t>AIR TEMP,WIND SPEED,SOLAR RADIATION,RAIN GAUGE,AIR PRESSURE -SENSOR</t>
  </si>
  <si>
    <t>SOLID SHAFT ENCODER</t>
  </si>
  <si>
    <t>WEIGING SCALE 100 kG X10 GM SIZE 500 X 500 MM</t>
  </si>
  <si>
    <t>ADVM SENSOR- 20 M - SL1500</t>
  </si>
  <si>
    <t>ADVM SENSOR  - 20 -120 M - SL500</t>
  </si>
  <si>
    <t>EMI FILTER component, 20Amp rating</t>
  </si>
  <si>
    <t>6 amp</t>
  </si>
  <si>
    <t>10 Amp</t>
  </si>
  <si>
    <t>12 Amp Single Phase Stabilizer</t>
  </si>
  <si>
    <t>350VA</t>
  </si>
  <si>
    <t>750VA</t>
  </si>
  <si>
    <t>1kva</t>
  </si>
  <si>
    <t>2KVA</t>
  </si>
  <si>
    <t>300VA</t>
  </si>
  <si>
    <t>1.5 sqmm2 core+1.5sqmm 4core+1.5sqmm 10core+1'Conduit Pipe+1.5"Conduit Pipe +relay+lugs</t>
  </si>
  <si>
    <t xml:space="preserve">1 Sq.mm 2C+ 1.5 Sq.mm 3C+ 4Cx 4 Sq.mm+1Sq.mm 5C and 1 Sq.mm 7 C cable </t>
  </si>
  <si>
    <t xml:space="preserve">12V/150 Ah Battery  </t>
  </si>
  <si>
    <t xml:space="preserve">1 KVA Solar Inveter </t>
  </si>
  <si>
    <t xml:space="preserve">2 KVA Solar Inveter </t>
  </si>
  <si>
    <t>KIT KAT 100amp</t>
  </si>
  <si>
    <t>KIT KAT 200 amp</t>
  </si>
  <si>
    <t>KIT KAT  250 amp</t>
  </si>
  <si>
    <t>KIT KAT  300 amp</t>
  </si>
  <si>
    <t>KIT KAT  400 amp</t>
  </si>
  <si>
    <t>KIT KAT  500 amp</t>
  </si>
  <si>
    <t>8 meter +2corex1.5 sqmm cable</t>
  </si>
  <si>
    <t>INTEL XEON Processor / Latest,DDR4 DIMMs at up to 2400 MT/s 12 DIMM: 128 GB, 4*1.2TB Raid , rack mounting</t>
  </si>
  <si>
    <t>Blank Lables</t>
  </si>
  <si>
    <t>ISLC Lable</t>
  </si>
  <si>
    <t>CIMCON LABLE STICKER</t>
  </si>
  <si>
    <t>HYDRO STATIC PRESSURE TRANSMITTER</t>
  </si>
  <si>
    <t>RADAR LEVEL TRANSMITTER  CIMCON MAKE</t>
  </si>
  <si>
    <t>Resin Ribbon</t>
  </si>
  <si>
    <t>ACRYLIC 2400MM*1200MM</t>
  </si>
  <si>
    <t>BOX FILE</t>
  </si>
  <si>
    <t>ROOM FRESHNER</t>
  </si>
  <si>
    <t>PAPER CUTTER BIG 18 MM</t>
  </si>
  <si>
    <t>CD COVER</t>
  </si>
  <si>
    <t>CELLOTAPE DISPENSER B</t>
  </si>
  <si>
    <t>ARTLINE PRINT MARKER</t>
  </si>
  <si>
    <t>A4 PRINT PAPER 70 GSM</t>
  </si>
  <si>
    <t>10 mm</t>
  </si>
  <si>
    <t>20 mm</t>
  </si>
  <si>
    <t>25 mm</t>
  </si>
  <si>
    <t>20 MM</t>
  </si>
  <si>
    <t>MMT, Size 325*260*180</t>
  </si>
  <si>
    <t>Armoure packing 80*80*20 mm</t>
  </si>
  <si>
    <t>UNPRINTED PLY BOX 605*385*300</t>
  </si>
  <si>
    <t>585*360 MM PLATE</t>
  </si>
  <si>
    <t>WOODEN BOX 20*18*16</t>
  </si>
  <si>
    <t>WOODEN BOX 19*14*14</t>
  </si>
  <si>
    <t>WOODEN BOX 18*13*23</t>
  </si>
  <si>
    <t xml:space="preserve">PLY BOX 500*310*230 MM </t>
  </si>
  <si>
    <t xml:space="preserve"> DOWSIL RTV SEALANT</t>
  </si>
  <si>
    <t>STRETCH FILM 12 "</t>
  </si>
  <si>
    <t>BUBBLE ROLE</t>
  </si>
  <si>
    <t>CELLOTAPE 1" 65 MTR</t>
  </si>
  <si>
    <t>0 to 10 kg/Sq cm</t>
  </si>
  <si>
    <t>500 to 5000 Hz</t>
  </si>
  <si>
    <t>Range 1000 mm of wc</t>
  </si>
  <si>
    <t>depth upto 39 m</t>
  </si>
  <si>
    <t>DAS 48 channel</t>
  </si>
  <si>
    <t>Expansion module</t>
  </si>
  <si>
    <t>sub_category_code</t>
  </si>
  <si>
    <t>sub_category_name</t>
  </si>
  <si>
    <t>TOUCH SCREEN</t>
  </si>
  <si>
    <t>KEYBOARD AND DISPLAY</t>
  </si>
  <si>
    <t xml:space="preserve">TOUCH SCREEN AND KEYBOARD </t>
  </si>
  <si>
    <t>SMART TYPE</t>
  </si>
  <si>
    <t>STANDARD (4-20 mA)</t>
  </si>
  <si>
    <t>HART TYPE</t>
  </si>
  <si>
    <t>ONLINE</t>
  </si>
  <si>
    <t>OFFLINE</t>
  </si>
  <si>
    <t xml:space="preserve">BATTERY STAND </t>
  </si>
  <si>
    <t>DG SET</t>
  </si>
  <si>
    <t>STABILIZER</t>
  </si>
  <si>
    <t>UPS ACCESSORRIES</t>
  </si>
  <si>
    <t>ALUMINIUM ARMORED</t>
  </si>
  <si>
    <t>1100 V, XLPE INSULATED COPPER ARMORED</t>
  </si>
  <si>
    <t>FLEXIBLE</t>
  </si>
  <si>
    <t>WIRE</t>
  </si>
  <si>
    <t>FLAT CABLE (MOTOR)</t>
  </si>
  <si>
    <t>INSTRUMENTATION ARMORED</t>
  </si>
  <si>
    <t>OFC</t>
  </si>
  <si>
    <t>SHIELDED ARMORED</t>
  </si>
  <si>
    <t>SHIELDED  BRAIDED FLEXIBLE</t>
  </si>
  <si>
    <t>DC CABLE</t>
  </si>
  <si>
    <t>3+1 copper coaxial Cable -CCTV</t>
  </si>
  <si>
    <t>cable Set</t>
  </si>
  <si>
    <t xml:space="preserve">Ethernet Cable </t>
  </si>
  <si>
    <t>DIAL TYPE  ANALOG 4 "</t>
  </si>
  <si>
    <t>DIAL TYPE  ANALOG 6 "</t>
  </si>
  <si>
    <t>DIGITAL</t>
  </si>
  <si>
    <t>REMOTE TYPE</t>
  </si>
  <si>
    <t>INTEGRAL TYPE</t>
  </si>
  <si>
    <t>BATTERY OPERATED</t>
  </si>
  <si>
    <t xml:space="preserve">FULL BORE </t>
  </si>
  <si>
    <t>FLOW METER SPARE PARTS</t>
  </si>
  <si>
    <t>Digital Water Meter</t>
  </si>
  <si>
    <t>Mechanical Flow Meter</t>
  </si>
  <si>
    <t>Flow Meter Dispaly</t>
  </si>
  <si>
    <t xml:space="preserve">Insertion type </t>
  </si>
  <si>
    <t>FLOAT TYPE LEVEL SWITCH</t>
  </si>
  <si>
    <t>ULTRASONIC LEVEL TRANSMITTER</t>
  </si>
  <si>
    <t>CAPACITANCE LEVEL TRANSMITTER</t>
  </si>
  <si>
    <t>HYDROSTATIC LEVEL TRANSMITTER</t>
  </si>
  <si>
    <t>BATTERY OPERATED ULTRASONIC</t>
  </si>
  <si>
    <t>LOH (LOSS OF HEAD)</t>
  </si>
  <si>
    <t>ROF (RATE OF FLOW)</t>
  </si>
  <si>
    <t>CLT</t>
  </si>
  <si>
    <t>CHLORINE SENSOR &amp; TRANSMITTER</t>
  </si>
  <si>
    <t>TUT</t>
  </si>
  <si>
    <t>TUBIDITY SENSOR &amp; TRANSMITTER</t>
  </si>
  <si>
    <t>PHT</t>
  </si>
  <si>
    <t>PH SENSOR &amp; TRANSMIEET</t>
  </si>
  <si>
    <t>CHLORINE DOSER</t>
  </si>
  <si>
    <t>CLS</t>
  </si>
  <si>
    <t xml:space="preserve">CHLORINE SENSOR </t>
  </si>
  <si>
    <t>TUS</t>
  </si>
  <si>
    <t xml:space="preserve">TUBIDITY SENSOR </t>
  </si>
  <si>
    <t>PHS</t>
  </si>
  <si>
    <t xml:space="preserve">PH SENSOR </t>
  </si>
  <si>
    <t>CDO</t>
  </si>
  <si>
    <t>CTA</t>
  </si>
  <si>
    <t>CHLORINE &amp; Turbidity SENSOR &amp; TRANSMITTER</t>
  </si>
  <si>
    <t>FLC</t>
  </si>
  <si>
    <t>Flow Cell</t>
  </si>
  <si>
    <t>CT</t>
  </si>
  <si>
    <t>COMBINE CHLORINE DOSER (EDOSE) +TANK</t>
  </si>
  <si>
    <t>CNT</t>
  </si>
  <si>
    <t>Conductivity Sensor &amp; Transmitter</t>
  </si>
  <si>
    <t>COMBINE CODE FOR CHLORINE DOSER +TANK+ CABLE</t>
  </si>
  <si>
    <t>COMBINE CHLORINE DOSER(VERITO) +TANK</t>
  </si>
  <si>
    <t>pH sensor with built in Transmitter</t>
  </si>
  <si>
    <t>Total Dissolved Solids</t>
  </si>
  <si>
    <t>MP</t>
  </si>
  <si>
    <t xml:space="preserve">Multi parameter Transmitter </t>
  </si>
  <si>
    <t>CHLORINE</t>
  </si>
  <si>
    <t xml:space="preserve">ORP SENSOR </t>
  </si>
  <si>
    <t>Dissolved Oxygen (DO )SENSOR</t>
  </si>
  <si>
    <t>CABLE TIE</t>
  </si>
  <si>
    <t xml:space="preserve">LUGS/HTcable termination kit </t>
  </si>
  <si>
    <t>TERMINAL BLOCKS</t>
  </si>
  <si>
    <t>GLAND</t>
  </si>
  <si>
    <t>FERRULES</t>
  </si>
  <si>
    <t>DIN RAIL</t>
  </si>
  <si>
    <t>SPIRAL</t>
  </si>
  <si>
    <t>INSULATION TAPES</t>
  </si>
  <si>
    <t>Wooden screw</t>
  </si>
  <si>
    <t>Roll Plug</t>
  </si>
  <si>
    <t>ANCHOR FASTNER</t>
  </si>
  <si>
    <t>SADDLE</t>
  </si>
  <si>
    <t>PVC Conduit Pipe</t>
  </si>
  <si>
    <t>Metal Flexible Pipe</t>
  </si>
  <si>
    <t>PVC Tee/BAND</t>
  </si>
  <si>
    <t>CABLE TRAY</t>
  </si>
  <si>
    <t>HDPE PIPE</t>
  </si>
  <si>
    <t>PVC Flexible Pipe</t>
  </si>
  <si>
    <t>POWER EXTENSION BOARD</t>
  </si>
  <si>
    <t>CREDAL</t>
  </si>
  <si>
    <t>EARTHING</t>
  </si>
  <si>
    <t>SOLAR LED STREET LIGHT</t>
  </si>
  <si>
    <t>LIMIT SWITCH</t>
  </si>
  <si>
    <t xml:space="preserve">Encoder Coupler  </t>
  </si>
  <si>
    <t>THIMBLE</t>
  </si>
  <si>
    <t>Electrical PVC Juncation Box</t>
  </si>
  <si>
    <t>CRC Spray</t>
  </si>
  <si>
    <t>RF 2.4 GHZ</t>
  </si>
  <si>
    <t>RF 5.8 GHZ</t>
  </si>
  <si>
    <t>GSM</t>
  </si>
  <si>
    <t>GPRS</t>
  </si>
  <si>
    <t>3G GPRS</t>
  </si>
  <si>
    <t>4G GPRS</t>
  </si>
  <si>
    <t>4G DUAL SIM GPRS</t>
  </si>
  <si>
    <t>5G GPRS</t>
  </si>
  <si>
    <t>NB-IOT</t>
  </si>
  <si>
    <t>Serial Convertor</t>
  </si>
  <si>
    <t>Data Logger inbuilt battery operated</t>
  </si>
  <si>
    <t>SURGE PROTECTOR DEVICES</t>
  </si>
  <si>
    <t>DIN RAIL KIT</t>
  </si>
  <si>
    <t>THEMOSTAT</t>
  </si>
  <si>
    <t>RELAY/Door Limit Switch</t>
  </si>
  <si>
    <t>MPR</t>
  </si>
  <si>
    <t>MULTIFUNCTION  METER</t>
  </si>
  <si>
    <t>Magnet</t>
  </si>
  <si>
    <t>FAN</t>
  </si>
  <si>
    <t>Battery</t>
  </si>
  <si>
    <t>CHARGER</t>
  </si>
  <si>
    <t>MCB</t>
  </si>
  <si>
    <t>ADD-On Block</t>
  </si>
  <si>
    <t>Panel Color spary</t>
  </si>
  <si>
    <t>VFD/Starter</t>
  </si>
  <si>
    <t>PANEL LOCK</t>
  </si>
  <si>
    <t>PUSH BUTTON SELECTOR 2 POSITION</t>
  </si>
  <si>
    <t>HANDLE</t>
  </si>
  <si>
    <t>RTD PANEL TEMP</t>
  </si>
  <si>
    <t>INDICATION LAMP /Panel Light</t>
  </si>
  <si>
    <t>POWER CONTACTOR</t>
  </si>
  <si>
    <t>Indicator / Door Limit Switch</t>
  </si>
  <si>
    <t>Y-D Timer</t>
  </si>
  <si>
    <t>Selector Switch/Change Over Switch</t>
  </si>
  <si>
    <t>MCCB</t>
  </si>
  <si>
    <t xml:space="preserve">RELAY BASE </t>
  </si>
  <si>
    <t>AB</t>
  </si>
  <si>
    <t>CHANGE OVER SWITCH</t>
  </si>
  <si>
    <t>Over Voltage /Undervotage Device</t>
  </si>
  <si>
    <t xml:space="preserve">Contactor Coil </t>
  </si>
  <si>
    <t>Contactor KIT</t>
  </si>
  <si>
    <t>Capacitor contactor</t>
  </si>
  <si>
    <t>Voltmeter</t>
  </si>
  <si>
    <t>Ampear Meter</t>
  </si>
  <si>
    <t xml:space="preserve"> Clock Timer</t>
  </si>
  <si>
    <t xml:space="preserve">Capacitor </t>
  </si>
  <si>
    <t>HRC FUSE</t>
  </si>
  <si>
    <t>AL</t>
  </si>
  <si>
    <t>Panel Stand</t>
  </si>
  <si>
    <t>FIBER ACCESSORIES</t>
  </si>
  <si>
    <t>LAN ACCESSORIES</t>
  </si>
  <si>
    <t>FIBER CONVERTER</t>
  </si>
  <si>
    <t>NETWORK ENCLOSURE</t>
  </si>
  <si>
    <t>POWER STRIP SOCKET</t>
  </si>
  <si>
    <t>LAPTOP</t>
  </si>
  <si>
    <t>LCD MONITOR</t>
  </si>
  <si>
    <t>SERVER</t>
  </si>
  <si>
    <t>CONVERTOR</t>
  </si>
  <si>
    <t>POE SWITCH</t>
  </si>
  <si>
    <t>DESKTOP COMPUTER</t>
  </si>
  <si>
    <t>15 " INCH TOUCH SCREEN DESKTOP COMPUTER</t>
  </si>
  <si>
    <t>COMPUTER ACCESSORIES</t>
  </si>
  <si>
    <t>LAOTOP ACCESSORIES</t>
  </si>
  <si>
    <t>Server Rack 24u 600*1000 with accessories</t>
  </si>
  <si>
    <t>Router</t>
  </si>
  <si>
    <t>CABINET FINGERS</t>
  </si>
  <si>
    <t>PROCESSOR</t>
  </si>
  <si>
    <t>DDR4 RAM</t>
  </si>
  <si>
    <t>kEYBOARD</t>
  </si>
  <si>
    <t>MOTHERBOARD</t>
  </si>
  <si>
    <t>SSD/HDD</t>
  </si>
  <si>
    <t>LED MONITOR</t>
  </si>
  <si>
    <t>CAMERA</t>
  </si>
  <si>
    <t>FREIGHT</t>
  </si>
  <si>
    <t>INSTALLATION LABOUR</t>
  </si>
  <si>
    <t>ELECRTIFICATION</t>
  </si>
  <si>
    <t>PACKING CHARGES</t>
  </si>
  <si>
    <t>CALIBRATION SERVICES</t>
  </si>
  <si>
    <t>REPAIRING</t>
  </si>
  <si>
    <t xml:space="preserve">TPI </t>
  </si>
  <si>
    <t>HOTEL</t>
  </si>
  <si>
    <t>Site Survey</t>
  </si>
  <si>
    <t>TESTING SERVICES</t>
  </si>
  <si>
    <t>REFRENCE CELL</t>
  </si>
  <si>
    <t>BALL VALVE</t>
  </si>
  <si>
    <t>SLUICE VALVE</t>
  </si>
  <si>
    <t>BUTTERFLY VALVE</t>
  </si>
  <si>
    <t>GATE VALVE</t>
  </si>
  <si>
    <t>SOLENOID VALVE</t>
  </si>
  <si>
    <t>BALL VALVE WITH ACTUATOR</t>
  </si>
  <si>
    <t>BUTTERFLY VALVE WITH ACTUATOR</t>
  </si>
  <si>
    <t>GATE VALVE WITH ACTUATOR</t>
  </si>
  <si>
    <t>1 PHASE QUARTER TURN ACTUATOR</t>
  </si>
  <si>
    <t>3 PHASE MULTI TURN ACTUATOR</t>
  </si>
  <si>
    <t>SPARE FOR ELECTRICAL ACTUATOR</t>
  </si>
  <si>
    <t>PRESSURE REDUCING FLOW CONTROL VALVE</t>
  </si>
  <si>
    <t xml:space="preserve">Modulating Flow control valve </t>
  </si>
  <si>
    <t>RTU PANEL</t>
  </si>
  <si>
    <t>RTU + SCADA PANEL</t>
  </si>
  <si>
    <t>RTU + SCADA+ACT PANEL</t>
  </si>
  <si>
    <t>RTU + ACT PANEL</t>
  </si>
  <si>
    <t>STP PANEL +FILTER BED PANEL</t>
  </si>
  <si>
    <t>STAR DELTA PANEL</t>
  </si>
  <si>
    <t>SOFT STARTER PANEL</t>
  </si>
  <si>
    <t>VFD PANEL</t>
  </si>
  <si>
    <t>TLP BOX</t>
  </si>
  <si>
    <t>JUNCTION BOX</t>
  </si>
  <si>
    <t>ATS PANEL</t>
  </si>
  <si>
    <t>APR PANEL</t>
  </si>
  <si>
    <t>MCCB BOX</t>
  </si>
  <si>
    <t>FEEDER</t>
  </si>
  <si>
    <t>CANOPY</t>
  </si>
  <si>
    <t xml:space="preserve">RTU+SCADA+ACT+STARTER </t>
  </si>
  <si>
    <t>FABRICATION BOX</t>
  </si>
  <si>
    <t xml:space="preserve">ATS CUM APR </t>
  </si>
  <si>
    <t xml:space="preserve">Energy meter Panel </t>
  </si>
  <si>
    <t>PVC JUNCTION BOX</t>
  </si>
  <si>
    <t>RTU +TW VFD+ACT VFD + SOLAR PDB</t>
  </si>
  <si>
    <t>WATER QUALITY INSTRUMENT PANEL</t>
  </si>
  <si>
    <t>ACTUATOR PANEL</t>
  </si>
  <si>
    <t>SFU BOX</t>
  </si>
  <si>
    <t>TW VFD + Dosing Pump Controlling (1w+1s) + Solar PDB+Space for 2 Nos 3Phase  ACT</t>
  </si>
  <si>
    <t>DOL Starter</t>
  </si>
  <si>
    <t>CHANGEOVER SWITCH</t>
  </si>
  <si>
    <t>Main Switch With Enclouser</t>
  </si>
  <si>
    <t>HT PANEL (6.6KV) WITH SOFSTARTER</t>
  </si>
  <si>
    <t xml:space="preserve">DATA LOGGER PANEL </t>
  </si>
  <si>
    <t>GI PIPE</t>
  </si>
  <si>
    <t>PVC PIPE</t>
  </si>
  <si>
    <t>SS ACCESSORIES</t>
  </si>
  <si>
    <t>Flexible Pipe</t>
  </si>
  <si>
    <t>TEE</t>
  </si>
  <si>
    <t>MS SECTION</t>
  </si>
  <si>
    <t>MS NUT BOLTS</t>
  </si>
  <si>
    <t>PTFE TAPE  /CEMET ACCESSORIES</t>
  </si>
  <si>
    <t>MS FLANGE</t>
  </si>
  <si>
    <t>HOLDTITE 200gm</t>
  </si>
  <si>
    <t>GI FLANGE</t>
  </si>
  <si>
    <t>MS ACCESSORIES</t>
  </si>
  <si>
    <t>GI ACCESSORIES</t>
  </si>
  <si>
    <t>PVC ACCESSORIES</t>
  </si>
  <si>
    <t>MIS ACCESSORIES</t>
  </si>
  <si>
    <t>UPVC Pipe</t>
  </si>
  <si>
    <t>UPVC ACCESSORIES</t>
  </si>
  <si>
    <t>PU ACCESSORIES</t>
  </si>
  <si>
    <t>BRASS ACCESSORIES</t>
  </si>
  <si>
    <t>COLOR PAINT /Gasket</t>
  </si>
  <si>
    <t>CI MATERIAL</t>
  </si>
  <si>
    <t>TANK</t>
  </si>
  <si>
    <t xml:space="preserve">Ductile Iron </t>
  </si>
  <si>
    <t>Jute for threading</t>
  </si>
  <si>
    <t>LIGHTING PRODUCTS</t>
  </si>
  <si>
    <t>AUTOMATION PRODUCTS</t>
  </si>
  <si>
    <t>Fire Alarm Products</t>
  </si>
  <si>
    <t>Vibration Products</t>
  </si>
  <si>
    <t>PSP product</t>
  </si>
  <si>
    <t>OUTSOURCES</t>
  </si>
  <si>
    <t xml:space="preserve">CIMCON </t>
  </si>
  <si>
    <t>LENOVO</t>
  </si>
  <si>
    <t>LICENSE SOFTWARE</t>
  </si>
  <si>
    <t>SOURCES</t>
  </si>
  <si>
    <t>MEASUREMENTS</t>
  </si>
  <si>
    <t>TOOLS</t>
  </si>
  <si>
    <t>SAFETY KIT</t>
  </si>
  <si>
    <t>Drill Machine</t>
  </si>
  <si>
    <t>BRICKS</t>
  </si>
  <si>
    <t>SAND</t>
  </si>
  <si>
    <t>CEMENT</t>
  </si>
  <si>
    <t>CONCRETE</t>
  </si>
  <si>
    <t>False Ceiling</t>
  </si>
  <si>
    <t>PLC/RTU  COMPLETE SET</t>
  </si>
  <si>
    <t>PANEL COMPLETE SET/PANEL Component</t>
  </si>
  <si>
    <t>PACKING MATERIAL</t>
  </si>
  <si>
    <t>ADDITIONAL MATERIAL/Sensor/Sales Items Code/ Display Board</t>
  </si>
  <si>
    <t>SOLAR PLATE</t>
  </si>
  <si>
    <t>CHEMICAL</t>
  </si>
  <si>
    <t>WOODEN</t>
  </si>
  <si>
    <t>FABRICATION/ Earthing /Lighting Arreseter</t>
  </si>
  <si>
    <t>PROCESS INDICATOR</t>
  </si>
  <si>
    <t>WEATHER SENSOR/CANAL Monitoring Sensor</t>
  </si>
  <si>
    <t>ENCODER</t>
  </si>
  <si>
    <t>ANALOG MODULE</t>
  </si>
  <si>
    <t>WEIGHING SCALE</t>
  </si>
  <si>
    <t>ADVM SENSOR</t>
  </si>
  <si>
    <t>Solar Inverter/ Stabilizer</t>
  </si>
  <si>
    <t>RTU with Panel Complete Set</t>
  </si>
  <si>
    <t>IT items</t>
  </si>
  <si>
    <t>Audit</t>
  </si>
  <si>
    <t>Cable/Earthing</t>
  </si>
  <si>
    <t>Solar Charger</t>
  </si>
  <si>
    <t>Isolation transformer</t>
  </si>
  <si>
    <t>Buy back</t>
  </si>
  <si>
    <t>Street Light Pole with Installation</t>
  </si>
  <si>
    <t xml:space="preserve">Bridge Rectifier AC/DC Converter </t>
  </si>
  <si>
    <t>Cable+Conduit Pipes+Relay+Flexible Pipe+Relay+lugs</t>
  </si>
  <si>
    <t>KITKAT</t>
  </si>
  <si>
    <t>Ultrasonic level sensor +2corex1.5 sqmm Cable</t>
  </si>
  <si>
    <t>Mini RTU+Energy meter+AC Relay with Base+ DC Relay with Base</t>
  </si>
  <si>
    <t>Lable</t>
  </si>
  <si>
    <t>Ribbons</t>
  </si>
  <si>
    <t>ACRYLIC</t>
  </si>
  <si>
    <t>FILE</t>
  </si>
  <si>
    <t>PAPER CUTTER</t>
  </si>
  <si>
    <t>DISPENSER</t>
  </si>
  <si>
    <t>MARKER</t>
  </si>
  <si>
    <t>A4 PRINT PAPPER</t>
  </si>
  <si>
    <t>ULTRASONIC BATTERY OPERATED WITH LORA MODEM</t>
  </si>
  <si>
    <t>Water Meter Box</t>
  </si>
  <si>
    <t xml:space="preserve">AROMOUR </t>
  </si>
  <si>
    <t>PLY BOX</t>
  </si>
  <si>
    <t>PLY PLATE</t>
  </si>
  <si>
    <t>HONEYCOMB</t>
  </si>
  <si>
    <t>WOODEN BOX</t>
  </si>
  <si>
    <t>SEALANT</t>
  </si>
  <si>
    <t>STRETCH FILM</t>
  </si>
  <si>
    <t>BUBBLE ROLL</t>
  </si>
  <si>
    <t>CELLOTAPE</t>
  </si>
  <si>
    <t>Vibrationg Wire Piezometer</t>
  </si>
  <si>
    <t>Portable digital readout unit</t>
  </si>
  <si>
    <t>Digital inclionometer probe</t>
  </si>
  <si>
    <t>ABS casing with fixed coupling</t>
  </si>
  <si>
    <t>Seepage Measurement Dam (900x450x3mm)</t>
  </si>
  <si>
    <t>Surface settlement point on parapet wall</t>
  </si>
  <si>
    <t>Surface settlement point on embankment</t>
  </si>
  <si>
    <t>Automatic water level recorder (elect.)</t>
  </si>
  <si>
    <t>Automatic weather station</t>
  </si>
  <si>
    <t xml:space="preserve">Strong motion accelerograph </t>
  </si>
  <si>
    <t>Wireless Data Transmission</t>
  </si>
  <si>
    <t>AC Stabilizer</t>
  </si>
  <si>
    <t>Data Acquisition System (48 channel)</t>
  </si>
  <si>
    <t>Mounting Cabinet - For DAS</t>
  </si>
  <si>
    <t xml:space="preserve">Accessories </t>
  </si>
  <si>
    <t>Channel Expansion Module (DAS)</t>
  </si>
  <si>
    <t>make_code</t>
  </si>
  <si>
    <t>make_name</t>
  </si>
  <si>
    <t>SI</t>
  </si>
  <si>
    <t>Siemens</t>
  </si>
  <si>
    <t>OM</t>
  </si>
  <si>
    <t>Omron</t>
  </si>
  <si>
    <t>RE</t>
  </si>
  <si>
    <t>RENU</t>
  </si>
  <si>
    <t>SC</t>
  </si>
  <si>
    <t>SCHNEIDER</t>
  </si>
  <si>
    <t>MI</t>
  </si>
  <si>
    <t>MITUSBISHI</t>
  </si>
  <si>
    <t>UN</t>
  </si>
  <si>
    <t>UNIMAT</t>
  </si>
  <si>
    <t>PR</t>
  </si>
  <si>
    <t>PROFACE</t>
  </si>
  <si>
    <t>ST</t>
  </si>
  <si>
    <t>STANDARD</t>
  </si>
  <si>
    <t>CI</t>
  </si>
  <si>
    <t>CIMCON</t>
  </si>
  <si>
    <t>KN</t>
  </si>
  <si>
    <t>KINCO</t>
  </si>
  <si>
    <t>SIEMENS</t>
  </si>
  <si>
    <t>GE</t>
  </si>
  <si>
    <t>GEMS</t>
  </si>
  <si>
    <t>MICROSENSOR</t>
  </si>
  <si>
    <t>BA</t>
  </si>
  <si>
    <t>BAUMER</t>
  </si>
  <si>
    <t>DN</t>
  </si>
  <si>
    <t>DANFOSS</t>
  </si>
  <si>
    <t>XT</t>
  </si>
  <si>
    <t>XYT</t>
  </si>
  <si>
    <t>EN</t>
  </si>
  <si>
    <t>ELECTRONET</t>
  </si>
  <si>
    <t>LU</t>
  </si>
  <si>
    <t>LUMINOUS</t>
  </si>
  <si>
    <t>MICROTEK</t>
  </si>
  <si>
    <t>IB</t>
  </si>
  <si>
    <t>IBALL</t>
  </si>
  <si>
    <t>AP</t>
  </si>
  <si>
    <t>APC</t>
  </si>
  <si>
    <t>FU</t>
  </si>
  <si>
    <t>FUJI</t>
  </si>
  <si>
    <t>BP</t>
  </si>
  <si>
    <t>BPE</t>
  </si>
  <si>
    <t>HI</t>
  </si>
  <si>
    <t>HITACHI</t>
  </si>
  <si>
    <t>KR</t>
  </si>
  <si>
    <t xml:space="preserve">KRILOSKAR - </t>
  </si>
  <si>
    <t>FS</t>
  </si>
  <si>
    <t>FSP</t>
  </si>
  <si>
    <t>Not applicable</t>
  </si>
  <si>
    <t>EV</t>
  </si>
  <si>
    <t>EVM</t>
  </si>
  <si>
    <t>PO</t>
  </si>
  <si>
    <t>POLYCAB</t>
  </si>
  <si>
    <t>FI</t>
  </si>
  <si>
    <t>FINOLEX</t>
  </si>
  <si>
    <t>HA</t>
  </si>
  <si>
    <t>HAVELLS</t>
  </si>
  <si>
    <t>KE</t>
  </si>
  <si>
    <t>KEI</t>
  </si>
  <si>
    <t>RR</t>
  </si>
  <si>
    <t>RR KABEL</t>
  </si>
  <si>
    <t>LA</t>
  </si>
  <si>
    <t>LAPP</t>
  </si>
  <si>
    <t>GL</t>
  </si>
  <si>
    <t>GLOSTER</t>
  </si>
  <si>
    <t>DL</t>
  </si>
  <si>
    <t>D-LINK</t>
  </si>
  <si>
    <t>AM</t>
  </si>
  <si>
    <t>AIRMASTER</t>
  </si>
  <si>
    <t>HG</t>
  </si>
  <si>
    <t>H GURU</t>
  </si>
  <si>
    <t>SB</t>
  </si>
  <si>
    <t>SBEM</t>
  </si>
  <si>
    <t>FT</t>
  </si>
  <si>
    <t>FLOW TECH</t>
  </si>
  <si>
    <t>EL</t>
  </si>
  <si>
    <t>PL</t>
  </si>
  <si>
    <t>PELTEK</t>
  </si>
  <si>
    <t>CM</t>
  </si>
  <si>
    <t>ADMAS</t>
  </si>
  <si>
    <t>PRV</t>
  </si>
  <si>
    <t>Not Applicable</t>
  </si>
  <si>
    <t>PT</t>
  </si>
  <si>
    <t>PUNE TECHTROL</t>
  </si>
  <si>
    <t>BANNER</t>
  </si>
  <si>
    <t>DS</t>
  </si>
  <si>
    <t>DAVISON</t>
  </si>
  <si>
    <t>BE</t>
  </si>
  <si>
    <t>BEIJING GALLOP HIGH &amp; NEW TECH CO LTD</t>
  </si>
  <si>
    <t>SP</t>
  </si>
  <si>
    <t>SAPCON</t>
  </si>
  <si>
    <t>BC</t>
  </si>
  <si>
    <t xml:space="preserve">B&amp;C </t>
  </si>
  <si>
    <t>ABB</t>
  </si>
  <si>
    <t>FL</t>
  </si>
  <si>
    <t>FLUDINGS</t>
  </si>
  <si>
    <t>SU</t>
  </si>
  <si>
    <t>SUPREME</t>
  </si>
  <si>
    <t>TO</t>
  </si>
  <si>
    <t>TOSHCON</t>
  </si>
  <si>
    <t>ED</t>
  </si>
  <si>
    <t>EDOSE</t>
  </si>
  <si>
    <t>NN</t>
  </si>
  <si>
    <t>NANING NOBO INSTRUMENT CO. LTD</t>
  </si>
  <si>
    <t>SH</t>
  </si>
  <si>
    <t>SHANGHAI LANCHANG AUTO TECHNOLOGY  CO. LTD</t>
  </si>
  <si>
    <t>VT</t>
  </si>
  <si>
    <t>VERITO</t>
  </si>
  <si>
    <t>JI</t>
  </si>
  <si>
    <t>JIGO</t>
  </si>
  <si>
    <t>PA</t>
  </si>
  <si>
    <t>PANDUIT</t>
  </si>
  <si>
    <t>KS</t>
  </si>
  <si>
    <t>KSS</t>
  </si>
  <si>
    <t>PRECISION</t>
  </si>
  <si>
    <t>DT</t>
  </si>
  <si>
    <t>DUDHAT</t>
  </si>
  <si>
    <t>ADISHWAR ELECTRICAL</t>
  </si>
  <si>
    <t>RAJ ELECTRO CONTROL</t>
  </si>
  <si>
    <t>VS</t>
  </si>
  <si>
    <t>VIDHYUT SALES CORPORATION</t>
  </si>
  <si>
    <t>TR</t>
  </si>
  <si>
    <t>TRUE POWE LTD</t>
  </si>
  <si>
    <t>NO</t>
  </si>
  <si>
    <t>NOTION ELECTRONICS PVT LTD</t>
  </si>
  <si>
    <t>JK</t>
  </si>
  <si>
    <t>JK ENTERPRISE</t>
  </si>
  <si>
    <t>PC</t>
  </si>
  <si>
    <t>Prince</t>
  </si>
  <si>
    <t>LB</t>
  </si>
  <si>
    <t>LB ENTERPRISE</t>
  </si>
  <si>
    <t>CB</t>
  </si>
  <si>
    <t>Chauhan brothers</t>
  </si>
  <si>
    <t>AERA</t>
  </si>
  <si>
    <t>MG</t>
  </si>
  <si>
    <t>FB</t>
  </si>
  <si>
    <t>Fibox</t>
  </si>
  <si>
    <t>KA</t>
  </si>
  <si>
    <t>KALRE</t>
  </si>
  <si>
    <t>RO</t>
  </si>
  <si>
    <t>ROBUSTEL</t>
  </si>
  <si>
    <t>TE</t>
  </si>
  <si>
    <t>TELTRONIKA</t>
  </si>
  <si>
    <t>SW</t>
  </si>
  <si>
    <t>Sheetal Wireless</t>
  </si>
  <si>
    <t>WI</t>
  </si>
  <si>
    <t>WIMAN</t>
  </si>
  <si>
    <t>ADAM</t>
  </si>
  <si>
    <t>DY</t>
  </si>
  <si>
    <t>Dynalog</t>
  </si>
  <si>
    <t>GI</t>
  </si>
  <si>
    <t>GIC</t>
  </si>
  <si>
    <t>Schneider</t>
  </si>
  <si>
    <t>PH</t>
  </si>
  <si>
    <t>PHOENIX</t>
  </si>
  <si>
    <t>CITEL</t>
  </si>
  <si>
    <t>CC</t>
  </si>
  <si>
    <t>APT</t>
  </si>
  <si>
    <t>SA</t>
  </si>
  <si>
    <t>SALZER</t>
  </si>
  <si>
    <t>BCH</t>
  </si>
  <si>
    <t>MINILEC</t>
  </si>
  <si>
    <t>SE</t>
  </si>
  <si>
    <t>SECURE</t>
  </si>
  <si>
    <t>SL</t>
  </si>
  <si>
    <t>SELEC</t>
  </si>
  <si>
    <t>VI</t>
  </si>
  <si>
    <t>VISHWAKARMA</t>
  </si>
  <si>
    <t>RI</t>
  </si>
  <si>
    <t>QUALTEK/RITTAL</t>
  </si>
  <si>
    <t>EX</t>
  </si>
  <si>
    <t>EXIDE</t>
  </si>
  <si>
    <t>PANTAGONE</t>
  </si>
  <si>
    <t>LT</t>
  </si>
  <si>
    <t>L&amp;T</t>
  </si>
  <si>
    <t>LO</t>
  </si>
  <si>
    <t>LOCTITE</t>
  </si>
  <si>
    <t>HP</t>
  </si>
  <si>
    <t>HPL</t>
  </si>
  <si>
    <t>CG</t>
  </si>
  <si>
    <t>CROMPTON GREVES</t>
  </si>
  <si>
    <t>OMRON</t>
  </si>
  <si>
    <t>MW</t>
  </si>
  <si>
    <t>MEANWELL</t>
  </si>
  <si>
    <t>WO</t>
  </si>
  <si>
    <t>WORLDSUNLIGHT</t>
  </si>
  <si>
    <t>CH</t>
  </si>
  <si>
    <t>CHINT</t>
  </si>
  <si>
    <t>ACON</t>
  </si>
  <si>
    <t>REPUTED</t>
  </si>
  <si>
    <t>Micro Power</t>
  </si>
  <si>
    <t>DE</t>
  </si>
  <si>
    <t>DELIXI</t>
  </si>
  <si>
    <t>RISHABH</t>
  </si>
  <si>
    <t>EP</t>
  </si>
  <si>
    <t>EPCOS</t>
  </si>
  <si>
    <t>ES</t>
  </si>
  <si>
    <t>ESBEE</t>
  </si>
  <si>
    <t>PLANET</t>
  </si>
  <si>
    <t>TL</t>
  </si>
  <si>
    <t>TP LINK</t>
  </si>
  <si>
    <t>Rittal</t>
  </si>
  <si>
    <t>LN</t>
  </si>
  <si>
    <t>SY</t>
  </si>
  <si>
    <t>Syrotech</t>
  </si>
  <si>
    <t>FINGERS</t>
  </si>
  <si>
    <t>IN</t>
  </si>
  <si>
    <t>INTEL</t>
  </si>
  <si>
    <t>BR</t>
  </si>
  <si>
    <t>BROTHER</t>
  </si>
  <si>
    <t>HIKVISION</t>
  </si>
  <si>
    <t>CP</t>
  </si>
  <si>
    <t>CP PLUS</t>
  </si>
  <si>
    <t>DG</t>
  </si>
  <si>
    <t>DGNET</t>
  </si>
  <si>
    <t>LM</t>
  </si>
  <si>
    <t>LUMINIOUS</t>
  </si>
  <si>
    <t>MT</t>
  </si>
  <si>
    <t>AO</t>
  </si>
  <si>
    <t>AOC</t>
  </si>
  <si>
    <t>SM</t>
  </si>
  <si>
    <t>SAMSUNG</t>
  </si>
  <si>
    <t>AT</t>
  </si>
  <si>
    <t>ATEN</t>
  </si>
  <si>
    <t>CN</t>
  </si>
  <si>
    <t>CANON</t>
  </si>
  <si>
    <t>DELL</t>
  </si>
  <si>
    <t>SO</t>
  </si>
  <si>
    <t>SOPHOS</t>
  </si>
  <si>
    <t>SANDISK</t>
  </si>
  <si>
    <t>XI</t>
  </si>
  <si>
    <t>xiaomi</t>
  </si>
  <si>
    <t>SBB</t>
  </si>
  <si>
    <t>XG</t>
  </si>
  <si>
    <t>Xexagon</t>
  </si>
  <si>
    <t>MX</t>
  </si>
  <si>
    <t>MOXA</t>
  </si>
  <si>
    <t>KI</t>
  </si>
  <si>
    <t>K7</t>
  </si>
  <si>
    <t>ZB</t>
  </si>
  <si>
    <t>ZEBRONICS</t>
  </si>
  <si>
    <t xml:space="preserve">GIRIRAJ CABLE </t>
  </si>
  <si>
    <t>DEV ELECTRICAL</t>
  </si>
  <si>
    <t>BALAJI PALLETES</t>
  </si>
  <si>
    <t>NK</t>
  </si>
  <si>
    <t>NKS ENTERPRISE</t>
  </si>
  <si>
    <t>VIJAY ENG.WORK</t>
  </si>
  <si>
    <t>DH</t>
  </si>
  <si>
    <t>DHANVI ROAD CARRIER</t>
  </si>
  <si>
    <t>TRADITIONAL CARRIER PVT LTD</t>
  </si>
  <si>
    <t>TEJAS TECHNOCRACY</t>
  </si>
  <si>
    <t>NATIONAL MOTORS</t>
  </si>
  <si>
    <t>DA</t>
  </si>
  <si>
    <t>DIRECT ARRANGE BY VENDOR</t>
  </si>
  <si>
    <t>PARIKH SWITCHGEAR</t>
  </si>
  <si>
    <t>NU</t>
  </si>
  <si>
    <t>NUTRON SYSTEM</t>
  </si>
  <si>
    <t>TU</t>
  </si>
  <si>
    <t>TUV</t>
  </si>
  <si>
    <t>PQ</t>
  </si>
  <si>
    <t>PQS CERTIFICATION</t>
  </si>
  <si>
    <t>VR</t>
  </si>
  <si>
    <t>VIHAAN RO SERVICE</t>
  </si>
  <si>
    <t>KV</t>
  </si>
  <si>
    <t>KV TECHNOLOGY</t>
  </si>
  <si>
    <t>NE</t>
  </si>
  <si>
    <t>NEXUS INFOTECH</t>
  </si>
  <si>
    <t>TESTING ELECTRICAL STANDARDS LABORATORY (TESLA)</t>
  </si>
  <si>
    <t>RIVER VIEW HOTELS</t>
  </si>
  <si>
    <t>NEXTGEN POWER CONTROL</t>
  </si>
  <si>
    <t>Krupa network</t>
  </si>
  <si>
    <t>SMR Service</t>
  </si>
  <si>
    <t>TH</t>
  </si>
  <si>
    <t>THEMIS AUTOMATION</t>
  </si>
  <si>
    <t>PARIN</t>
  </si>
  <si>
    <t>EE</t>
  </si>
  <si>
    <t>M/s Engineering and Environmental Solution Pvt Ltd</t>
  </si>
  <si>
    <t>KRISHANT ELECTRICAL</t>
  </si>
  <si>
    <t>TRUE POWER LTD</t>
  </si>
  <si>
    <t>STANDARD OR NOT APPLICABLE</t>
  </si>
  <si>
    <t>ZU</t>
  </si>
  <si>
    <t>ZULU (CONTROL PLUS)</t>
  </si>
  <si>
    <t>MC</t>
  </si>
  <si>
    <t>McMiller</t>
  </si>
  <si>
    <t>SARK</t>
  </si>
  <si>
    <t>AUDCO</t>
  </si>
  <si>
    <t>SD</t>
  </si>
  <si>
    <t>SD TORK</t>
  </si>
  <si>
    <t>MA</t>
  </si>
  <si>
    <t>MARSH</t>
  </si>
  <si>
    <t>ELGER</t>
  </si>
  <si>
    <t>ROTORK</t>
  </si>
  <si>
    <t>AU</t>
  </si>
  <si>
    <t>AUMA</t>
  </si>
  <si>
    <t>AN</t>
  </si>
  <si>
    <t>ANTRIKSH</t>
  </si>
  <si>
    <t>CA</t>
  </si>
  <si>
    <t>CARE Pneumatic</t>
  </si>
  <si>
    <t>CAIR</t>
  </si>
  <si>
    <t>KRISHANT</t>
  </si>
  <si>
    <t xml:space="preserve">PURVAX </t>
  </si>
  <si>
    <t>SAFETEK</t>
  </si>
  <si>
    <t>THEMIS</t>
  </si>
  <si>
    <t>ALNICO</t>
  </si>
  <si>
    <t>ELETTRO</t>
  </si>
  <si>
    <t>POWERTECH</t>
  </si>
  <si>
    <t>NEXTGEN CONTROLS</t>
  </si>
  <si>
    <t>KP</t>
  </si>
  <si>
    <t>KAIVAL PRODUCTS</t>
  </si>
  <si>
    <t>RM</t>
  </si>
  <si>
    <t>Royal metal Lab</t>
  </si>
  <si>
    <t>VIDHYUT</t>
  </si>
  <si>
    <t>DI</t>
  </si>
  <si>
    <t>DIGITAL AUTOMATION</t>
  </si>
  <si>
    <t>NOT APPLICABLE</t>
  </si>
  <si>
    <t>RITTAL</t>
  </si>
  <si>
    <t>ANTRIKSHA</t>
  </si>
  <si>
    <t>WE</t>
  </si>
  <si>
    <t>WELLWORTH</t>
  </si>
  <si>
    <t>FE</t>
  </si>
  <si>
    <t xml:space="preserve">ASIAN PAINT </t>
  </si>
  <si>
    <t>CO</t>
  </si>
  <si>
    <t>CONTROQUIP</t>
  </si>
  <si>
    <t>FILTRA CONSULTANT &amp; ENGINEERING LTD</t>
  </si>
  <si>
    <t>Chauhan Brothers</t>
  </si>
  <si>
    <t>AS</t>
  </si>
  <si>
    <t>ASHIRVAD</t>
  </si>
  <si>
    <t>SPECTRON ROLO PLAST</t>
  </si>
  <si>
    <t>GUPTA IRON FOUNDARY</t>
  </si>
  <si>
    <t xml:space="preserve">AB </t>
  </si>
  <si>
    <t>16DI08DO</t>
  </si>
  <si>
    <t>16DI16DO</t>
  </si>
  <si>
    <t>32DI16DO</t>
  </si>
  <si>
    <t>32DI32DO</t>
  </si>
  <si>
    <t>REDUNDANT</t>
  </si>
  <si>
    <t>4AI2DI</t>
  </si>
  <si>
    <t>GS</t>
  </si>
  <si>
    <t>GST</t>
  </si>
  <si>
    <t>IO</t>
  </si>
  <si>
    <t>IO card</t>
  </si>
  <si>
    <t>CPU</t>
  </si>
  <si>
    <t>GM</t>
  </si>
  <si>
    <t>GSM Modem</t>
  </si>
  <si>
    <t>IT</t>
  </si>
  <si>
    <t>IO TB</t>
  </si>
  <si>
    <t>HM</t>
  </si>
  <si>
    <t>KEyboard/ HMI</t>
  </si>
  <si>
    <t>DO TB</t>
  </si>
  <si>
    <t>HR</t>
  </si>
  <si>
    <t>Harness</t>
  </si>
  <si>
    <t>LR</t>
  </si>
  <si>
    <t>Lora Support Modules</t>
  </si>
  <si>
    <t>00</t>
  </si>
  <si>
    <t>01</t>
  </si>
  <si>
    <t>MICROSOFT</t>
  </si>
  <si>
    <t>02</t>
  </si>
  <si>
    <t>TQS</t>
  </si>
  <si>
    <t>03</t>
  </si>
  <si>
    <t>QUICKHEEL</t>
  </si>
  <si>
    <t>04</t>
  </si>
  <si>
    <t>SCADA</t>
  </si>
  <si>
    <t>05</t>
  </si>
  <si>
    <t>Think Board</t>
  </si>
  <si>
    <t>06</t>
  </si>
  <si>
    <t>Mobile App (Android/iOS)</t>
  </si>
  <si>
    <t>MASTECH</t>
  </si>
  <si>
    <t>ME</t>
  </si>
  <si>
    <t>MECO</t>
  </si>
  <si>
    <t>TP</t>
  </si>
  <si>
    <t>TAPARIA</t>
  </si>
  <si>
    <t>TESLA</t>
  </si>
  <si>
    <t>SAMRAT</t>
  </si>
  <si>
    <t>HILLSON</t>
  </si>
  <si>
    <t>UNISAFE</t>
  </si>
  <si>
    <t>XX</t>
  </si>
  <si>
    <t>BALAJI PALLETS</t>
  </si>
  <si>
    <t>Themis</t>
  </si>
  <si>
    <t>NS</t>
  </si>
  <si>
    <t xml:space="preserve">NUTRON SYSYTEM </t>
  </si>
  <si>
    <t>AMRUT ENERGY</t>
  </si>
  <si>
    <t>MITSUBISHI</t>
  </si>
  <si>
    <t>CHEMLINK CORPORATION</t>
  </si>
  <si>
    <t>DP</t>
  </si>
  <si>
    <t>D.P LAB INSTRUMENTS</t>
  </si>
  <si>
    <t>SHREEJI INSTRUMENT</t>
  </si>
  <si>
    <t>PB</t>
  </si>
  <si>
    <t>P.BHARAT KUMAR &amp; MANEKLAL</t>
  </si>
  <si>
    <t>SP ENGINEERING CO</t>
  </si>
  <si>
    <t>MS</t>
  </si>
  <si>
    <t>MULTI SPAN</t>
  </si>
  <si>
    <t>SR</t>
  </si>
  <si>
    <t>SIMPLERAY</t>
  </si>
  <si>
    <t>AZ</t>
  </si>
  <si>
    <t>AZISTA</t>
  </si>
  <si>
    <t>JA</t>
  </si>
  <si>
    <t>JAYSHREE</t>
  </si>
  <si>
    <t>BHAVNA ENTERPRISES</t>
  </si>
  <si>
    <t>ENDEAVOUR</t>
  </si>
  <si>
    <t>XY</t>
  </si>
  <si>
    <t>XYLEM-SONETEK</t>
  </si>
  <si>
    <t>SMR Services</t>
  </si>
  <si>
    <t>KRISHNA INDUSTRIES</t>
  </si>
  <si>
    <t>Hager</t>
  </si>
  <si>
    <t>RS</t>
  </si>
  <si>
    <t>R.S COMPANY</t>
  </si>
  <si>
    <t>ELECOM</t>
  </si>
  <si>
    <t>Luminious</t>
  </si>
  <si>
    <t>Hevelet Packard</t>
  </si>
  <si>
    <t>NG</t>
  </si>
  <si>
    <t>NEXTGEN power control</t>
  </si>
  <si>
    <t>BL</t>
  </si>
  <si>
    <t xml:space="preserve">BLACK BOX LIMITED </t>
  </si>
  <si>
    <t>RIDEN</t>
  </si>
  <si>
    <t>PARVATHI</t>
  </si>
  <si>
    <t>IE</t>
  </si>
  <si>
    <t>INTRACTION ELECTRONICS</t>
  </si>
  <si>
    <t>STORY BOARD BANGALORE</t>
  </si>
  <si>
    <t>PE</t>
  </si>
  <si>
    <t>ARIS ENGINEERS</t>
  </si>
  <si>
    <t>R.S. ENTERPRISES</t>
  </si>
  <si>
    <t>ASIAN THERMOCOLE</t>
  </si>
  <si>
    <t>BM</t>
  </si>
  <si>
    <t>BOX MASTER</t>
  </si>
  <si>
    <t>BALAJI PALLET</t>
  </si>
  <si>
    <t>DO</t>
  </si>
  <si>
    <t>DOWSIL</t>
  </si>
  <si>
    <t>Aimil Ltd.</t>
  </si>
  <si>
    <t>EA</t>
  </si>
  <si>
    <t>ESS Australia</t>
  </si>
  <si>
    <t>Wega</t>
  </si>
  <si>
    <t>Raj Instrument</t>
  </si>
  <si>
    <t>product_model_code</t>
  </si>
  <si>
    <t>product_model_name</t>
  </si>
  <si>
    <t>Model 001</t>
  </si>
  <si>
    <t>Model 002</t>
  </si>
  <si>
    <t>HMIGXU3512</t>
  </si>
  <si>
    <t>FP2070TN-V2</t>
  </si>
  <si>
    <t>GS2107-WTBD</t>
  </si>
  <si>
    <t>UH407E,UH-407-4EU01-0AA0 WITH ETHERNET</t>
  </si>
  <si>
    <t>iPMU-7-E</t>
  </si>
  <si>
    <t>FP2070T-V2</t>
  </si>
  <si>
    <t xml:space="preserve">M2070HE </t>
  </si>
  <si>
    <t>FP4101TN</t>
  </si>
  <si>
    <t>DSTP140(075G4029/1056)</t>
  </si>
  <si>
    <t>DSTP140(075G4035/1062)</t>
  </si>
  <si>
    <t>MPM4891</t>
  </si>
  <si>
    <t>CTX323B22.0</t>
  </si>
  <si>
    <t>CTX323B26.0</t>
  </si>
  <si>
    <t>CTX323B31.0</t>
  </si>
  <si>
    <t>iPT-10-E-24-C1-G-D</t>
  </si>
  <si>
    <t>7MF0300-1TE01-5AM2-Z A00+E00+H01</t>
  </si>
  <si>
    <t>QYB100W</t>
  </si>
  <si>
    <t>PT22SD</t>
  </si>
  <si>
    <t>LB1000PRO</t>
  </si>
  <si>
    <t>FML11X0001330000</t>
  </si>
  <si>
    <t>ECO VOLT NEO750</t>
  </si>
  <si>
    <t>22GL4B3AD009801</t>
  </si>
  <si>
    <t>LD2000 EXTERNAL BATTERY</t>
  </si>
  <si>
    <t>iBALL NIRANTAR 622</t>
  </si>
  <si>
    <t>1PH 72V-IB MAX</t>
  </si>
  <si>
    <t>KG1-10ASE - KOEL I GREEN</t>
  </si>
  <si>
    <t>FP1000VA</t>
  </si>
  <si>
    <t>KG4-58.5WS</t>
  </si>
  <si>
    <t>DETAILS NOT AVAILABLE</t>
  </si>
  <si>
    <t>151 MFM</t>
  </si>
  <si>
    <t>FMIPL-EMFM</t>
  </si>
  <si>
    <t>MFE600Z-AS0-100-103-1</t>
  </si>
  <si>
    <t>FLOWMAG 900</t>
  </si>
  <si>
    <t>Ware House</t>
  </si>
  <si>
    <t>TUS-ULTRATROL-2P1W</t>
  </si>
  <si>
    <t>MPM489W45V1E24</t>
  </si>
  <si>
    <t>MPM489W40V1E24</t>
  </si>
  <si>
    <t>MPM489W75V1E24</t>
  </si>
  <si>
    <t>QT50ULB</t>
  </si>
  <si>
    <t>ULT200 B</t>
  </si>
  <si>
    <t>iHLT-50-V1-E-02-N</t>
  </si>
  <si>
    <t>iRLT-15-E-11</t>
  </si>
  <si>
    <t>ULT-200</t>
  </si>
  <si>
    <t>138K56</t>
  </si>
  <si>
    <t>CL3630</t>
  </si>
  <si>
    <t>NEO 6 LPH</t>
  </si>
  <si>
    <t>iCL-10</t>
  </si>
  <si>
    <t>iTU-10</t>
  </si>
  <si>
    <t>iPH-10</t>
  </si>
  <si>
    <t>NE0 6 LPH With Set</t>
  </si>
  <si>
    <t>iTDS</t>
  </si>
  <si>
    <t>GI PERFORATED WITHOUT COVER WITH COUPLER PLATE AND NUT &amp; BOLTS (IS:277)</t>
  </si>
  <si>
    <t>TRINITY TOUCH</t>
  </si>
  <si>
    <t>NE1401-18W</t>
  </si>
  <si>
    <t>PG-11</t>
  </si>
  <si>
    <t>PG-21</t>
  </si>
  <si>
    <t>ALR04</t>
  </si>
  <si>
    <t>R2000-4L</t>
  </si>
  <si>
    <t>TRB140</t>
  </si>
  <si>
    <t>4G LITE</t>
  </si>
  <si>
    <t>153 Mains Operated Gateway</t>
  </si>
  <si>
    <t>TCSMCNAM3M002P</t>
  </si>
  <si>
    <t>MFM376-C-CE</t>
  </si>
  <si>
    <t>Q878-ND</t>
  </si>
  <si>
    <t>EP2612</t>
  </si>
  <si>
    <t>EP4212</t>
  </si>
  <si>
    <t>ELITE303-2</t>
  </si>
  <si>
    <t>CS7-12</t>
  </si>
  <si>
    <t>HPLTDPB1524131000O0NO</t>
  </si>
  <si>
    <t>VSX-48-032</t>
  </si>
  <si>
    <t>CSX-48-045</t>
  </si>
  <si>
    <t>LC1E20</t>
  </si>
  <si>
    <t>FR150T-4T-4.B-H</t>
  </si>
  <si>
    <t>iVFD-4T-2.2-CIMCON</t>
  </si>
  <si>
    <t>ACTI 9</t>
  </si>
  <si>
    <t>VSX-48-006</t>
  </si>
  <si>
    <t>VSX-48-009</t>
  </si>
  <si>
    <t>LRS-200-24 VDC</t>
  </si>
  <si>
    <t>XL7-63A</t>
  </si>
  <si>
    <t>LABL2REM24100K</t>
  </si>
  <si>
    <t>SF12038HSL2</t>
  </si>
  <si>
    <t>PSC-100B-C</t>
  </si>
  <si>
    <t>BT31P1</t>
  </si>
  <si>
    <t>SSM24BIS2.1D</t>
  </si>
  <si>
    <t>CDI-SPDG1R5T4</t>
  </si>
  <si>
    <t>CDI-SPDG2R2T4</t>
  </si>
  <si>
    <t>CDI-SPDG7R5T4</t>
  </si>
  <si>
    <t>CDI-SPDG011T4</t>
  </si>
  <si>
    <t>CDI-SPDG030T4</t>
  </si>
  <si>
    <t>LRS-50-24</t>
  </si>
  <si>
    <t>MNX 50</t>
  </si>
  <si>
    <t>Omron G2R-1 230V AC(5 leg Relay)</t>
  </si>
  <si>
    <t>RXM2LB2P7</t>
  </si>
  <si>
    <t>MNX02</t>
  </si>
  <si>
    <t>ABL2REM24100K</t>
  </si>
  <si>
    <t>Liberty 200- Secuer</t>
  </si>
  <si>
    <t>Liberty 500- Secuer</t>
  </si>
  <si>
    <t>CDI-SPDG075T4</t>
  </si>
  <si>
    <t>Softstarter</t>
  </si>
  <si>
    <t>MFM383A-C-CE</t>
  </si>
  <si>
    <t xml:space="preserve">LRS-75-24 </t>
  </si>
  <si>
    <t>DEM-310GT</t>
  </si>
  <si>
    <t>IGSW-24040T-EU</t>
  </si>
  <si>
    <t>MGB-TLX</t>
  </si>
  <si>
    <t>NCB-C6UGRYR1-2</t>
  </si>
  <si>
    <t>NCB-FS09S-SC1</t>
  </si>
  <si>
    <t>NCB-FS09D-LCSC-3</t>
  </si>
  <si>
    <t>NLU-FSDLSCR-12</t>
  </si>
  <si>
    <t>HP280G6 MT</t>
  </si>
  <si>
    <t>IGS-4215-4T2S</t>
  </si>
  <si>
    <t>MGB-TL40</t>
  </si>
  <si>
    <t>HP DJ 2332</t>
  </si>
  <si>
    <t>DGS-1210-10</t>
  </si>
  <si>
    <t>SY GPON 2010-WADONT</t>
  </si>
  <si>
    <t>HP 330</t>
  </si>
  <si>
    <t>DES-1005C</t>
  </si>
  <si>
    <t>LENOVO DT NEO 50T</t>
  </si>
  <si>
    <t>LED SDDE-20-62C6K</t>
  </si>
  <si>
    <t>11QC0000IH</t>
  </si>
  <si>
    <t>LED D19</t>
  </si>
  <si>
    <t>TN263 BROTHER PRINTER</t>
  </si>
  <si>
    <t>BROTHER DCP-B7535 DW</t>
  </si>
  <si>
    <t>HP267</t>
  </si>
  <si>
    <t>HP Laserjet108A</t>
  </si>
  <si>
    <t>DIR-615</t>
  </si>
  <si>
    <t>INTELR  XEONR(R) E-2314</t>
  </si>
  <si>
    <t>HP PRO TWR 280 G9 MTCORE I3</t>
  </si>
  <si>
    <t>CANON Irc 3226</t>
  </si>
  <si>
    <t>XG87</t>
  </si>
  <si>
    <t>XG107</t>
  </si>
  <si>
    <t>BROTHER DCP-L3551 CDW</t>
  </si>
  <si>
    <t>DS-7732NI-K4</t>
  </si>
  <si>
    <t>HP 280 G6</t>
  </si>
  <si>
    <t>DELL 24 "</t>
  </si>
  <si>
    <t>SAMSUNG VM55B-U</t>
  </si>
  <si>
    <t>DWR 921</t>
  </si>
  <si>
    <t>SBB-SS08NL-1</t>
  </si>
  <si>
    <t>DELL PRECISION 3650</t>
  </si>
  <si>
    <t xml:space="preserve">DELL POWEREDGE R240 </t>
  </si>
  <si>
    <t>HP OFFICEJET PRO 7740 PRO ALLIN ONE</t>
  </si>
  <si>
    <t>DS-2DF8C442IXS-AEL T5</t>
  </si>
  <si>
    <t>HP LASERJET 1018 A</t>
  </si>
  <si>
    <t>HP CORE i7,8 GB RAM,1 TB HDD</t>
  </si>
  <si>
    <t>DELL POWEREDGE R250</t>
  </si>
  <si>
    <t>XC-IS1804</t>
  </si>
  <si>
    <t>NPort 5130A</t>
  </si>
  <si>
    <t>HP1188</t>
  </si>
  <si>
    <t>523</t>
  </si>
  <si>
    <t>PROJECT CODE</t>
  </si>
  <si>
    <t>MARKETING</t>
  </si>
  <si>
    <t>M120/020/C CLASS 300</t>
  </si>
  <si>
    <t>QT-10</t>
  </si>
  <si>
    <t>QT-5</t>
  </si>
  <si>
    <t>QT-20</t>
  </si>
  <si>
    <t>M120/020/C CLASS 600</t>
  </si>
  <si>
    <t>M80/020/C</t>
  </si>
  <si>
    <t>1250/PN16/250/CI/SGI/BN</t>
  </si>
  <si>
    <t>1250/PN16/300/CI/SGI/BN</t>
  </si>
  <si>
    <t>1250/PN16/150/CI/SGI/BN</t>
  </si>
  <si>
    <t>1250/PN16/80/CI/SGI/BN</t>
  </si>
  <si>
    <t>1250/PN16/200/CI/SGI/BN</t>
  </si>
  <si>
    <t>1250/PN16/100/CI/SGI/BN</t>
  </si>
  <si>
    <t>1250/PN16/350/CI/SGI/BN</t>
  </si>
  <si>
    <t>M120/020/E</t>
  </si>
  <si>
    <t>M150/020/E</t>
  </si>
  <si>
    <t>M200/020/E</t>
  </si>
  <si>
    <t>M150/060/MGT 60/E</t>
  </si>
  <si>
    <t>M150/060/MSR 75/E</t>
  </si>
  <si>
    <t>M150/060/MGT 105/E</t>
  </si>
  <si>
    <t>M120/020/C CLASS 150</t>
  </si>
  <si>
    <t>QT-30</t>
  </si>
  <si>
    <t>TTM-L-3PK series</t>
  </si>
  <si>
    <t>PRESSURE CONTROL</t>
  </si>
  <si>
    <t>RTU1000</t>
  </si>
  <si>
    <t>RTU3000</t>
  </si>
  <si>
    <t>RTU6000</t>
  </si>
  <si>
    <t>RTU6000+</t>
  </si>
  <si>
    <t>RTU9000</t>
  </si>
  <si>
    <t>INVERTER WITH BATTERY ENCLOSURE</t>
  </si>
  <si>
    <t>iCL + iTU TRANSMITTER PANEL</t>
  </si>
  <si>
    <t>ULT Size canopy</t>
  </si>
  <si>
    <t>RTU 6000 ++</t>
  </si>
  <si>
    <t>ACTUATOR CANOPY</t>
  </si>
  <si>
    <t>iFPC</t>
  </si>
  <si>
    <t>PRCS25MBK</t>
  </si>
  <si>
    <t>PRCS50MBK</t>
  </si>
  <si>
    <t>PCFC25BK</t>
  </si>
  <si>
    <t>PCFC50BK</t>
  </si>
  <si>
    <t>PRT50BK</t>
  </si>
  <si>
    <t>24 V DC</t>
  </si>
  <si>
    <t>12/5 DC</t>
  </si>
  <si>
    <t>SPD</t>
  </si>
  <si>
    <t>MODEM ANTENNA iRTU6000</t>
  </si>
  <si>
    <t>SERVER 2019</t>
  </si>
  <si>
    <t>DMM 830L</t>
  </si>
  <si>
    <t>DMM 63</t>
  </si>
  <si>
    <t>810</t>
  </si>
  <si>
    <t>PROJECT 8104-TOOL SET</t>
  </si>
  <si>
    <t>TM241CE40U</t>
  </si>
  <si>
    <t>TM3DQ8TG</t>
  </si>
  <si>
    <t>TM3DQ16RG</t>
  </si>
  <si>
    <t>TM3DM24R</t>
  </si>
  <si>
    <t>TM3DI8G</t>
  </si>
  <si>
    <t>TM3DI16G</t>
  </si>
  <si>
    <t>TM3DI32K</t>
  </si>
  <si>
    <t>TM3DM24RG</t>
  </si>
  <si>
    <t>TM3DQ16U</t>
  </si>
  <si>
    <t>TWDFCW30K</t>
  </si>
  <si>
    <t>LAEX6MS</t>
  </si>
  <si>
    <t xml:space="preserve">FX5U-64MT/ESS-BS </t>
  </si>
  <si>
    <t>AZS-011 , AZS-101,AZS- 076,AZS-051,AZS-021</t>
  </si>
  <si>
    <t>J58-A</t>
  </si>
  <si>
    <t>SW1DNDING-GXW3-E</t>
  </si>
  <si>
    <t>ENDEAVOUR  A MA LP 5X 5 EPS 100 KG X 10 GM</t>
  </si>
  <si>
    <t>SL-1500 - 20 m</t>
  </si>
  <si>
    <t>SL-500 - 20-120 m</t>
  </si>
  <si>
    <t>FX5-16EYT/ESS-BS</t>
  </si>
  <si>
    <t>EKS304B</t>
  </si>
  <si>
    <t>MI-532</t>
  </si>
  <si>
    <t>Siemens 224 XP</t>
  </si>
  <si>
    <t>M241</t>
  </si>
  <si>
    <t>40mm * 12mm</t>
  </si>
  <si>
    <t>50mm * 300mtr</t>
  </si>
  <si>
    <t>44*14.50mm</t>
  </si>
  <si>
    <t>40*17 mm</t>
  </si>
  <si>
    <t>66A STICKER</t>
  </si>
  <si>
    <t>66B STICKER</t>
  </si>
  <si>
    <t>ACRYLIC 2400X1200MM</t>
  </si>
  <si>
    <t>69 sticker</t>
  </si>
  <si>
    <t>70 sticker</t>
  </si>
  <si>
    <t>55mm * 25mm</t>
  </si>
  <si>
    <t>65*13 MM PT</t>
  </si>
  <si>
    <t>45*25 MM HPT</t>
  </si>
  <si>
    <t>43.4*31.4 MM RLT</t>
  </si>
  <si>
    <t>75 *30 MM</t>
  </si>
  <si>
    <t>AIM 729-10</t>
  </si>
  <si>
    <t>AIM 89013</t>
  </si>
  <si>
    <t>AIM 89018</t>
  </si>
  <si>
    <t>AIM 89016-1</t>
  </si>
  <si>
    <t>AIM 89301-2</t>
  </si>
  <si>
    <t>AIM 89301</t>
  </si>
  <si>
    <t>AIM 875-500</t>
  </si>
  <si>
    <t>AIM 833-50</t>
  </si>
  <si>
    <t>AIM 83301</t>
  </si>
  <si>
    <t>AIM 735 -1000</t>
  </si>
  <si>
    <t>AIM 735 -700</t>
  </si>
  <si>
    <t>DT85G</t>
  </si>
  <si>
    <t>AIM 89101</t>
  </si>
  <si>
    <t>AIM 89103</t>
  </si>
  <si>
    <t>AIM 70110HD</t>
  </si>
  <si>
    <t>AIM 83303</t>
  </si>
  <si>
    <t>AIM 83304</t>
  </si>
  <si>
    <t>AIM 83302</t>
  </si>
  <si>
    <t>AIM 74113</t>
  </si>
  <si>
    <t>AIM 749</t>
  </si>
  <si>
    <t>AIM 73501-70</t>
  </si>
  <si>
    <t>AIM 705</t>
  </si>
  <si>
    <t>LPRP/</t>
  </si>
  <si>
    <t>RWL</t>
  </si>
  <si>
    <t>CEM 20</t>
  </si>
  <si>
    <t>remarks_code</t>
  </si>
  <si>
    <t>remarks_description</t>
  </si>
  <si>
    <t>High Precision</t>
  </si>
  <si>
    <t>Long Lasting</t>
  </si>
  <si>
    <t>SERIAL RS-485</t>
  </si>
  <si>
    <t>SERIAL RS-485 &amp; RS-232</t>
  </si>
  <si>
    <t>SERIAL RS-485/RS-232 AND ETHERNET</t>
  </si>
  <si>
    <t>ANDROID WITH WIFI/BLUETOOTH</t>
  </si>
  <si>
    <t>WITH DISPLAY</t>
  </si>
  <si>
    <t>WITHOUT DISPLAY -TWO WIRE TYPE WITH CONNECTOR</t>
  </si>
  <si>
    <t>WITH CONNECTOR WITHOUT CABLE</t>
  </si>
  <si>
    <t>WITH CABLE</t>
  </si>
  <si>
    <t>WITH IN BUILT BATTERY</t>
  </si>
  <si>
    <t>WITOUT IN BUILT BATTERY</t>
  </si>
  <si>
    <t>WITH EXTERNAL BATTERY</t>
  </si>
  <si>
    <t>WITH EXTERNAL BATTERY WITH RACK AND LINK</t>
  </si>
  <si>
    <t>WITH IN BUILT MODBUS CARD</t>
  </si>
  <si>
    <t>M.I RACK 26*6 WITH TOP</t>
  </si>
  <si>
    <t>INBUILT STARTER PANEL</t>
  </si>
  <si>
    <t>PVC INSULATED</t>
  </si>
  <si>
    <t xml:space="preserve">FR </t>
  </si>
  <si>
    <t>FRLS</t>
  </si>
  <si>
    <t>HFFR</t>
  </si>
  <si>
    <t>ZHFR</t>
  </si>
  <si>
    <t xml:space="preserve">SINGLE STRANDED </t>
  </si>
  <si>
    <t>07</t>
  </si>
  <si>
    <t>MULTI STRANDED</t>
  </si>
  <si>
    <t>customised Job of Cable with accessories</t>
  </si>
  <si>
    <t>08</t>
  </si>
  <si>
    <t>SINGLE MODE CABLE</t>
  </si>
  <si>
    <t>09</t>
  </si>
  <si>
    <t>XLPE INSULATED</t>
  </si>
  <si>
    <t>10</t>
  </si>
  <si>
    <t>6.6 Kv unearthed Aluminium armored</t>
  </si>
  <si>
    <t>WITH PIPE &amp; COCK VALVE</t>
  </si>
  <si>
    <t>10 METER CABLE</t>
  </si>
  <si>
    <t>15 METER CABLE</t>
  </si>
  <si>
    <t>20 METER CABLE</t>
  </si>
  <si>
    <t>8METER CABLE</t>
  </si>
  <si>
    <t>Battery OPERATED</t>
  </si>
  <si>
    <t>2 WIRE</t>
  </si>
  <si>
    <t>4 WIRE</t>
  </si>
  <si>
    <t>VENTED</t>
  </si>
  <si>
    <t>NON-VENTED</t>
  </si>
  <si>
    <t>3 WIRE TYPE WITHOUT JB</t>
  </si>
  <si>
    <t>With Single Sensor Flow Cell</t>
  </si>
  <si>
    <t>Color Black</t>
  </si>
  <si>
    <t>Color grey</t>
  </si>
  <si>
    <t>Color Ivory</t>
  </si>
  <si>
    <t>YELLOW</t>
  </si>
  <si>
    <t>WHITE</t>
  </si>
  <si>
    <t>SEMI INTEGRATED</t>
  </si>
  <si>
    <t>Silver</t>
  </si>
  <si>
    <t>WITH IOS</t>
  </si>
  <si>
    <t>WITHOUT IOS</t>
  </si>
  <si>
    <t>WITH MEMORY</t>
  </si>
  <si>
    <t>WITH MEMORY WITH IO</t>
  </si>
  <si>
    <t>MODEM DIN RAIL KIT (TELTONIKA)</t>
  </si>
  <si>
    <t>100*60(H*W)</t>
  </si>
  <si>
    <t>Add- on block</t>
  </si>
  <si>
    <t>TT HANDLING CHARGE</t>
  </si>
  <si>
    <t>External HDD</t>
  </si>
  <si>
    <t>80</t>
  </si>
  <si>
    <t>CONTINUE PENDING NO. OF PROJECT CODE</t>
  </si>
  <si>
    <t>IP TEST SERVICES IP68</t>
  </si>
  <si>
    <t>30</t>
  </si>
  <si>
    <t>4SQMM COPER WIRE CABLE</t>
  </si>
  <si>
    <t>PVC</t>
  </si>
  <si>
    <t>BRACKET WITH COUPLEER</t>
  </si>
  <si>
    <t>WITH EXTENDED SHAFT</t>
  </si>
  <si>
    <t>FLANGE TYPE</t>
  </si>
  <si>
    <t>OUTDOOR TYPE WITH STAND</t>
  </si>
  <si>
    <t>INDOOR TYPE WITH STAND</t>
  </si>
  <si>
    <t>OUTDOOR TYPE POLE MOUNT TYPE</t>
  </si>
  <si>
    <t>SCADA PANEL FOR MECHNICAL WITH STAND</t>
  </si>
  <si>
    <t>SCADA PANEL FOR ELECTRICAL WITH STAND</t>
  </si>
  <si>
    <t>SS304</t>
  </si>
  <si>
    <t>2" LENGTH</t>
  </si>
  <si>
    <t>3" LENGTH</t>
  </si>
  <si>
    <t>4" LENGTH</t>
  </si>
  <si>
    <t>6" LENGTH</t>
  </si>
  <si>
    <t>11</t>
  </si>
  <si>
    <t>THREADED</t>
  </si>
  <si>
    <t>Inside Threading</t>
  </si>
  <si>
    <t>With Nut and washer</t>
  </si>
  <si>
    <t>R2</t>
  </si>
  <si>
    <t>40</t>
  </si>
  <si>
    <t>PROJECT 8104-TOOL SET1</t>
  </si>
  <si>
    <t>41</t>
  </si>
  <si>
    <t>PROJECT 8104-TOOL SET2</t>
  </si>
  <si>
    <t>42</t>
  </si>
  <si>
    <t>PROJECT 8104-TOOL SET3</t>
  </si>
  <si>
    <t>PROJECT 8104-TOOL SET4</t>
  </si>
  <si>
    <t>PROJECT 8104-TOOL SET5</t>
  </si>
  <si>
    <t>10 METER CABLE AND OTHER ACCESORIES</t>
  </si>
  <si>
    <t>Enclosure + VFD +multifunction meter + MCCB</t>
  </si>
  <si>
    <t>GI Accessories (Nipple, Elbow,  Tee, Union, Hex nipple, Bush etc.)</t>
  </si>
  <si>
    <t>Top Cap For Inclinometer Casing</t>
  </si>
  <si>
    <t>Bottom Cap For Inclinometer Casing</t>
  </si>
  <si>
    <t>Spider magnet @5m and datum magnet</t>
  </si>
  <si>
    <t>PVC Cable Splicing Kit (Accessories - V.W Piezometer)</t>
  </si>
  <si>
    <t>Cable Sealing Compound (Accessories - V.W Piezometer)</t>
  </si>
  <si>
    <t>Lockble Protective Cover (Accessories - V.W Piezometer)</t>
  </si>
  <si>
    <t>Top Cap For Inclinometer Casing (Accessories - Inclinometer)</t>
  </si>
  <si>
    <t>Bottom Cap For Inclinometer Casing  (Accessories - Inclinometer)</t>
  </si>
  <si>
    <t>Coupling For Inclinometer Casing  (Accessories - Inclinometer)</t>
  </si>
  <si>
    <t>Pop Rivet Pack of 200 Rivets</t>
  </si>
  <si>
    <t>Mastic Tape Roll 10m ( for making water proof joint for 2 no 3m long ABS Inclinometer casing )</t>
  </si>
  <si>
    <t>12</t>
  </si>
  <si>
    <t>13</t>
  </si>
  <si>
    <r>
      <t>Probe with sounder suitable for 5</t>
    </r>
    <r>
      <rPr>
        <sz val="11"/>
        <rFont val="Times New Roman"/>
        <family val="1"/>
      </rPr>
      <t>0 m depth</t>
    </r>
  </si>
  <si>
    <t>14</t>
  </si>
  <si>
    <t>Accessories for Lop wire release Pin
and Release  wire link for three bore
holes</t>
  </si>
  <si>
    <t>cimcon_part_no</t>
  </si>
  <si>
    <t>name</t>
  </si>
  <si>
    <t>deescription</t>
  </si>
  <si>
    <t>main_category</t>
  </si>
  <si>
    <t>Type(sub_category)</t>
  </si>
  <si>
    <t>product_rating</t>
  </si>
  <si>
    <t>make</t>
  </si>
  <si>
    <t>product_model</t>
  </si>
  <si>
    <t>remarks</t>
  </si>
  <si>
    <t>package</t>
  </si>
  <si>
    <t>packaging</t>
  </si>
  <si>
    <t>uom</t>
  </si>
  <si>
    <t>spq</t>
  </si>
  <si>
    <t>mfg_std_lead_time</t>
  </si>
  <si>
    <t>bin</t>
  </si>
  <si>
    <t>hsn_code</t>
  </si>
  <si>
    <t>is_active</t>
  </si>
  <si>
    <t xml:space="preserve">Mfg Code </t>
  </si>
  <si>
    <t>STOCK</t>
  </si>
  <si>
    <t>MODG004RO00102</t>
  </si>
  <si>
    <t>Accessories</t>
  </si>
  <si>
    <t>4G GPRS DUAL SIM MODEM WINA 2 ENAERNET PORT, 9-30 VDC OPERATED</t>
  </si>
  <si>
    <t>Mtr</t>
  </si>
  <si>
    <t>MOD4GGPRSRO</t>
  </si>
  <si>
    <t>-</t>
  </si>
  <si>
    <t>ELAA100KS00000</t>
  </si>
  <si>
    <t>100 MM LENGNA PVC CABLE TIE Make: KSS</t>
  </si>
  <si>
    <t>ELALENGNA100MMKS</t>
  </si>
  <si>
    <t>ELAA150KS00000</t>
  </si>
  <si>
    <t>150 MM LENGNA PVC CABLE TIE Make: KSS</t>
  </si>
  <si>
    <t>ELALENGNA150MMKS</t>
  </si>
  <si>
    <t>ELAA200KS00000</t>
  </si>
  <si>
    <t>200 MM LENGNA PVC CABLE TIE Make: KSS</t>
  </si>
  <si>
    <t>ELALENGNA200MMKS</t>
  </si>
  <si>
    <t>ELAA300KS00000</t>
  </si>
  <si>
    <t>300 MM LENGNA PVC CABLE TIE Make: KSS</t>
  </si>
  <si>
    <t>ELALENGNA300MMKS</t>
  </si>
  <si>
    <t>MODF002TE00204</t>
  </si>
  <si>
    <t>4 G GPRS MODEM, ENAERNET PORT WINA IOS AND MEMORY (3G, 2G DOWNGRADE)</t>
  </si>
  <si>
    <t>MODACCESORIESTE001</t>
  </si>
  <si>
    <t>ELAI002ST00000</t>
  </si>
  <si>
    <t>wooden screw 35 x 8 mm</t>
  </si>
  <si>
    <t>ELAZSCREW35X8ST</t>
  </si>
  <si>
    <t>ELAJ000ST00000</t>
  </si>
  <si>
    <t>ELAROLLPLUGST</t>
  </si>
  <si>
    <t>ELAB005ST00000</t>
  </si>
  <si>
    <t>1.5 sq mm Copper Ring Type Lugs wiNA insulation</t>
  </si>
  <si>
    <t>ELACURING1.5SQMMST</t>
  </si>
  <si>
    <t>ELAB009ST00000</t>
  </si>
  <si>
    <t>10 sq mm Copper Ring Type Lugs wiNA insulation</t>
  </si>
  <si>
    <t>ELACURING10SQMMST</t>
  </si>
  <si>
    <t>ELAK001ST00000</t>
  </si>
  <si>
    <t>ANCHOR FASTNER 10 X100</t>
  </si>
  <si>
    <t>ELAANCHRFSTNER10x100ST</t>
  </si>
  <si>
    <t>ELAK002ST00000</t>
  </si>
  <si>
    <t>ANCHOR FASTNER 8 X75</t>
  </si>
  <si>
    <t>ELAANCHRFSTNER8x75ST</t>
  </si>
  <si>
    <t>ELAL001ST00000</t>
  </si>
  <si>
    <t>SADDLE 25 MM</t>
  </si>
  <si>
    <t>ELASADDLE25MMST</t>
  </si>
  <si>
    <t>ELAL002ST00000</t>
  </si>
  <si>
    <t>SADDLE 50 MM</t>
  </si>
  <si>
    <t>ELASHEDDLE50MMST</t>
  </si>
  <si>
    <t>MODL003SW00001</t>
  </si>
  <si>
    <t>Captive LoRa Gateway based Wireless communication system (Gateway, SMPS, RF patch Cord, Antenna, Comm. Cable)</t>
  </si>
  <si>
    <t>MODACCESORIESSW002</t>
  </si>
  <si>
    <t>ELAM103PR00001</t>
  </si>
  <si>
    <t>PRCS25MBK 25MM MMS PVC CONDUIT PIPE</t>
  </si>
  <si>
    <t>ELAPVCCONDUIT25MMPR</t>
  </si>
  <si>
    <t>ELAM106PR00001</t>
  </si>
  <si>
    <t>PRCS50MBK 50MM MMS PVC CONDUIT PIPE</t>
  </si>
  <si>
    <t>ELAPVCCONDUIT50MMPR</t>
  </si>
  <si>
    <t>ELAN003PR00001</t>
  </si>
  <si>
    <t>PCFC25BK 25MM FLEXIBLE PIPE</t>
  </si>
  <si>
    <t>ELAFLEXCONDUIT25MMPR</t>
  </si>
  <si>
    <t>ELAN006PR00001</t>
  </si>
  <si>
    <t>PCFC50BK 50MM FLEXIBLE PIPE</t>
  </si>
  <si>
    <t>ELAFLEXPIPE50MMPR</t>
  </si>
  <si>
    <t>ELAE006PR00001</t>
  </si>
  <si>
    <t>PRT50BK TEE</t>
  </si>
  <si>
    <t>ELAPVCCONDUITBLK50MMPR</t>
  </si>
  <si>
    <t>ELAL003ST00000</t>
  </si>
  <si>
    <t>SADDLE 3/4" (20 mm)</t>
  </si>
  <si>
    <t>ELASHEDDLE20MMST</t>
  </si>
  <si>
    <t>MODF001WI00304</t>
  </si>
  <si>
    <t>4GGPRS MODEM</t>
  </si>
  <si>
    <t>Nos</t>
  </si>
  <si>
    <t>MODACCESORIESWI003</t>
  </si>
  <si>
    <t>ELAP001DT00100</t>
  </si>
  <si>
    <t>GI PERFORATED CABLE TRAY 75 X 25 X 1.6 MM WINA COUPLER PLATE AND NUT BOLTS WINAOUT COVER</t>
  </si>
  <si>
    <t>ELACBLTRAY75X255GMDT</t>
  </si>
  <si>
    <t>ELAQ005ST00002</t>
  </si>
  <si>
    <t xml:space="preserve">HDPE PLB DUCT 40 MM OD </t>
  </si>
  <si>
    <t>ELAHDPEPLBDUCT40MMST</t>
  </si>
  <si>
    <t>ELAM006ST00001</t>
  </si>
  <si>
    <t>50MM (MMS) ISI RIGID PVC CONDUIT -BLACK</t>
  </si>
  <si>
    <t>ELA50MMPVCMMSST</t>
  </si>
  <si>
    <t>ELAR007ST00001</t>
  </si>
  <si>
    <t>50MM FLEXIBLE PIPE- BLACK</t>
  </si>
  <si>
    <t>ELA50MMFLEXBLKST</t>
  </si>
  <si>
    <t>ELAR004ST00001</t>
  </si>
  <si>
    <t>25MM FLEXIBLE PIPE- BLACK</t>
  </si>
  <si>
    <t>ELA25MMFLEXBLKST</t>
  </si>
  <si>
    <t>ELAM006ST00003</t>
  </si>
  <si>
    <t>50MM (MMS) ISI RIGID PVC CONDUIT -IVORY</t>
  </si>
  <si>
    <t>ELA50MMPVCMMSIVRST</t>
  </si>
  <si>
    <t>ELAP002DT00100</t>
  </si>
  <si>
    <t>IS:277: GI PERFORATED TRAY 100X50 MM, COUPLER PLATES 50MM, NUT AND BOLTS</t>
  </si>
  <si>
    <t>ELAGITRAY100X50MMDT</t>
  </si>
  <si>
    <t>ELAP003DT00100</t>
  </si>
  <si>
    <t>IS:277: GI PERFORATED TRAY 50X50 MM, COUPLER PLATES 50MM, NUT AND BOLTS</t>
  </si>
  <si>
    <t>ELAGITRAY50X50MMDT</t>
  </si>
  <si>
    <t>ELAC001ST00000</t>
  </si>
  <si>
    <t>TB END STOPPER</t>
  </si>
  <si>
    <t>ELATBENDSTOPST</t>
  </si>
  <si>
    <t>ELAB024VS00000</t>
  </si>
  <si>
    <t>ELA2.5SQMMSLEEVEVS</t>
  </si>
  <si>
    <t>ELAB024ST00000</t>
  </si>
  <si>
    <t>ELA2.5SQMMSLEVST</t>
  </si>
  <si>
    <t>ELAB017AE00000</t>
  </si>
  <si>
    <t xml:space="preserve">COPPER LUGS 4-6 RING TYPE PVC INSULATED </t>
  </si>
  <si>
    <t>ELACULUG4-6RINGTYPEAE</t>
  </si>
  <si>
    <t>ELAB007AE00000</t>
  </si>
  <si>
    <t>COPPER LUGS END SLEEVE 1.5 SQ. MM PVC INSULATED</t>
  </si>
  <si>
    <t>ELACULUG1.5MMST</t>
  </si>
  <si>
    <t>ELAB002AE00000</t>
  </si>
  <si>
    <t>COPPER LUGS END SLEEVE 0.5 SQ. MM PVC INSULATED</t>
  </si>
  <si>
    <t>ELACULUG0.5SQMMAE</t>
  </si>
  <si>
    <t>ELAD003RE00000</t>
  </si>
  <si>
    <t>19 MM S.C. CABLE GLAND</t>
  </si>
  <si>
    <t>ELA19MMSCGLANDRE</t>
  </si>
  <si>
    <t>ELAE003ST00004</t>
  </si>
  <si>
    <t>1.5 SQ.MM RUBBER FERRULES L.M</t>
  </si>
  <si>
    <t>ELA1.5SQMMRUBBST</t>
  </si>
  <si>
    <t>ELAD003ST0000</t>
  </si>
  <si>
    <t>GLAND BRASS 19 MM SC</t>
  </si>
  <si>
    <t>ELA19MMBRASSGLANDST</t>
  </si>
  <si>
    <t>ELAQ001SC0000</t>
  </si>
  <si>
    <t xml:space="preserve">PUSH BUTTON 2 POSITION  SELECTOR SWITCH </t>
  </si>
  <si>
    <t>ELAPUSHCUTTON2POSSC</t>
  </si>
  <si>
    <t>ELAB019VS00000</t>
  </si>
  <si>
    <t>25 SQ MM RING TYPE M-6 MM HOLE ALUMINUM</t>
  </si>
  <si>
    <t>ELA25SQMMRINGM6MMLVS</t>
  </si>
  <si>
    <t>ELAB020VS00000</t>
  </si>
  <si>
    <t>35 SQ MM RING TYPE M-6 MM HOLE ALLUMINUM</t>
  </si>
  <si>
    <t>ELA35SQMMRINGM6MMLVS</t>
  </si>
  <si>
    <t>ELAB021VS00000</t>
  </si>
  <si>
    <t>50 SQ MM RING TYPE M-10 MM HOLE ALLUMINUM</t>
  </si>
  <si>
    <t>ELA50SQMMRINGM10MMLVS</t>
  </si>
  <si>
    <t>ELAB022VS00000</t>
  </si>
  <si>
    <t>2.5 SQ MM COPPER FORK TYPE INSU-LUGS</t>
  </si>
  <si>
    <t>ELA2.5SQMMCOPPERVS</t>
  </si>
  <si>
    <t>ELAD005VS00000</t>
  </si>
  <si>
    <t>PG 13.5 PVC CABLE GLAND</t>
  </si>
  <si>
    <t>ELACBLGLANDPG13.5VS</t>
  </si>
  <si>
    <t>ELAC002VS00000</t>
  </si>
  <si>
    <t>2.5 GREY TERMINAL BLOCK</t>
  </si>
  <si>
    <t>ELA2.5GREYTERMVS</t>
  </si>
  <si>
    <t>ELAC003VS00000</t>
  </si>
  <si>
    <t>2.5 END PLATE FOR TERMINAL BLOCK</t>
  </si>
  <si>
    <t>ELA2.5ENDPLATEVS</t>
  </si>
  <si>
    <t>ELAF001VS00200</t>
  </si>
  <si>
    <t xml:space="preserve">DIN RAIL CHANNEL </t>
  </si>
  <si>
    <t>ELADINRAILMCBVS</t>
  </si>
  <si>
    <t>ELAB023VS00000</t>
  </si>
  <si>
    <t>0.5 SQ MM END SLEEVE LUGS</t>
  </si>
  <si>
    <t>ELA0.5SQMMENDSLEVEVS</t>
  </si>
  <si>
    <t>ELAG001VS00000</t>
  </si>
  <si>
    <t>SPIRAL FOR FLEXIBLE CABEL  3X8 (9 MM ) BLACK</t>
  </si>
  <si>
    <t>ELASPIRAL3X8BLKVS</t>
  </si>
  <si>
    <t>ELAT001VS00000</t>
  </si>
  <si>
    <t xml:space="preserve">CREDAL STICKER FOR PANEL </t>
  </si>
  <si>
    <t>ELACREDALSTICKVS</t>
  </si>
  <si>
    <t>ELAA075KS00005</t>
  </si>
  <si>
    <t>75 MM CABLE TIE KSS WHITE</t>
  </si>
  <si>
    <t>ELA75MMCABLETIEKS</t>
  </si>
  <si>
    <t>ELAV001NO00306</t>
  </si>
  <si>
    <t>SOLAR LED STEET LIGHT 18W SEMI INTEGRATED,CHARGER CONTROLLER MPPT BATTERY 12.8V/18AH  SOLAR PANEL 60W</t>
  </si>
  <si>
    <t>ELASOLARLED18WNO</t>
  </si>
  <si>
    <t>ELAD006AE00000</t>
  </si>
  <si>
    <t>PG 7 PVC CABLE GLAND</t>
  </si>
  <si>
    <t>ELAPVCPG7CABLEAE</t>
  </si>
  <si>
    <t>ELAD007AE00000</t>
  </si>
  <si>
    <t>PG 9 PVC CABLE GLAND</t>
  </si>
  <si>
    <t>ELAPVCPG9CABLEAE</t>
  </si>
  <si>
    <t>ELAK004LB00000</t>
  </si>
  <si>
    <t>ANCHOR FASTNER PIN TYPE 12 X 75 MM</t>
  </si>
  <si>
    <t>ELAANCHRFAST12x75MMLB</t>
  </si>
  <si>
    <t>ELAK004NA00000</t>
  </si>
  <si>
    <t>ELAANCHRFAST12x75MMNA</t>
  </si>
  <si>
    <t>ELAB025VS00000</t>
  </si>
  <si>
    <t>ELA1.0SQMMSLEEVEVS</t>
  </si>
  <si>
    <t>ELAB026VS00000</t>
  </si>
  <si>
    <t>ELA10SQMMSLEEVEVS</t>
  </si>
  <si>
    <t>ELAB027VS00000</t>
  </si>
  <si>
    <t>ELA16SQMMSLEEVEVS</t>
  </si>
  <si>
    <t>ELAA200VS00000</t>
  </si>
  <si>
    <t>200 MM 3.6 MM CABLE TIE</t>
  </si>
  <si>
    <t>ELACABLETIE200MMVS</t>
  </si>
  <si>
    <t>ELAB028VS00000</t>
  </si>
  <si>
    <t>ELA70SQMM10MMVS</t>
  </si>
  <si>
    <t>ELAD008VS00000</t>
  </si>
  <si>
    <t>ELAPVCPG16VS</t>
  </si>
  <si>
    <t>ELAD009VS00000</t>
  </si>
  <si>
    <t>ELAPVCPG19VS</t>
  </si>
  <si>
    <t>ELAD010VS00000</t>
  </si>
  <si>
    <t>ELAPVCPG21VS</t>
  </si>
  <si>
    <t>ELAD011VS00000</t>
  </si>
  <si>
    <t>ELAPVCPG36VS</t>
  </si>
  <si>
    <t>ELAD012VS00000</t>
  </si>
  <si>
    <t>ELAPVCPG25VS</t>
  </si>
  <si>
    <t>ELAD013VS00000</t>
  </si>
  <si>
    <t>ELAPVCPG29VS</t>
  </si>
  <si>
    <t>ELAD014VS00000</t>
  </si>
  <si>
    <t>ELA25MMSCMETALVS</t>
  </si>
  <si>
    <t>ELAD015VS00000</t>
  </si>
  <si>
    <t>ELA32MMSCMETALVS</t>
  </si>
  <si>
    <t>ELAD016VS00000</t>
  </si>
  <si>
    <t>ELA35MMSCMETALVS</t>
  </si>
  <si>
    <t>ELAD017VS00000</t>
  </si>
  <si>
    <t>ELA238MMSCMETALVS</t>
  </si>
  <si>
    <t>ELAH001VS00000</t>
  </si>
  <si>
    <t>ELAINSULATIONTAPEBLKVS</t>
  </si>
  <si>
    <t>ELAB029VS00000</t>
  </si>
  <si>
    <t>16 SQ MM RING TYPE M-8 MM HOLE LUGS</t>
  </si>
  <si>
    <t>ELA16SQMMM8MMLUGVS</t>
  </si>
  <si>
    <t>MODM006AD00000</t>
  </si>
  <si>
    <t>RS 485 to RS 232 Convertr</t>
  </si>
  <si>
    <t>MODACCESRS485RS232AD</t>
  </si>
  <si>
    <t>ELAW001JK00000</t>
  </si>
  <si>
    <t>ELALIMITSWITCHTYPJK</t>
  </si>
  <si>
    <t>ELAM108VS00400</t>
  </si>
  <si>
    <t>ELAPOLYCONDUITPG11VS</t>
  </si>
  <si>
    <t>ELAM109VS00500</t>
  </si>
  <si>
    <t>ELAPOLYCONDUITPG21VS</t>
  </si>
  <si>
    <t>ELAM006PC00002</t>
  </si>
  <si>
    <t>50 MM Grey PVC Pipe</t>
  </si>
  <si>
    <t>ELAPVCGREY50MMPC</t>
  </si>
  <si>
    <t>ELAM110PR00000</t>
  </si>
  <si>
    <t>ELAPVCBLK20MMPR</t>
  </si>
  <si>
    <t>ELAM111PR00000</t>
  </si>
  <si>
    <t>ELAPVCBLK50MMPR</t>
  </si>
  <si>
    <t>ELAX001CB00000</t>
  </si>
  <si>
    <t>Encoder Coupler  Accessories</t>
  </si>
  <si>
    <t>ELAENCODERACCESSCB</t>
  </si>
  <si>
    <t>ELAB017VS00000</t>
  </si>
  <si>
    <t>ELA4.0SQMMRINGINSULVS</t>
  </si>
  <si>
    <t>ELAM103VS00000</t>
  </si>
  <si>
    <t>25 MM CONDUIT PVC FLEXIBLE MEDIUM GRADE</t>
  </si>
  <si>
    <t>ELACONDUITPVSFLEXVS</t>
  </si>
  <si>
    <t>ELAP003DT00400</t>
  </si>
  <si>
    <t>CABLE TRAY 150 X 50 MM GI PERFORATED</t>
  </si>
  <si>
    <t>ELAGITRAY150X50MMDT</t>
  </si>
  <si>
    <t>ELAB004ST00000</t>
  </si>
  <si>
    <t>ELACULUG1SQMMST</t>
  </si>
  <si>
    <t>ELAB006ST00000</t>
  </si>
  <si>
    <t>ELACU2.5SQMMST</t>
  </si>
  <si>
    <t>ELAA001ST00000</t>
  </si>
  <si>
    <t>ELACBLTIE100MMST</t>
  </si>
  <si>
    <t>ELAA002ST00000</t>
  </si>
  <si>
    <t>150 MM-CABLE TIE</t>
  </si>
  <si>
    <t>ELACBLTIE150MMST</t>
  </si>
  <si>
    <t>ELAH002ST00000</t>
  </si>
  <si>
    <t>GASKET</t>
  </si>
  <si>
    <t>ELAGASKETST</t>
  </si>
  <si>
    <t>ELAM002PR00001</t>
  </si>
  <si>
    <t>20 mm Mms Pipe Black</t>
  </si>
  <si>
    <t>ELA20MMPVCLACKPR</t>
  </si>
  <si>
    <t>ELAM006PR00001</t>
  </si>
  <si>
    <t>50 mm Mms Pipe Black</t>
  </si>
  <si>
    <t>ELA50MMPVCLACKPR</t>
  </si>
  <si>
    <t>ELAO007ST00000</t>
  </si>
  <si>
    <t>50 MM PVC BAND</t>
  </si>
  <si>
    <t>ELA50MMPVCBANDPR</t>
  </si>
  <si>
    <t>MODM003DY00000</t>
  </si>
  <si>
    <t>Dynalog MAKE RS232 TO RS 485</t>
  </si>
  <si>
    <t>DDAM-8520</t>
  </si>
  <si>
    <t>ELAB031ST00000</t>
  </si>
  <si>
    <t xml:space="preserve">10 SQ MM ALUMINUM RING TYPE LUGS M-6 HOLE </t>
  </si>
  <si>
    <t>ELA10SQMALMM6MMLUGST</t>
  </si>
  <si>
    <t>ELAB032ST00000</t>
  </si>
  <si>
    <t xml:space="preserve">16 SQ MM ALUMINUM RING TYPE LUGS M-6 HOLE </t>
  </si>
  <si>
    <t>ELA16SQMALMM6MMLUGST</t>
  </si>
  <si>
    <t>ELAK005ST00000</t>
  </si>
  <si>
    <t>ANCHOR FASTNER PIN TYPE 12 X 100 MM</t>
  </si>
  <si>
    <t>ELAANCHRFAST12x100MMST</t>
  </si>
  <si>
    <t>ELAL005ST00000</t>
  </si>
  <si>
    <t>40 MM SADDLE</t>
  </si>
  <si>
    <t>ELASADDLE40MMST</t>
  </si>
  <si>
    <t>ELAN007NA00000</t>
  </si>
  <si>
    <t>50 MM CONDUIT PVC FLEXIBLE MEDIUM GRADE</t>
  </si>
  <si>
    <t>ELA50MMPVCFLEXNA</t>
  </si>
  <si>
    <t>ELAO002NA00000</t>
  </si>
  <si>
    <t>20 mm PVC BLACK  medium grade BAND</t>
  </si>
  <si>
    <t>ELA20MMPVCBBLKNA</t>
  </si>
  <si>
    <t>ELAP006DT00107</t>
  </si>
  <si>
    <t>CABLE TRAY 300 X 50 MM GI PERFORATED, silver</t>
  </si>
  <si>
    <t>ELACBLTRAY300X50MMDT</t>
  </si>
  <si>
    <t>ELAB006ST00001</t>
  </si>
  <si>
    <t>LUGS END SLEEVE 2.5 MM</t>
  </si>
  <si>
    <t>ELALUG2.5MMST</t>
  </si>
  <si>
    <t>MODF002WI00304</t>
  </si>
  <si>
    <t>4G GPRS Modem modbus TCP (1 Ethernet Port) with IO</t>
  </si>
  <si>
    <t>MOD4GGPRSWI</t>
  </si>
  <si>
    <t>MODL000SB00400</t>
  </si>
  <si>
    <t>153 Mains Operated Lora Gateway , 230V AC operated (AMR to Gateway RF communication)</t>
  </si>
  <si>
    <t>MODACCESORIESSB005</t>
  </si>
  <si>
    <t>ONGA101ZU00001</t>
  </si>
  <si>
    <t>REFFERENCE CELL CU/CUSO4 , 4SQ.MM COPPER WIRE CABLE</t>
  </si>
  <si>
    <t>MODACCESORIESZU008</t>
  </si>
  <si>
    <t>ONGA101MC00001</t>
  </si>
  <si>
    <t>MODACCESORIESMC009</t>
  </si>
  <si>
    <t>MODN000NA00000</t>
  </si>
  <si>
    <t>Data logger, pulse input , Inbuilt batetry backup with GSm/GPRS</t>
  </si>
  <si>
    <t>MODACCESORIESNA006</t>
  </si>
  <si>
    <t>ELAJ001CT00000</t>
  </si>
  <si>
    <t>Single compression Gland (Size L-16mm) Metal, Make Comet</t>
  </si>
  <si>
    <t>ELACOMPRESSIONGLAND16MMCT</t>
  </si>
  <si>
    <t>ELAD003CT00000</t>
  </si>
  <si>
    <t>Single compression Gland (Size L-19mm) Metal, Make Comet</t>
  </si>
  <si>
    <t>ELACOMPRESGLAND19MMCT</t>
  </si>
  <si>
    <t>ELAZ104FB00000</t>
  </si>
  <si>
    <t>Junction Box with Base plate Size 125(L)*125(B)*80(H)</t>
  </si>
  <si>
    <t>ELAJB125X125X80INCHNA</t>
  </si>
  <si>
    <t>ELAR001ST00002</t>
  </si>
  <si>
    <t xml:space="preserve">1/2" Flexible PVC conduit </t>
  </si>
  <si>
    <t>ELA1/2FLEXPVSCONDUITST</t>
  </si>
  <si>
    <t>ELAD009ST00002</t>
  </si>
  <si>
    <t xml:space="preserve">PG 19 PVC cable gland </t>
  </si>
  <si>
    <t>ELAPG19PVCCBLGLANDST</t>
  </si>
  <si>
    <t>ELAD012ST00002</t>
  </si>
  <si>
    <t xml:space="preserve">PG 25 PVC cable gland </t>
  </si>
  <si>
    <t>ELAPG25PVCCBLGLANDST</t>
  </si>
  <si>
    <t>MODN007NA00000</t>
  </si>
  <si>
    <t>ADVM ProtocolConveter RS232 to RS 485</t>
  </si>
  <si>
    <t>MODACCESORIESADVMNA</t>
  </si>
  <si>
    <t>ELAB052ST00007</t>
  </si>
  <si>
    <t>70 Sq. mm Aluminium Ring type lugs</t>
  </si>
  <si>
    <t>ELA70SQMMALUMLUGST</t>
  </si>
  <si>
    <t>ELAB059ST00007</t>
  </si>
  <si>
    <t>185 Sq. mm Aluminium Ring type lugs</t>
  </si>
  <si>
    <t>ELA185SQMMALUMLUGST</t>
  </si>
  <si>
    <t>ELAB060ST00007</t>
  </si>
  <si>
    <t>240 Sq. mm Aluminium Ring type lugs</t>
  </si>
  <si>
    <t>ELA240SQMMALUMLUGST</t>
  </si>
  <si>
    <t>ELAD019ST00000</t>
  </si>
  <si>
    <t xml:space="preserve">Metal Cable Gland Single comp. 3C*16 Sq.mm Aluminium  Armour cable </t>
  </si>
  <si>
    <t>ELAMTLGLAND3CX16SQMMST</t>
  </si>
  <si>
    <t>ELAD020ST00000</t>
  </si>
  <si>
    <t xml:space="preserve">Metal Cable Gland Single comp. 3C*70 Sq.mm Aluminium  Armour cable </t>
  </si>
  <si>
    <t>ELAMTLGLAND3CX70SQMMST</t>
  </si>
  <si>
    <t>ELAD021ST00000</t>
  </si>
  <si>
    <t xml:space="preserve">Metal Cable Gland Single comp. 3C*185 Sq.mm Aluminium  Armour cable </t>
  </si>
  <si>
    <t>ELAMTLGLAND3CX185SQMMST</t>
  </si>
  <si>
    <t>ELAD022ST00000</t>
  </si>
  <si>
    <t xml:space="preserve">Metal Cable Gland Single comp. 3C*240 Sq.mm Aluminium  Armour cable </t>
  </si>
  <si>
    <t>ELAMTLGLAND3CX240SQMMST</t>
  </si>
  <si>
    <t>ELAB001ST00000</t>
  </si>
  <si>
    <t>Indoor  type, Heat shrinkable cable termination Kit for HT  11 KV ,armour  aluminium cable 3C*70Sq. mm</t>
  </si>
  <si>
    <t>ELATERMCBL3CX70SQMMST</t>
  </si>
  <si>
    <t>ELAY006ST00000</t>
  </si>
  <si>
    <t>O-ring</t>
  </si>
  <si>
    <t>ELAORINGST</t>
  </si>
  <si>
    <t>ELAD023ST00000</t>
  </si>
  <si>
    <t xml:space="preserve">Metal Cable Gland Double comp. 3C*70 Sq.mm Aluminium  Armour cable </t>
  </si>
  <si>
    <t>ELAMTLCBLGLAND3CX70SQMMST</t>
  </si>
  <si>
    <t>ELAD024ST00000</t>
  </si>
  <si>
    <t xml:space="preserve">Metal Cable Gland Double comp. 3C*185 Sq.mm Aluminium  Armour cable </t>
  </si>
  <si>
    <t>ELAMTLCBLGLAND3CX185SQMMST</t>
  </si>
  <si>
    <t>ELAD025ST00000</t>
  </si>
  <si>
    <t xml:space="preserve">Metal Cable Gland Double  comp. 3C*240 Sq.mm Aluminium  Armour cable </t>
  </si>
  <si>
    <t>ELAMTLCBLGLAND3CX240SQMMST</t>
  </si>
  <si>
    <t>MODM008SC00500</t>
  </si>
  <si>
    <t xml:space="preserve"> USB to RS485 Converter (RJ 45 to USB A) , TCSMCNAM3M002P, USB to RS485</t>
  </si>
  <si>
    <t>MODACCESORIESSC007</t>
  </si>
  <si>
    <t>ELAU000NA00000</t>
  </si>
  <si>
    <t>ELACOMBINECODENA</t>
  </si>
  <si>
    <t>ELAP007NA00000</t>
  </si>
  <si>
    <t xml:space="preserve">Cable tray 75x50x1.6x mm perforated </t>
  </si>
  <si>
    <t>ELACBLTRAY75X50X1.6MMNA</t>
  </si>
  <si>
    <t>ONGB101SA00001</t>
  </si>
  <si>
    <t>Coupan with single core 4 sq.mm (min 10 meter)</t>
  </si>
  <si>
    <t>ONGACCESS4SQM1CSA</t>
  </si>
  <si>
    <t>ELAD013NA00000</t>
  </si>
  <si>
    <t>PG 29 PVC Gland</t>
  </si>
  <si>
    <t>Job</t>
  </si>
  <si>
    <t>ELAPG29PVCGLANDNA</t>
  </si>
  <si>
    <t>ELAS002ST00000</t>
  </si>
  <si>
    <t>ELA5A3PINPLUGST</t>
  </si>
  <si>
    <t>ELAZ007NA00000</t>
  </si>
  <si>
    <t>6X6X2.75 inch Junction Box.</t>
  </si>
  <si>
    <t>ELAJB6X6X2.75INCHNA</t>
  </si>
  <si>
    <t>ELAP008NA00100</t>
  </si>
  <si>
    <t>Cable tray 100*25 GI perforatted</t>
  </si>
  <si>
    <t>ELACBLTRAY100X25MMDT</t>
  </si>
  <si>
    <t>MODO001NL00000</t>
  </si>
  <si>
    <t>Antenna with cable - VSAT</t>
  </si>
  <si>
    <t>MODVSATANTCBLNL</t>
  </si>
  <si>
    <t>MODO002NL00000</t>
  </si>
  <si>
    <t>Outdoor Ku BUC - VSAT</t>
  </si>
  <si>
    <t>MODVSATOUTKUBUCNL</t>
  </si>
  <si>
    <t>MODO003NL00000</t>
  </si>
  <si>
    <t>Outdoor Ku LNB - VSAT</t>
  </si>
  <si>
    <t>MODVSATOUTKULNBNL</t>
  </si>
  <si>
    <t>MODO004NL00000</t>
  </si>
  <si>
    <t>Indoor modem - VSAT</t>
  </si>
  <si>
    <t>MODVSATINDMODNL</t>
  </si>
  <si>
    <t>ELAB061ST00000</t>
  </si>
  <si>
    <t>1.0 sq.mm Coper ping type lugs</t>
  </si>
  <si>
    <t>ELA1SQMMCOPPST</t>
  </si>
  <si>
    <t>ELAP003ST00000</t>
  </si>
  <si>
    <t>Cable tray MS -
Size: 100X50X1.6 mm with coupler plate &amp; Suitable nut bolt</t>
  </si>
  <si>
    <t>ELACBLTRAYMS100X50MMDT</t>
  </si>
  <si>
    <t>ELAP002ST00000</t>
  </si>
  <si>
    <t>Cable tray MS -
Size: 50X50X1.6mm with coupler plate &amp; Suitable nut bolt</t>
  </si>
  <si>
    <t>ELACBLTRAY50X50MMDT</t>
  </si>
  <si>
    <t>ELAL006ST00000</t>
  </si>
  <si>
    <t>Saddle UPVC 25 mm</t>
  </si>
  <si>
    <t>ELASADDLEUPVC25MMST</t>
  </si>
  <si>
    <t>ELAL007ST00000</t>
  </si>
  <si>
    <t xml:space="preserve">Saddle PVC 50 mm </t>
  </si>
  <si>
    <t>ELASADDLE50MMST</t>
  </si>
  <si>
    <t>ELAK006NA00000</t>
  </si>
  <si>
    <t>ANCHOR FASTNER PIN TYPE 10 X 75 MM</t>
  </si>
  <si>
    <t>ELAANCHRFAST10x75MMST</t>
  </si>
  <si>
    <t>ELAAE001ST00000</t>
  </si>
  <si>
    <t xml:space="preserve">Ferrule Pipe 12 mm </t>
  </si>
  <si>
    <t>ELAFERRPIPE12MMSC</t>
  </si>
  <si>
    <t>ELAB042VS00000</t>
  </si>
  <si>
    <t>16 SQ MM ALUMINUM RING TYPE LUGS M-6 HOLE</t>
  </si>
  <si>
    <t>ELA16SQMALMM6MMLUGVS</t>
  </si>
  <si>
    <t>ELAD026VS00000</t>
  </si>
  <si>
    <t>PG-11.5 PVC Gland</t>
  </si>
  <si>
    <t>ELAPVCPG11.5VS</t>
  </si>
  <si>
    <t>ELAD027VS00000</t>
  </si>
  <si>
    <t>PG-14 PVC Gland</t>
  </si>
  <si>
    <t>ELAPVCPG14VS</t>
  </si>
  <si>
    <t>ELAD028VS00000</t>
  </si>
  <si>
    <t>PG-20 PVC Gland</t>
  </si>
  <si>
    <t>ELAPVCPG20VS</t>
  </si>
  <si>
    <t>ELAK003LB00000</t>
  </si>
  <si>
    <t>WEDGE TYPE ANCHOR FASTNER 8 X 75 MM</t>
  </si>
  <si>
    <t>ELAWEDGETYPE8x75MMLB</t>
  </si>
  <si>
    <t>ONGA101Z000001</t>
  </si>
  <si>
    <t>Reference Cell Permanent:cy/cuSo4</t>
  </si>
  <si>
    <t>ONFREFCELLCYCUS04</t>
  </si>
  <si>
    <t>ELAK003NA00000</t>
  </si>
  <si>
    <t>ELAWEDGETYPE8x75MMNA</t>
  </si>
  <si>
    <t>ELAZ101NA00000</t>
  </si>
  <si>
    <t>White 4x4 Inch PVC Junction Box</t>
  </si>
  <si>
    <t>ELAPVC4X4JBNA</t>
  </si>
  <si>
    <t>ELAZ102NA00000</t>
  </si>
  <si>
    <t>White 6 x4 Inch PVC Junction Box</t>
  </si>
  <si>
    <t>ELAPVC6X4JBNA</t>
  </si>
  <si>
    <t>ELAB024ST00001</t>
  </si>
  <si>
    <t>2.5 SQ MM RING TypeLUGS</t>
  </si>
  <si>
    <t>ELA2.5SQMMRINGST</t>
  </si>
  <si>
    <t>ELAU106VS00000</t>
  </si>
  <si>
    <t>SMC ENCLOSURE BOX Dimension: 140 x 140 x 95mm</t>
  </si>
  <si>
    <t>ELASMCENCSMCVS</t>
  </si>
  <si>
    <t>ELAY006ST00000 </t>
  </si>
  <si>
    <t>EPDM rubber “O” ring Dimensions: 67x7 mm</t>
  </si>
  <si>
    <t>ELARUBB67X7EPDMST</t>
  </si>
  <si>
    <t>AMRW001ST00000</t>
  </si>
  <si>
    <t>AMR Watermeter box Brand MMT, Size 325*260*180</t>
  </si>
  <si>
    <t>AMRWATERMTERMMTST</t>
  </si>
  <si>
    <t>AMRB025ST00000</t>
  </si>
  <si>
    <t>BATTERY OPERATED ULTRASONIC WATER METER WITH LORA MODEM 25 MM DIA.</t>
  </si>
  <si>
    <t>AMRBATTULTLORADN25ST</t>
  </si>
  <si>
    <t>CABC204PO00003</t>
  </si>
  <si>
    <t>Cable</t>
  </si>
  <si>
    <t>2C X 1.5 SQ MM COPPER CONDUCTOR ARMORED CABLE 1100 V FRLS TYPE</t>
  </si>
  <si>
    <t>CAB2CR1.5SQMMARMRNA</t>
  </si>
  <si>
    <t>CABC402PO00003</t>
  </si>
  <si>
    <t>4C X 1.5 SQ MM COPPER CONDUCTOR ARMORED CABLE 1100 V FRLS TYPE</t>
  </si>
  <si>
    <t>CAB2CR1.5SQMMARMRPO</t>
  </si>
  <si>
    <t>CABC602PO00003</t>
  </si>
  <si>
    <t>6C X 1.5 SQ MM COPPER CONDUCTOR ARMORED CABLE 1100 V FRLS TYPE</t>
  </si>
  <si>
    <t>CAB6C1.5SQMMARMORPO</t>
  </si>
  <si>
    <t>CABS501PO00003</t>
  </si>
  <si>
    <t>5 P X 0.5 SQ MM COPPER CONDUCTOR SHIELDED ARMORED CABLE 1100 V FRLS TYPE</t>
  </si>
  <si>
    <t>CAB5P0.5SQMMCOPPPO</t>
  </si>
  <si>
    <t>CABF405PO00007</t>
  </si>
  <si>
    <t>0.75 SQ MM X 4 CORE FLEXIBLE PVC CABLE 1100 VOLT</t>
  </si>
  <si>
    <t>CAB4CR0.75SQMMPVCPO</t>
  </si>
  <si>
    <t>CABF901PO00007</t>
  </si>
  <si>
    <t>0.75 SQ MM X 4 CORE FLEXIBLE PVC CABLE 1100 VOL</t>
  </si>
  <si>
    <t>CAB10CR1SQMMPVCPO</t>
  </si>
  <si>
    <t>CABF601PO00007</t>
  </si>
  <si>
    <t>1 SQ MM X 6 CORE FLEXIBLE PVC CABLE 1100 VOL</t>
  </si>
  <si>
    <t>CAB6CR1SQMMPVCPO</t>
  </si>
  <si>
    <t>CABF203PO00007</t>
  </si>
  <si>
    <t>1 SQ MM X 2 CORE FLEXIBLE PVC CABLE 1100 VOL</t>
  </si>
  <si>
    <t>CAB2CR1SQMMPVCPO</t>
  </si>
  <si>
    <t>CABF111PO00007</t>
  </si>
  <si>
    <t>16 SQ MM X 1 CORE FLEXIBLE PVC CABLE 1100 COL</t>
  </si>
  <si>
    <t>CAB1CR16SQMMPVCPO</t>
  </si>
  <si>
    <t>CABF401PO00007</t>
  </si>
  <si>
    <t>1 SQ MM X 4 CORE FLEXIBLE PVC CABLE SILVER</t>
  </si>
  <si>
    <t>CAB4CR1SQMMPVCPO</t>
  </si>
  <si>
    <t>CABS504PO00003</t>
  </si>
  <si>
    <t>6 P X 0.5 SQ MM COPPER CONDUCTOR SHIELDED ARMORED CABLE 1100 V FRLS TYPE</t>
  </si>
  <si>
    <t>CAB6P0.5SQMMCOPPPO</t>
  </si>
  <si>
    <t>CABF402PO00003</t>
  </si>
  <si>
    <t>4 C X 1.5 SQ.MM IND FRLS FLEXIBLE CABLE</t>
  </si>
  <si>
    <t>CAB4CR1.5SQMMFLEXPO</t>
  </si>
  <si>
    <t>CABF602PO00003</t>
  </si>
  <si>
    <t>6C X 1.5 SQ.MM IND FRLS MC FLEXIBLE CABLE</t>
  </si>
  <si>
    <t>CAB6C1.5SQMMFRLSPO</t>
  </si>
  <si>
    <t>CABF902PO00003</t>
  </si>
  <si>
    <t>10C X 1.5 SQ.MM IND  FRLS MC FLEXIBLE CABLE</t>
  </si>
  <si>
    <t>CAB10C1.5SQMMFLEXNA</t>
  </si>
  <si>
    <t>CABF302PO00003</t>
  </si>
  <si>
    <t>3C X 1.5 SQ.MM IND FRLS FLEXIBLE CABLE</t>
  </si>
  <si>
    <t>CAB3C1.5SQMMFLEXPO</t>
  </si>
  <si>
    <t>CABF901PO00003</t>
  </si>
  <si>
    <t>10C X 1 SQ.MM IND  FRLS MC FLEXIBLE CABLE</t>
  </si>
  <si>
    <t>CAB10CR1SQMMPVCFLEXPO</t>
  </si>
  <si>
    <t>CABF204PO00003</t>
  </si>
  <si>
    <t>2C X 1.5 SQ.MM IND FRLS FLEXIBLE CABLE</t>
  </si>
  <si>
    <t>CAB2CR1.5SQMMFLEXPO</t>
  </si>
  <si>
    <t>CABF110LA00011</t>
  </si>
  <si>
    <t>10 SQ.MM CABLE</t>
  </si>
  <si>
    <t>CAB10SQMMLA</t>
  </si>
  <si>
    <t>CABF305PO00007</t>
  </si>
  <si>
    <t xml:space="preserve">CABLE 0.5 SQ MM 3 CORE FLEXIBLE MULTISTRAND </t>
  </si>
  <si>
    <t>CAB3CR0.5SQMMMULTIPO</t>
  </si>
  <si>
    <t>CABO001FI00008</t>
  </si>
  <si>
    <t>SINGLE MODE FIBER OPTIC 6 F ARMORED CABLE</t>
  </si>
  <si>
    <t>CABFO6FARMORFI</t>
  </si>
  <si>
    <t>CABO002FI00008</t>
  </si>
  <si>
    <t>12F SM ARMOURED FIBER CABLE</t>
  </si>
  <si>
    <t>CABF12FSMARMORFI</t>
  </si>
  <si>
    <t>CABF102PO00003</t>
  </si>
  <si>
    <t>0.5 SQ MM 1 CORE FLEXIBLE POLYCAB MAKE CABLE</t>
  </si>
  <si>
    <t>CAB1CR0.5SQMMPVCPO</t>
  </si>
  <si>
    <t>CABF602PO00007</t>
  </si>
  <si>
    <t>CAB6CR1.5SQMMPVCPO</t>
  </si>
  <si>
    <t>CABI401PO00007</t>
  </si>
  <si>
    <t xml:space="preserve">CABLE 1 SQ MM 4 CORE INSTRUMENTATION ARMORED SCREENED </t>
  </si>
  <si>
    <t>CAB4CR1SQMMARMORPVCPO</t>
  </si>
  <si>
    <t>CABI505PO00007</t>
  </si>
  <si>
    <t xml:space="preserve">CABLE 1 SQ MM 6 PAIR INSTRUMENTATION ARMORED SCREENED </t>
  </si>
  <si>
    <t>CAB6PR1SQMMPVCPO</t>
  </si>
  <si>
    <t>CABI204PO00007</t>
  </si>
  <si>
    <t xml:space="preserve">CABLE 1 SQ MM 2 COREINSTRUMENTATION ARMORED SCREENED </t>
  </si>
  <si>
    <t>CAB2CR1SQMMARMORPVCPO</t>
  </si>
  <si>
    <t>CABC404PO00006</t>
  </si>
  <si>
    <t>CABLE 4 CORE 4 SQ MM COPPER ARMOURED SINGLE STRAINED</t>
  </si>
  <si>
    <t>CAB4CR4SQMMARMORPVCPO</t>
  </si>
  <si>
    <t>CABT203PO00007</t>
  </si>
  <si>
    <t xml:space="preserve">CABLE 2 CORE 1 SQ MM SHIELDED BRAIDED FLEXIBLE </t>
  </si>
  <si>
    <t>CAB2CR1SQMMSHEILDPVCPO</t>
  </si>
  <si>
    <t>CABF207PO00007</t>
  </si>
  <si>
    <t xml:space="preserve">CABLE 2 CORE 16 SQ MM FLEXIBLE PVC </t>
  </si>
  <si>
    <t>CAB2CR16SQMMPVCPO</t>
  </si>
  <si>
    <t>CABF403KE00003</t>
  </si>
  <si>
    <t>CABLE 2.5 SQ MM 4 CORE FLEXIBLE FRLS</t>
  </si>
  <si>
    <t>CAB4CR2.5SQMMPVCKE</t>
  </si>
  <si>
    <t>CABF303KE00003</t>
  </si>
  <si>
    <t>CABLE 2.5 SQ MM 3 CORE FLEXIBLE FRLS</t>
  </si>
  <si>
    <t>CAB3CR2.5SQMMPVCKE</t>
  </si>
  <si>
    <t>CABF301KE00003</t>
  </si>
  <si>
    <t>CABLE 1 SQ MM 3 CORE FLEXIBLE FRLS</t>
  </si>
  <si>
    <t>CAB3CR1SQMMPVCKE</t>
  </si>
  <si>
    <t>CABF901KE00003</t>
  </si>
  <si>
    <t>CABLE 1 SQ MM 10 CORE FLEXIBLE FRLS</t>
  </si>
  <si>
    <t>CAB10CR1SQMMPVCKE</t>
  </si>
  <si>
    <t>CABI505KE00007</t>
  </si>
  <si>
    <t>CBALE 1 SQ MM 12 CORE KEI MAKE</t>
  </si>
  <si>
    <t>CAB12CR2.51QMMPVCKE</t>
  </si>
  <si>
    <t>CABI506PO00007</t>
  </si>
  <si>
    <t xml:space="preserve">CABLE 1 SQ MM 4 PARI POLYCAB </t>
  </si>
  <si>
    <t>CAB4PR1SQMMPVCPO</t>
  </si>
  <si>
    <t>CABF201PO00001</t>
  </si>
  <si>
    <t xml:space="preserve">CABLE 0.5 SQ MM 2 core PVC PVC POLYCAB </t>
  </si>
  <si>
    <t>CAB2CR0.5SQMMPVCPO</t>
  </si>
  <si>
    <t>CABF902KE00001</t>
  </si>
  <si>
    <t>CABLE 1.5 SQMM 10CORE COPPER FLEXIBLE PVC INSUATED</t>
  </si>
  <si>
    <t>CAB10CR1.5SQMMPVCKE</t>
  </si>
  <si>
    <t>CABF402KE00001</t>
  </si>
  <si>
    <t>CABLE 1.5 SQMM 4CORE COPPER FLEXIBLE PVC INSUATED</t>
  </si>
  <si>
    <t>CAB4CR1.5SQMMCOPPERKE</t>
  </si>
  <si>
    <t>CABF204KE00001</t>
  </si>
  <si>
    <t>CABLE 1.5 SQMM 2CORE COPPER FLEXIBLE PVC INSUATED</t>
  </si>
  <si>
    <t>CAB2CR1.5SQMMCOPPERKE</t>
  </si>
  <si>
    <t>CABF406NA00001</t>
  </si>
  <si>
    <t>Cable 4 core *10 sqmm PVC PVC</t>
  </si>
  <si>
    <t>CAB4CR10SQMMCOPPERNA</t>
  </si>
  <si>
    <t>CABF407NA00001</t>
  </si>
  <si>
    <t>Cable 4 core *16 sqmm PVC PVC</t>
  </si>
  <si>
    <t>CAB4CR10SQMMCOPPERKE</t>
  </si>
  <si>
    <t>CABI000KE00000</t>
  </si>
  <si>
    <t>Combine Code for Billing KEI Make</t>
  </si>
  <si>
    <t>CABGENERALFOR BILLKE</t>
  </si>
  <si>
    <t>CABD108NA00000</t>
  </si>
  <si>
    <t>1 CORE 6 SQ MM DC CABLE FLEXIBLE</t>
  </si>
  <si>
    <t>CAB1CR6SQMMDCNA</t>
  </si>
  <si>
    <t>CABF403PO00001</t>
  </si>
  <si>
    <t>4 Core X 2.5 sq.mm , PVC insulated flexible copper conducter  cable</t>
  </si>
  <si>
    <t>CAB4CR4SQMMFLEXNA</t>
  </si>
  <si>
    <t>CABC702PO00009</t>
  </si>
  <si>
    <t xml:space="preserve">7 Core X 1.5 sq.mm XLPE, PVC insulated copper conducter, Armour cable </t>
  </si>
  <si>
    <t>CAB7C1.5SQMMXLPEPVCPO</t>
  </si>
  <si>
    <t>CABF901PO00001</t>
  </si>
  <si>
    <t xml:space="preserve">1 SQ MM X 10 CORE FLEXIBLE PVC CABLE	</t>
  </si>
  <si>
    <t>CAB10C1SQMMFLEXPVCNA</t>
  </si>
  <si>
    <t>CABF401PO00001</t>
  </si>
  <si>
    <t>1 SQ MM X 4 CORE FLEXIBLE PVC CABLE</t>
  </si>
  <si>
    <t>CAB4CR1SQMMPVCNA</t>
  </si>
  <si>
    <t>CABE000NA00000</t>
  </si>
  <si>
    <t>3+1 copper coaxial Cable</t>
  </si>
  <si>
    <t>CAB3PLUS1COPPERCOAXNA</t>
  </si>
  <si>
    <t>CABW102NA00000</t>
  </si>
  <si>
    <t>0.75 Sq mm ISI Grey Cable for controll wiring</t>
  </si>
  <si>
    <t>CAB2CR0.75SQMMNA</t>
  </si>
  <si>
    <t>CABW110NA00000</t>
  </si>
  <si>
    <t>10 SQ MM POWER CABLE</t>
  </si>
  <si>
    <t>CAB10SQMMPWRNA</t>
  </si>
  <si>
    <t>CABC303NA00009</t>
  </si>
  <si>
    <t>3 C X 2.5 SQ MM XLPE INSULATED COPPER CONDUCTOR ALUMINIUM ARMORED 1100 V CABLE</t>
  </si>
  <si>
    <t>CAB3CR2.5SQMMXLPENA</t>
  </si>
  <si>
    <t>CABC902NA00009</t>
  </si>
  <si>
    <t>10 C X 1.5 SQ MM XLPE INSULATED COPPER CONDUCTOR ALUMINIUM ARMORED 1100 V CABLE</t>
  </si>
  <si>
    <t>CAB10C1.5SQMMXLPENA</t>
  </si>
  <si>
    <t>CABC204NA00009</t>
  </si>
  <si>
    <t>2 C X 1.5 SQ MM XLPE INSULATED COPPER CONDUCTOR ALUMINIUM ARMORED 1100 V CABLE</t>
  </si>
  <si>
    <t>CAB2CR1.5SQMMXLPENA</t>
  </si>
  <si>
    <t>CABC507PO00003</t>
  </si>
  <si>
    <t>2P X 0.5 Sq.mm XLPE conductor,  FRLS  PVC insulated Armour cable</t>
  </si>
  <si>
    <t>CAB2P0.5SQMMXLPEPO</t>
  </si>
  <si>
    <t>CABC508PO00003</t>
  </si>
  <si>
    <t>4P X 0.5 Sq.mm XLPE conductor  FRLS PVC insulated Armour cable</t>
  </si>
  <si>
    <t>CAB4P0.5SQMMXLPEPO</t>
  </si>
  <si>
    <t>CABC403PO00003</t>
  </si>
  <si>
    <t>4C X 2.5 Sq.mm XLPE conductor  FRLS PVC insulated Armour cable</t>
  </si>
  <si>
    <t>CAB4C2.5SQMMXLPEPO</t>
  </si>
  <si>
    <t>CABS204PO00003</t>
  </si>
  <si>
    <t xml:space="preserve">2C*1.5 Sq. mm FRLS, XLPE insulated  shielded copper conductor Armour cable  </t>
  </si>
  <si>
    <t>CAB2C1.5SQMMXLPEPO</t>
  </si>
  <si>
    <t>CABB001NA00000</t>
  </si>
  <si>
    <t>"HPE  DL380  Gen10  2U  RACK  24u 600*1000 with accessories included 4 fan 
1 5skt 5/15 amp pdu MCB 
1 full tray 
1 cable manager 
 "</t>
  </si>
  <si>
    <t>CABETHERNETCAT6NA</t>
  </si>
  <si>
    <t>CABF404NA00001</t>
  </si>
  <si>
    <t xml:space="preserve">CABLE 4 SQ MM 4 CORE flexible cable </t>
  </si>
  <si>
    <t>CAB4C4SQMMFLEXNA</t>
  </si>
  <si>
    <t>CABF701NA00001</t>
  </si>
  <si>
    <t xml:space="preserve">CABLE 1 SQ MM 7 CORE flexible cable </t>
  </si>
  <si>
    <t>CAB7CR1SQMMFLEXNA</t>
  </si>
  <si>
    <t>CABC302PO00009</t>
  </si>
  <si>
    <t xml:space="preserve">3 Core X 1.5sq.mm,1100 V, XLPE Insulated and Multi Core Copper Conductor Industrial Armour Cables </t>
  </si>
  <si>
    <t>CAB3CR1.5SQMMXLPENA</t>
  </si>
  <si>
    <t>CABF501NA00009</t>
  </si>
  <si>
    <t xml:space="preserve">5 Core X 1 Sq.mm XLPE Insulated and PVC Round Sheathed Multi Core Copper Conductor </t>
  </si>
  <si>
    <t>CAB5CR1.5SQMMPVCNA</t>
  </si>
  <si>
    <t>CABF001PP00000</t>
  </si>
  <si>
    <t>8 Core 2 Core Cable Set</t>
  </si>
  <si>
    <t>CAB8C2CCBLSETNA</t>
  </si>
  <si>
    <t>CABC602NA00009</t>
  </si>
  <si>
    <t>TCL cable</t>
  </si>
  <si>
    <t>CAB6C1.5SQMMCOPPNA</t>
  </si>
  <si>
    <t>CABF402NA00006</t>
  </si>
  <si>
    <t xml:space="preserve"> 4 Core * 1.5 Sq, mm  Flexible Cable</t>
  </si>
  <si>
    <t>CAB4CR1.5SQMMFLEXNA</t>
  </si>
  <si>
    <t>CABO002NA00008</t>
  </si>
  <si>
    <t>FIBER OPTIC CABLE  12 CORE SINGLE MODE</t>
  </si>
  <si>
    <t>CABFIBOPT12CNA</t>
  </si>
  <si>
    <t>CABF203PO00001</t>
  </si>
  <si>
    <t>2 Core 1Sq. mm flexible cable</t>
  </si>
  <si>
    <t>CAB2C1SQMMFLEXNA</t>
  </si>
  <si>
    <t>CABF108NA00003</t>
  </si>
  <si>
    <t>1C-6 SQ MM FLEXIBLE FRLS CABLE</t>
  </si>
  <si>
    <t>CAB1CR6SQMMFLEXNA</t>
  </si>
  <si>
    <t>CABF162PO00009</t>
  </si>
  <si>
    <t xml:space="preserve">12C*1Sq mm XLPE Insulated Copper Conductor Industrial Armour Cables </t>
  </si>
  <si>
    <t>CAB12CR1SQMMXLPEPO</t>
  </si>
  <si>
    <t>CABC500PO00002</t>
  </si>
  <si>
    <t>1 Pair x 0.75 sq mm, twisted pair, FR Type, with Al. mylar tape (White Positive, Blue Negative), GI armored cable</t>
  </si>
  <si>
    <t>CAB1P0.75SQMMPO</t>
  </si>
  <si>
    <t>CABC509PO00002</t>
  </si>
  <si>
    <t>2 Pair x 0.75 sq mm, twisted pair, FR Type, with Al. mylar tape (White Positive, Blue Negative), GI armored cable</t>
  </si>
  <si>
    <t>CAB2P0.75SQMMPO</t>
  </si>
  <si>
    <t>CABC505PO00002</t>
  </si>
  <si>
    <t>6 Pair x 0.75 sq mm, twisted pair, FR Type, with Al. mylar tape (White Positive, Blue Negative), GI armored cable</t>
  </si>
  <si>
    <t>CAB6P0.75SQMMPO</t>
  </si>
  <si>
    <t>CABC510PO00007</t>
  </si>
  <si>
    <t xml:space="preserve">2 Pair x 1 sq.mm as per IS 694 copper Shielded twisted, multistranded armoured cablew on </t>
  </si>
  <si>
    <t>CAB2P1SQMMCOPPPO</t>
  </si>
  <si>
    <t>CABJ507AL00100</t>
  </si>
  <si>
    <t>2 pair x 0.5 sqmm armored jelly</t>
  </si>
  <si>
    <t>CAB2P0.64SQMMARMORNA</t>
  </si>
  <si>
    <t>CABJ504AL00200</t>
  </si>
  <si>
    <t>4 pair x 0.5 sqmm armored jelly</t>
  </si>
  <si>
    <t>CAB4P0.34SQMMARMORNA</t>
  </si>
  <si>
    <t>CABJ163AL00300</t>
  </si>
  <si>
    <t>20 pair x 0.5 sqmm armored jelly</t>
  </si>
  <si>
    <t>CAB20P0.38SQMMARMORNA</t>
  </si>
  <si>
    <t>CABI905NA00001</t>
  </si>
  <si>
    <t xml:space="preserve">14CX1.5 sq.mm, Instrumentation cables Armoured Screened instrumentation cable - 1.5 Sqmm Paired </t>
  </si>
  <si>
    <t>CAB14C1.5SQMMNA</t>
  </si>
  <si>
    <t>CABB101NA00000</t>
  </si>
  <si>
    <t>Dlink Cat6 1Mtr</t>
  </si>
  <si>
    <t>CABCAT61MTRNA</t>
  </si>
  <si>
    <t>CABF403PO00003</t>
  </si>
  <si>
    <t>2.5sqmm*4core Copper Flexible Cable-FRLS</t>
  </si>
  <si>
    <t>CAB2.5SQMM4CFLEXPO</t>
  </si>
  <si>
    <t>CABF303NA00003</t>
  </si>
  <si>
    <t>2.5sqmm*3core Copper Flexible Cable FRLS Black</t>
  </si>
  <si>
    <t>CAB2.5SQMM3CFLEXNA</t>
  </si>
  <si>
    <t>CABF203NA00003</t>
  </si>
  <si>
    <t>1sqmm*2core Copper Flexible Cable FRLS-Black</t>
  </si>
  <si>
    <t>CAB1SQMM2CFLEXNA</t>
  </si>
  <si>
    <t>CABF901NA00003</t>
  </si>
  <si>
    <t>10core*1sqmm Copper Flexible Cable Black-FRLS</t>
  </si>
  <si>
    <t>CAB1SQMM10CFLEXNA</t>
  </si>
  <si>
    <t>CABF402PO00001</t>
  </si>
  <si>
    <t>4 core x 1.5 Sq.mm Copper PVC Flexible Cable</t>
  </si>
  <si>
    <t>CAB1.5SQMM4CFLEXNA</t>
  </si>
  <si>
    <t>CABF902PO00001</t>
  </si>
  <si>
    <t>10 core x1.5 Sq mm Copper Flexible Insulated Cable</t>
  </si>
  <si>
    <t>CAB1.5SQMM10CFLEXPO</t>
  </si>
  <si>
    <t>CABF000PO00000</t>
  </si>
  <si>
    <t>Supply of Cable for All Accessories</t>
  </si>
  <si>
    <t>CABACCESSRIESPO</t>
  </si>
  <si>
    <t>CIMA004NA00000</t>
  </si>
  <si>
    <t>PROD-125</t>
  </si>
  <si>
    <t>CIMA012NA00000</t>
  </si>
  <si>
    <t>4G Wireless gateway and DCU</t>
  </si>
  <si>
    <t>PROD-135</t>
  </si>
  <si>
    <t>CIMA015NA00000</t>
  </si>
  <si>
    <t>Handheld Unit</t>
  </si>
  <si>
    <t>PROD-136</t>
  </si>
  <si>
    <t>CIMB006AB00000</t>
  </si>
  <si>
    <t>CIMCON MAKE MODEM - 4G GSM/GPRS</t>
  </si>
  <si>
    <t>PROD-126</t>
  </si>
  <si>
    <t>CIMB005AB00000</t>
  </si>
  <si>
    <t>CIMCON MAKE iRTU 6000 ++</t>
  </si>
  <si>
    <t>PROD-132</t>
  </si>
  <si>
    <t>CIMB0030300000</t>
  </si>
  <si>
    <t>CIMCON MAKE RTU 6000-32 DI-16 DO</t>
  </si>
  <si>
    <t>MOD-PROD-015-040</t>
  </si>
  <si>
    <t>CIMB0030500000</t>
  </si>
  <si>
    <t>CIMCON MAKE RTU 6000 REDUNDANT SYTEM</t>
  </si>
  <si>
    <t>MOD-PROD-015-006</t>
  </si>
  <si>
    <t>CIMB0070600000</t>
  </si>
  <si>
    <t>IRTS10 (TLP) 4AI AND 2DI</t>
  </si>
  <si>
    <t>PRDO-113</t>
  </si>
  <si>
    <t>CIMB003NA00300</t>
  </si>
  <si>
    <t>CIMCON MAKE SPD FOR RTU 6000</t>
  </si>
  <si>
    <t>MOD--017</t>
  </si>
  <si>
    <t>CIMB003NA00400</t>
  </si>
  <si>
    <t>CIMCON MAKE ANTENNA FOR iRTU 6000</t>
  </si>
  <si>
    <t>ANT024</t>
  </si>
  <si>
    <t>CIMB003HM00000</t>
  </si>
  <si>
    <t xml:space="preserve">CIMCON MAKE KBD </t>
  </si>
  <si>
    <t>MOD-PROD-015-028</t>
  </si>
  <si>
    <t>CIMD001AB00000</t>
  </si>
  <si>
    <t>Vibit</t>
  </si>
  <si>
    <t>PROD-005</t>
  </si>
  <si>
    <t>CIMD002AB00000</t>
  </si>
  <si>
    <t>SUB025</t>
  </si>
  <si>
    <t>CIMD003AB00000</t>
  </si>
  <si>
    <t>Vibit Wifi router</t>
  </si>
  <si>
    <t>SUB024</t>
  </si>
  <si>
    <t>CIMB006GM00000</t>
  </si>
  <si>
    <t xml:space="preserve">Rtu 6000++ inbuilt Modem </t>
  </si>
  <si>
    <t>PROD-132 1</t>
  </si>
  <si>
    <t>CIMC011LR00000</t>
  </si>
  <si>
    <t>PROD-142</t>
  </si>
  <si>
    <t>CIMC012LR00000</t>
  </si>
  <si>
    <t>PROD-143</t>
  </si>
  <si>
    <t>CIMC013LR00000</t>
  </si>
  <si>
    <t>Lora Gateway</t>
  </si>
  <si>
    <t>MOD175</t>
  </si>
  <si>
    <t>CIME006AB00000</t>
  </si>
  <si>
    <t>iEdge RTU platform with application development</t>
  </si>
  <si>
    <t>CIMA005NA00000</t>
  </si>
  <si>
    <t>NBiOT SLC</t>
  </si>
  <si>
    <t>PROD-124</t>
  </si>
  <si>
    <t>CIMA006NA00000</t>
  </si>
  <si>
    <t>LCDCU</t>
  </si>
  <si>
    <t>PROD-094</t>
  </si>
  <si>
    <t>CIMC017AB00000</t>
  </si>
  <si>
    <t>PROD-051</t>
  </si>
  <si>
    <t>CIMC018AB00000</t>
  </si>
  <si>
    <t>PROD-092</t>
  </si>
  <si>
    <t>CIMC019AB00000</t>
  </si>
  <si>
    <t>PROD-029</t>
  </si>
  <si>
    <t>CIMC020AB00000</t>
  </si>
  <si>
    <t>PROD-102</t>
  </si>
  <si>
    <t>CIMC021AB00000</t>
  </si>
  <si>
    <t>PROD-017</t>
  </si>
  <si>
    <t>CIMC022AB00000</t>
  </si>
  <si>
    <t>PROD-030</t>
  </si>
  <si>
    <t>CIMC023AB00000</t>
  </si>
  <si>
    <t>PROD-061</t>
  </si>
  <si>
    <t>CIMC024AB00000</t>
  </si>
  <si>
    <t>PROD-027</t>
  </si>
  <si>
    <t>CIMC025AB00000</t>
  </si>
  <si>
    <t>PROD-015</t>
  </si>
  <si>
    <t>CIMC026AB00000</t>
  </si>
  <si>
    <t>iSLC-10 V2 Without GSM</t>
  </si>
  <si>
    <t>PROD-028</t>
  </si>
  <si>
    <t>CIMC027AB00000</t>
  </si>
  <si>
    <t>PROD-75</t>
  </si>
  <si>
    <t>CIMA007NA00000</t>
  </si>
  <si>
    <t>EM Meter</t>
  </si>
  <si>
    <t>PROD-089</t>
  </si>
  <si>
    <t>CIMB004AB00000</t>
  </si>
  <si>
    <t xml:space="preserve">iRTU9000 for GMDA </t>
  </si>
  <si>
    <t>PROD-011</t>
  </si>
  <si>
    <t>CIMB028AB00000</t>
  </si>
  <si>
    <t>edge RTU for GMDA</t>
  </si>
  <si>
    <t>PROD-132GMDA</t>
  </si>
  <si>
    <t>CIMB029AB00000</t>
  </si>
  <si>
    <t>PROD-116</t>
  </si>
  <si>
    <t>CIMB030AB00000</t>
  </si>
  <si>
    <t>PROD-013</t>
  </si>
  <si>
    <t>CIMF029AB00000</t>
  </si>
  <si>
    <t>iRTS -20 , GSM BASE DATA LOGGER FOR COMPUTERISED  TEST  STATION UNIT (CTSU)</t>
  </si>
  <si>
    <t>PROD-144</t>
  </si>
  <si>
    <t>CIVC000XX00000</t>
  </si>
  <si>
    <t>Civil</t>
  </si>
  <si>
    <t>CIVE000XX00000</t>
  </si>
  <si>
    <t>FALSECEILING</t>
  </si>
  <si>
    <t>ELAJ001ST00000</t>
  </si>
  <si>
    <t>GRIP 10 X 50</t>
  </si>
  <si>
    <t>ELACOMPRESGLAND15MMST</t>
  </si>
  <si>
    <t>DPIA001AL00100</t>
  </si>
  <si>
    <t>Vibrationg Wire Piezometer Range: 0 to 10 kg/Sq cm
Accuracy: ± 0.5 % FS</t>
  </si>
  <si>
    <t>DPIDIGITALINST001AL</t>
  </si>
  <si>
    <t>DPIB002AL00700</t>
  </si>
  <si>
    <t>DPIDIGITALINST003AL</t>
  </si>
  <si>
    <t>DPIE000AL00300</t>
  </si>
  <si>
    <t>Seepage Measurement Dam (900x450x3mm), Range: 1000 mm of wc, Resolution: 0.03%</t>
  </si>
  <si>
    <t>DPIDIGITALINST004AL</t>
  </si>
  <si>
    <t>DPIC000AL00801</t>
  </si>
  <si>
    <t>Digital inclionometer probe, mobile data logger, cable reel with 50 m cable &amp; dummy probe suitable for 50 m depth</t>
  </si>
  <si>
    <t>DPIDIGITALINST005AL</t>
  </si>
  <si>
    <t>DPIF000AL01000</t>
  </si>
  <si>
    <t>DPIDIGITALINST006AL</t>
  </si>
  <si>
    <t xml:space="preserve">DPIG000AL01100
</t>
  </si>
  <si>
    <t>DPIDIGITALINST007AL</t>
  </si>
  <si>
    <t>DPIH000WE00000</t>
  </si>
  <si>
    <t>DPIDIGITALINST008WE</t>
  </si>
  <si>
    <t>DPII000RI00000</t>
  </si>
  <si>
    <t>DPIDIGITALINST009AL</t>
  </si>
  <si>
    <t>DPIJ000AL00000</t>
  </si>
  <si>
    <t>DPIDIGITALINST010AL</t>
  </si>
  <si>
    <t>DPIM005AL01200</t>
  </si>
  <si>
    <t>DPIDIGITALINST011AL</t>
  </si>
  <si>
    <t>DPIP000AL01304</t>
  </si>
  <si>
    <t>DPIDIGITALINST012AL</t>
  </si>
  <si>
    <t>DPIP000AL01405</t>
  </si>
  <si>
    <t>DPIDIGITALINST013AL</t>
  </si>
  <si>
    <t>DPIP000AL01506</t>
  </si>
  <si>
    <t>DPIDIGITALINST014AL</t>
  </si>
  <si>
    <t>DPIP000AL01607</t>
  </si>
  <si>
    <t>DPIDIGITALINST015AL</t>
  </si>
  <si>
    <t>DPIP000AL01708</t>
  </si>
  <si>
    <t>DPIDIGITALINST016AL</t>
  </si>
  <si>
    <t>DPIP000AL01809</t>
  </si>
  <si>
    <t>DPIDIGITALINST017AL</t>
  </si>
  <si>
    <t>DPIP000AL01910</t>
  </si>
  <si>
    <t>DPIDIGITALINST018AL</t>
  </si>
  <si>
    <t>DPIP000AL02011</t>
  </si>
  <si>
    <t xml:space="preserve">Mastic Tape Roll 10m ( for making
water proof joint for 2 no 3m long
ABS Inclinometer casing </t>
  </si>
  <si>
    <t>DPIDIGITALINST019AL</t>
  </si>
  <si>
    <t>DPIP000AL02112</t>
  </si>
  <si>
    <t>DPIDIGITALINST020AL</t>
  </si>
  <si>
    <t>DPIP000AL02213</t>
  </si>
  <si>
    <t>Probe with sounder suitable for 50 m depth</t>
  </si>
  <si>
    <t>DPIDIGITALINST021AL</t>
  </si>
  <si>
    <t>DPIP000AL02314</t>
  </si>
  <si>
    <t>DPIDIGITALINST022AL</t>
  </si>
  <si>
    <t>DPIQ006AL02400</t>
  </si>
  <si>
    <t>DPIDIGITALINST023AL</t>
  </si>
  <si>
    <t>ELAU101TR00000</t>
  </si>
  <si>
    <t>Earthing</t>
  </si>
  <si>
    <t>EARTHING RODE WINA BFC BAG 17.2/3 MM</t>
  </si>
  <si>
    <t>ELAEARTHINGELECTRTR</t>
  </si>
  <si>
    <t>ELAU201TR00000</t>
  </si>
  <si>
    <t>EARTHING PIT COVER POLYPLAST SMALL SIZE</t>
  </si>
  <si>
    <t>ELAEARTHINGPITTR</t>
  </si>
  <si>
    <t>ELAU105VS00000</t>
  </si>
  <si>
    <t>ELAEARTHINGRODE80/3VS</t>
  </si>
  <si>
    <t>ELAU101NA00000</t>
  </si>
  <si>
    <t>EARTHING BFC CHEMICAL BAG PRIME 25 KG</t>
  </si>
  <si>
    <t>ELAEARTHINGELEC17.2PITNA</t>
  </si>
  <si>
    <t>ELAU107VS00000</t>
  </si>
  <si>
    <t>EARNAING RODE PRIME SERIES 80/2 GI</t>
  </si>
  <si>
    <t>ELAEARTHINGROD80/2VS</t>
  </si>
  <si>
    <t>ELAU108VS00000</t>
  </si>
  <si>
    <t>FRP EARNA PIT COVER SMALL</t>
  </si>
  <si>
    <t>ELAFRPEARTHPITVS</t>
  </si>
  <si>
    <t>ELAU109TR00000</t>
  </si>
  <si>
    <t>ELAEARTHING25X3TR</t>
  </si>
  <si>
    <t>ELAU110TR00000</t>
  </si>
  <si>
    <t>ELAEARTHINGELEC17.2PITTR</t>
  </si>
  <si>
    <t>ELAU111NA00000</t>
  </si>
  <si>
    <t>ELALIGHTARESSNA</t>
  </si>
  <si>
    <t>ELAU203NA00000</t>
  </si>
  <si>
    <t xml:space="preserve">Earthing GI Plate 600*600*3 mm </t>
  </si>
  <si>
    <t>ELAEARTHINGGI600X600X3NA</t>
  </si>
  <si>
    <t>ELAU108NA00000</t>
  </si>
  <si>
    <t>Earhing Pit cover</t>
  </si>
  <si>
    <t>ELAEARTHINGPITCVRNA</t>
  </si>
  <si>
    <t>ELAU109NA00000</t>
  </si>
  <si>
    <t>GI strip 25*5 mm</t>
  </si>
  <si>
    <t>ELAEARTHING25X3NA</t>
  </si>
  <si>
    <t>ELAU204NA00000</t>
  </si>
  <si>
    <t>ELACHARCOLSLDNA</t>
  </si>
  <si>
    <t>ELAU113KA00600</t>
  </si>
  <si>
    <t>Early Streamer Emission (ESE) Lightning Rod - 87 meters radius</t>
  </si>
  <si>
    <t>ELAESELIGHTROD87MKA</t>
  </si>
  <si>
    <t>ELAU206ST00000</t>
  </si>
  <si>
    <t xml:space="preserve">Earthing Copper Strip size 50x6mm </t>
  </si>
  <si>
    <t>ELACOPPERSTRIP50x6MM</t>
  </si>
  <si>
    <t>ELAU207ST00000</t>
  </si>
  <si>
    <t xml:space="preserve">Earthing Copper Strip size 25x6mm </t>
  </si>
  <si>
    <t>ELACOPPERSTRIP25x6MM</t>
  </si>
  <si>
    <t>EFMR008PL00004</t>
  </si>
  <si>
    <t>ELECTROMAGNETIC FLOW METER 250MM WINA REMOTE DISPLAY &amp;8 METER CABLE</t>
  </si>
  <si>
    <t>8093250MMRD</t>
  </si>
  <si>
    <t>EFMR009PL00005</t>
  </si>
  <si>
    <t>ELECTROMAGNETIC FLOW METER 300MM WINA REMOTE DISPLAY &amp;8 METER CABLE</t>
  </si>
  <si>
    <t>EFMREMDIS300MM8MTRPL</t>
  </si>
  <si>
    <t>EFMR006PL00006</t>
  </si>
  <si>
    <t>ELECTROMAGNETIC FLOW METER 150MM WINA REMOTE DISPLAY &amp;8 METER CABLE</t>
  </si>
  <si>
    <t>EFMREMOTEDIS150MM</t>
  </si>
  <si>
    <t>EFMR007PL00004</t>
  </si>
  <si>
    <t>ELECTROMAGNETIC FLOW METER 200MM WINA REMOTE DISPLAY &amp;8 METER CABLE</t>
  </si>
  <si>
    <t>8093200MMRD</t>
  </si>
  <si>
    <t>EFMI006PL00004</t>
  </si>
  <si>
    <t xml:space="preserve">ELECTROMAGNETIC FLOW METER 150MM WINA INTEGRAL DISPLAY </t>
  </si>
  <si>
    <t>8093150MMID</t>
  </si>
  <si>
    <t>EFMI006PL00005</t>
  </si>
  <si>
    <t xml:space="preserve">ELECTROMAGNETIC FLOW METER 200MM WINA INTEGRAL DISPLAY </t>
  </si>
  <si>
    <t>8093200MMID</t>
  </si>
  <si>
    <t>EFMR005SB00103</t>
  </si>
  <si>
    <t>ELECTROMAGNETIC FLOW METER WINA REMOTE TRANSMITTER WINA DISPLAY 125MM WINA 20 METER CABLE,  ELECTRODE SS316 L, BODY: CI, HARD RUBBER</t>
  </si>
  <si>
    <t>151MFM125MM</t>
  </si>
  <si>
    <t>EFMF004FT00000</t>
  </si>
  <si>
    <t>100 MM FULL BORE FLOWTECH FLOW METER WINA 20 MTR CABLE</t>
  </si>
  <si>
    <t>EFMFULLBOREFLOWFL</t>
  </si>
  <si>
    <t>EFMF004MI00302</t>
  </si>
  <si>
    <t>100 MM FULL BORE FLOW METER WINA 15 MTR CABLE REMOT TYPE</t>
  </si>
  <si>
    <t>MFE600Z-AS0-100-103-15MTR</t>
  </si>
  <si>
    <t>EFMB001EL00000</t>
  </si>
  <si>
    <t xml:space="preserve">BATTERY OPERATED FLOW METER </t>
  </si>
  <si>
    <t>ELMAG600DN050MM</t>
  </si>
  <si>
    <t>EFMB002EL00000</t>
  </si>
  <si>
    <t>ELMAG600DN065MM</t>
  </si>
  <si>
    <t>EFMB003EL00000</t>
  </si>
  <si>
    <t>ELMAG600DN080MM</t>
  </si>
  <si>
    <t>EFMB004EL00000</t>
  </si>
  <si>
    <t>ELMAG600DN100MM</t>
  </si>
  <si>
    <t>EFMF008FT00203</t>
  </si>
  <si>
    <t xml:space="preserve">ELECTROMAGNETIC FLOWMETER </t>
  </si>
  <si>
    <t>EFMELECFLOWMTRFT</t>
  </si>
  <si>
    <t>EFMF009FT00203</t>
  </si>
  <si>
    <t>ELECTROMAGNETIC FLOWMETER</t>
  </si>
  <si>
    <t>EFMELECFLOWMTR300MMFT</t>
  </si>
  <si>
    <t>EFMB005EL00000</t>
  </si>
  <si>
    <t>ELMAG600DN125MM</t>
  </si>
  <si>
    <t>EFMB006EL00000</t>
  </si>
  <si>
    <t>ELMAG600DN150MM</t>
  </si>
  <si>
    <t>EFMB007EL00000</t>
  </si>
  <si>
    <t>ELMAG600DN200MM</t>
  </si>
  <si>
    <t>EFMB008EL00000</t>
  </si>
  <si>
    <t>ELMAG600DN250MM</t>
  </si>
  <si>
    <t>EFMB009EL00000</t>
  </si>
  <si>
    <t>ELMAG600DN300MM</t>
  </si>
  <si>
    <t>EFMB010EL00000</t>
  </si>
  <si>
    <t>ELMAG600DN350MM</t>
  </si>
  <si>
    <t>EFMR008SB00103</t>
  </si>
  <si>
    <t>250 MM FULL BORE FLOWTECH FLOW METER</t>
  </si>
  <si>
    <t>151MFMWRN250RD</t>
  </si>
  <si>
    <t>EFMR004SB00103</t>
  </si>
  <si>
    <t>ELECTROMAGNETIC FLOW METER WINA REMOTE TRANSMITTER WINA DISPLAY 100MM WINA 20 METER CABLE,  ELECTRODE SS316 L, BODY: CI, HARD RUBBER</t>
  </si>
  <si>
    <t>151MFM100MM</t>
  </si>
  <si>
    <t>EFMR006SB00103</t>
  </si>
  <si>
    <t>151MFMWRN150MM8MTRSB</t>
  </si>
  <si>
    <t>EFMR007SB00103</t>
  </si>
  <si>
    <t>151MFMWRN200</t>
  </si>
  <si>
    <t>EFMR001SB00103</t>
  </si>
  <si>
    <t>151MFMWRN050RD</t>
  </si>
  <si>
    <t>EFMR002SB00103</t>
  </si>
  <si>
    <t>151MFMWRN065RD</t>
  </si>
  <si>
    <t>EFMR003SB00103</t>
  </si>
  <si>
    <t>151MFMWRN080RD</t>
  </si>
  <si>
    <t>EFMF011FT00003</t>
  </si>
  <si>
    <t>40 MM FULL BORE FLOWTECH FLWO METER 20 MTR CABLE</t>
  </si>
  <si>
    <t>FLOWMAG900N040RD</t>
  </si>
  <si>
    <t>EFMF006FT00000</t>
  </si>
  <si>
    <t>150 MM FULL BORE FLOWTECH FLOW METER WINA 20 MTR CABLE</t>
  </si>
  <si>
    <t>FLOWMAG900N1503HP</t>
  </si>
  <si>
    <t>EFMG001SB00100</t>
  </si>
  <si>
    <t>POWER CARD ASSEMBLY</t>
  </si>
  <si>
    <t>SBEMPOWERCORD</t>
  </si>
  <si>
    <t>EFMG002SB00100</t>
  </si>
  <si>
    <t>24 VDC PCB CARD</t>
  </si>
  <si>
    <t>SBEM24VDCPCBCARD</t>
  </si>
  <si>
    <t>EFMG003SB00100</t>
  </si>
  <si>
    <t>CPU PCB ASSEMBLY</t>
  </si>
  <si>
    <t>SBEMCPUCARD</t>
  </si>
  <si>
    <t>EFMG004SB00100</t>
  </si>
  <si>
    <t>2 LINE DISPLAY PCB</t>
  </si>
  <si>
    <t>SBEM2LDISPCB</t>
  </si>
  <si>
    <t>EFMG005SB00100</t>
  </si>
  <si>
    <t>485 CARD PCB</t>
  </si>
  <si>
    <t>SBEM485CARDPCB</t>
  </si>
  <si>
    <t>EFMD000NA00000</t>
  </si>
  <si>
    <t>Digital Flow Meter</t>
  </si>
  <si>
    <t>DIGFLOWMETER</t>
  </si>
  <si>
    <t>EFMI004NA00000</t>
  </si>
  <si>
    <t>ELECTROMAGNETIC FLOWMETER 100MMM WITH INTEGRAL DISPAY</t>
  </si>
  <si>
    <t>EFMINTEGTYPDIS100MMNA</t>
  </si>
  <si>
    <t>EFMR006FT00002</t>
  </si>
  <si>
    <t>FLOW METER WITH REMOTE  DISPLAY WITH 15 MTR CABLE 150 MM</t>
  </si>
  <si>
    <t>EFMREMOTEDIS150MM15MTRFT</t>
  </si>
  <si>
    <t>EFMR007FT00002</t>
  </si>
  <si>
    <t>FLOW METER WITH REMOTE  DISPLAY WITH 15 MTR CABLE 200 MM</t>
  </si>
  <si>
    <t>EFMREMDIS200MM15MTRFT</t>
  </si>
  <si>
    <t>EFMR008FT00002</t>
  </si>
  <si>
    <t>FLOW METER WITH REMOTE   DISPLAY WITH 15 MTR CABLE 250 MM</t>
  </si>
  <si>
    <t>EFMREMDIS250MM15MTRFT</t>
  </si>
  <si>
    <t>EFMR009FT00002</t>
  </si>
  <si>
    <t>FLOW METER WITH REMOTE  DISPLAY 15MTR CABLE 300 MM</t>
  </si>
  <si>
    <t>EFMREMDIS300MM15MTRFT</t>
  </si>
  <si>
    <t>EFMR010FT00002</t>
  </si>
  <si>
    <t>FLOW METER WITH REMOTE  DISPLAY WITH 15 MTR350 MM</t>
  </si>
  <si>
    <t>EFMREMDIS350MM15MTRFT</t>
  </si>
  <si>
    <t>EFMR011FT00002</t>
  </si>
  <si>
    <t>FLOW METER WITH REMOTE   DISPLAY WITH 15 MTR CABLE400 MM</t>
  </si>
  <si>
    <t>EFMREMDIS400MM20MTRFT</t>
  </si>
  <si>
    <t>EFMF003FT00403</t>
  </si>
  <si>
    <t xml:space="preserve">80 MM fLOW METER </t>
  </si>
  <si>
    <t>FLOWMAG900N080RD</t>
  </si>
  <si>
    <t>EFMF003FT00000</t>
  </si>
  <si>
    <t>80 MM FULL BORE FLOWTECH FLOW METER</t>
  </si>
  <si>
    <t>FLOWMAG900N0803HP</t>
  </si>
  <si>
    <t>EFMR009SB00103</t>
  </si>
  <si>
    <t>300 MM FULL BORE SBEM FLOW METER</t>
  </si>
  <si>
    <t>151MFMWRN300FB</t>
  </si>
  <si>
    <t>EFMI007NA00000</t>
  </si>
  <si>
    <t>ELECTROMAGNETIC FLOW METER OF 200 MM DIA. INTEGRAL TYPE TRANSMITTER WITH ACCURACY 0.2%</t>
  </si>
  <si>
    <t>8093200MM0.2ACCID</t>
  </si>
  <si>
    <t>EFMR012CM00003</t>
  </si>
  <si>
    <t>40 mm Electromagnetic flow meter with Remote display and cable 20 m length</t>
  </si>
  <si>
    <t>EFMREMDIS40MM20MTRCIM</t>
  </si>
  <si>
    <t>EFMR001CM00003</t>
  </si>
  <si>
    <t>50 mm Electromagnetic flow meter with Remote display and cable 20 m length</t>
  </si>
  <si>
    <t>EFMREMOTEDIS50MMCIM</t>
  </si>
  <si>
    <t>EFMR003CM00003</t>
  </si>
  <si>
    <t>80 mm Electromagnetic flow meter with Remote display and cable 20 m length</t>
  </si>
  <si>
    <t>EFMREMOTEDIS80MMCIM</t>
  </si>
  <si>
    <t>EFMR004CM00003</t>
  </si>
  <si>
    <t>100 mm Electromagnetic flow meter with Remote display and cable 20 m length</t>
  </si>
  <si>
    <t>EFMREMOTEDIS100MMCIM</t>
  </si>
  <si>
    <t>EFMR006CM00003</t>
  </si>
  <si>
    <t>150 mm Electromagnetic flow meter with Remote display and cable 20 m length</t>
  </si>
  <si>
    <t>EFMREMOTEDIS150MMCIM</t>
  </si>
  <si>
    <t>EFMR007CM00003</t>
  </si>
  <si>
    <t>200 mm Electromagnetic flow meter  with Remote display and cable 20 m length</t>
  </si>
  <si>
    <t>EFMREMDIS200MM20MTRCIM</t>
  </si>
  <si>
    <t>EFMR008CM00003</t>
  </si>
  <si>
    <t>250 mm Electromagnetic flow meter with Remote display and cable 20 m length</t>
  </si>
  <si>
    <t>EFMREMDIS250MM20MTRCIM</t>
  </si>
  <si>
    <t>EFMR009CM00003</t>
  </si>
  <si>
    <t>300 mm Electromagnetic flow meter with Remote display and cable 20 m length</t>
  </si>
  <si>
    <t>EFMREMDIS300MM20MTRCIM</t>
  </si>
  <si>
    <t>EFMR010CM00003</t>
  </si>
  <si>
    <t>350 mm Electromagnetic flow meter with Remote display and cable 20 m length</t>
  </si>
  <si>
    <t>EFMREMDIS350MM20MTRCIM</t>
  </si>
  <si>
    <t>EFMR011CM00003</t>
  </si>
  <si>
    <t>400 mm Electromagnetic flow meter with Remote display and cable 20 m length</t>
  </si>
  <si>
    <t>EFMREMDIS400MM20MTRCIM</t>
  </si>
  <si>
    <t>EFMR013CM00003</t>
  </si>
  <si>
    <t>600 mm Electromagnetic flow meter with Remote display and cable 20 m length</t>
  </si>
  <si>
    <t>EFMREMDIS600MM20MTRCIM</t>
  </si>
  <si>
    <t>EFMR014CM00003</t>
  </si>
  <si>
    <t>900 mm Electromagnetic flow meter with Remote display and cable 20 m length</t>
  </si>
  <si>
    <t>EFMREMDIS900MM20MTRCIM</t>
  </si>
  <si>
    <t>EFMG004AD00000</t>
  </si>
  <si>
    <t>Insertion type flow meter  400 mm</t>
  </si>
  <si>
    <t>EFMINSRTTYP400MMAD</t>
  </si>
  <si>
    <t>EFMG012AD00000</t>
  </si>
  <si>
    <t>Insertion type flow meter  1200 mm</t>
  </si>
  <si>
    <t>EFMINSRTTYP1200MMAD</t>
  </si>
  <si>
    <t>EFMG013AD00000</t>
  </si>
  <si>
    <t>Insertion type flow meter  1300 mm</t>
  </si>
  <si>
    <t>EFMINSRTTYP1300MMAD</t>
  </si>
  <si>
    <t>EFMF009MI00003</t>
  </si>
  <si>
    <t>Electomagnetic Flow meter 300mm with 20 meter cable</t>
  </si>
  <si>
    <t>EFMFLOW300MM20MTRMS</t>
  </si>
  <si>
    <t>EFMF010MI00003</t>
  </si>
  <si>
    <t>Electomagnetic Flow meter 350mm with 20 meter cable</t>
  </si>
  <si>
    <t>EFMFLOW350MM20MTRMS</t>
  </si>
  <si>
    <t>EFMR006XT00300</t>
  </si>
  <si>
    <t>Flow  DN150</t>
  </si>
  <si>
    <t>EFMFLOWDN150XT</t>
  </si>
  <si>
    <t>EFMR006MI00300</t>
  </si>
  <si>
    <t>iEFM-150</t>
  </si>
  <si>
    <t>EFMR004MI00300</t>
  </si>
  <si>
    <t>iEFM-100</t>
  </si>
  <si>
    <t>EFMR007MI00300</t>
  </si>
  <si>
    <t>iEFM-200</t>
  </si>
  <si>
    <t>EFMR008MI00300</t>
  </si>
  <si>
    <t>iEFM-250</t>
  </si>
  <si>
    <t>EFMR009MI00300</t>
  </si>
  <si>
    <t>iEFM-300</t>
  </si>
  <si>
    <t>EFMR010MI00300</t>
  </si>
  <si>
    <t>iEFM-350</t>
  </si>
  <si>
    <t>EFMR003XT00300</t>
  </si>
  <si>
    <t>Flow  DN80</t>
  </si>
  <si>
    <t>EFMFLOWDN080XT</t>
  </si>
  <si>
    <t>EFMR004XT00300</t>
  </si>
  <si>
    <t>Flow  DN100</t>
  </si>
  <si>
    <t>EFMFLOWDN0100XT</t>
  </si>
  <si>
    <t>EFMR005XT00300</t>
  </si>
  <si>
    <t>Flow  DN125</t>
  </si>
  <si>
    <t>EFMFLOWDN0125XT</t>
  </si>
  <si>
    <t>EFMR007XT00300</t>
  </si>
  <si>
    <t>Flow  DN200</t>
  </si>
  <si>
    <t>EFMFLOWDN0200XT</t>
  </si>
  <si>
    <t>EFMR008XT00300</t>
  </si>
  <si>
    <t>Flow  DN250</t>
  </si>
  <si>
    <t>EFMFLOWDN0250XT</t>
  </si>
  <si>
    <t>EFMR001MI00300</t>
  </si>
  <si>
    <t>iEFM-50</t>
  </si>
  <si>
    <t>EFMR002MI00300</t>
  </si>
  <si>
    <t>iEFM-65</t>
  </si>
  <si>
    <t>HMIA007SC00103</t>
  </si>
  <si>
    <t>GXU TOUCH PANEL 7" W TFT , SL+ENA</t>
  </si>
  <si>
    <t>HMIGXU3512ETH</t>
  </si>
  <si>
    <t>HMIA007RE00203</t>
  </si>
  <si>
    <t>7" TOUCH SCREEN HMI, ENAERNET PORT</t>
  </si>
  <si>
    <t>HMIA007SC00102</t>
  </si>
  <si>
    <t>HMIGXU3512 SCHENIDER TOUCH SCREEN</t>
  </si>
  <si>
    <t>HMIA007MI00303</t>
  </si>
  <si>
    <t>GS2107</t>
  </si>
  <si>
    <t>HMIA007UN00403</t>
  </si>
  <si>
    <t>HMI 7" UNIMAT WINA ENAERNET PORT</t>
  </si>
  <si>
    <t>UH407E</t>
  </si>
  <si>
    <t>HMIA011ST00004</t>
  </si>
  <si>
    <t>HMI 15.6"  WINA WIFI/BLUETOONA ANDROID</t>
  </si>
  <si>
    <t>HMI15.63RDEYE</t>
  </si>
  <si>
    <t>HMIA007CI00503</t>
  </si>
  <si>
    <t>7" TFT CIMCON HMI, SERIAL RS-485/RS-232 AND ETHERNET</t>
  </si>
  <si>
    <t>HMI7INCHSERIALCIM</t>
  </si>
  <si>
    <t>HMIA007RE00202</t>
  </si>
  <si>
    <t>Renu HMI SERIAL RS-485 &amp; RS-232</t>
  </si>
  <si>
    <t>HMIA010UN00003</t>
  </si>
  <si>
    <t>10" HMI</t>
  </si>
  <si>
    <t>HMI10INCHCIM</t>
  </si>
  <si>
    <t>HMI010RE00803</t>
  </si>
  <si>
    <t>HMI 10" with ethernet port- FP4101TN</t>
  </si>
  <si>
    <t>HMIA012SC00905</t>
  </si>
  <si>
    <t>12"W Easy Touch Panel, Ethernet model</t>
  </si>
  <si>
    <t>HMI12INCHEASYSC</t>
  </si>
  <si>
    <t>HMIA007SC01005</t>
  </si>
  <si>
    <t>7"W Easy Touch Panel, Ethernet model</t>
  </si>
  <si>
    <t>HMI7INCHEASYETHSC</t>
  </si>
  <si>
    <t>HMIA010SC01100</t>
  </si>
  <si>
    <t>HMI 10" Wide  screen touch panel, 16M color,COM x 2, 1 USB host/ device RTC, 24V DC</t>
  </si>
  <si>
    <t>HMI10INCHWIDE16COLSC</t>
  </si>
  <si>
    <t>HMIA007KN00703</t>
  </si>
  <si>
    <t>iPMU-7-E-V000</t>
  </si>
  <si>
    <t>HMIA012NA00000</t>
  </si>
  <si>
    <t>Human Machine Interface 12 inch</t>
  </si>
  <si>
    <t>HMI12INCHNA</t>
  </si>
  <si>
    <t>ITAC100DL00100</t>
  </si>
  <si>
    <t>FIBER TRANS RECEIVER (SFP)</t>
  </si>
  <si>
    <t>ITAC101PL00200</t>
  </si>
  <si>
    <t>INDUSTRIAL 24 PORT 10/100/1000 MBPS WINA 4 SHARED SFP MANEGED SWITCH</t>
  </si>
  <si>
    <t>ITAA100PL00300</t>
  </si>
  <si>
    <t>MINI GBIX LX SFP MODULE (SINGLE MODE)</t>
  </si>
  <si>
    <t>ITAB002DL00400</t>
  </si>
  <si>
    <t>2 METER CAT -6 LAN CABLE, GREY COLOR</t>
  </si>
  <si>
    <t>ITAA011DL00500</t>
  </si>
  <si>
    <t>PIGTAIL SC SM- 1 METER</t>
  </si>
  <si>
    <t>ITAA021DL00600</t>
  </si>
  <si>
    <t>PATCHCORD LC-SC S, DUPLEX 3 METER</t>
  </si>
  <si>
    <t>ITAA031DL00700</t>
  </si>
  <si>
    <t>LIU 12 PORT RACK MOUNT</t>
  </si>
  <si>
    <t>ITAD041RI00000</t>
  </si>
  <si>
    <t>600W *12U* 500D Network Enclosure</t>
  </si>
  <si>
    <t>ITANETWORKENCLRI</t>
  </si>
  <si>
    <t>ITSO0010100100</t>
  </si>
  <si>
    <t>SQL SERVER 2019</t>
  </si>
  <si>
    <t>MICROSOFTSQL</t>
  </si>
  <si>
    <t>ITAE001ST00000</t>
  </si>
  <si>
    <t>POWER STRIP 6 SOCKET</t>
  </si>
  <si>
    <t>ITAPOWERSTRIPST</t>
  </si>
  <si>
    <t>ITAD002HP00800</t>
  </si>
  <si>
    <t>CORE I5 WINA ITB HARD DISK 128 GB HARDDISK WIN 10 8GB RAM DVD R/W</t>
  </si>
  <si>
    <t>ITAC001PL00900</t>
  </si>
  <si>
    <t>INDUSTRIAL 4 PORT ENAERNET 2 PORT SFP MANAGED SWITCH</t>
  </si>
  <si>
    <t>ITAA100PL01000</t>
  </si>
  <si>
    <t xml:space="preserve">SFP PORT TRANSCEIVER </t>
  </si>
  <si>
    <t>ITSFPPORTPL</t>
  </si>
  <si>
    <t>ITAA100PL01001</t>
  </si>
  <si>
    <t>TT HANDLING FEE</t>
  </si>
  <si>
    <t>ITHANDLINGFEEPL</t>
  </si>
  <si>
    <t>ITSO0020100000</t>
  </si>
  <si>
    <t>MICROSOFT 365 BUSINESS BASIC (NCE COM 1 YR ANN)</t>
  </si>
  <si>
    <t>ITMICROSOFT365NTS</t>
  </si>
  <si>
    <t>ITSO0020100001</t>
  </si>
  <si>
    <t>SUPPORT CHARGES MAIL MIGRATION SETUP</t>
  </si>
  <si>
    <t>ITSUPPORTCHARGESTS</t>
  </si>
  <si>
    <t>ITAD003HP01100</t>
  </si>
  <si>
    <t>HP DESKTOP I3 12NA GEN 4GB RAM, 1TB HDD,KBD,MOUSE</t>
  </si>
  <si>
    <t>ITHPI312NAGENHP</t>
  </si>
  <si>
    <t>ITAP001HP01200</t>
  </si>
  <si>
    <t>HP DJ 2332 PRINTER</t>
  </si>
  <si>
    <t>HPDJ2332PRINTER</t>
  </si>
  <si>
    <t>ITAB045TL00000</t>
  </si>
  <si>
    <t>8 PORT WEB SMART SWITCH D-LINK</t>
  </si>
  <si>
    <t>ITAB042TL00000</t>
  </si>
  <si>
    <t>TP-LINK 8 PORT 10/100 SWITCH</t>
  </si>
  <si>
    <t>ITTPLINK8PORT10TL</t>
  </si>
  <si>
    <t>ITAV002HP01500</t>
  </si>
  <si>
    <t xml:space="preserve">HP WIRELESS COMBO 330 KEYBOARD </t>
  </si>
  <si>
    <t>ITHPWRELESS330KB</t>
  </si>
  <si>
    <t>ITAB103DL01600</t>
  </si>
  <si>
    <t xml:space="preserve">LAN SWITCH 5 PORT </t>
  </si>
  <si>
    <t>ITLANSWT5PORTDL</t>
  </si>
  <si>
    <t>ITAS005FI00000</t>
  </si>
  <si>
    <t>COMPUTER CABINET FINTERS</t>
  </si>
  <si>
    <t>ITCABINETFI</t>
  </si>
  <si>
    <t>ITAP006IN00000</t>
  </si>
  <si>
    <t>INTEL CORE I5 10NA GENERATION PROCESSOR</t>
  </si>
  <si>
    <t>ITCOREI510NAIN</t>
  </si>
  <si>
    <t>ITAT007ST00000</t>
  </si>
  <si>
    <t>CORSAIR 16GB DDR4 RAM</t>
  </si>
  <si>
    <t>ITCORSAIRST</t>
  </si>
  <si>
    <t>ITAT008ST00000</t>
  </si>
  <si>
    <t>T-GEFORCE GTE730  4GB DDR3</t>
  </si>
  <si>
    <t>ITGEFORCEGTE730ST</t>
  </si>
  <si>
    <t>ITSO0040200000</t>
  </si>
  <si>
    <t>FIELD SENSE SUPPORT FOR SITE PERSON REPORTING</t>
  </si>
  <si>
    <t>ITAFIELDSENSERESUPPORT</t>
  </si>
  <si>
    <t>ITSO0050200000</t>
  </si>
  <si>
    <t>FIELD SENSE SOFTWARE SETUP FOR SITE PERSON REPORTING</t>
  </si>
  <si>
    <t>ITAFIELDSENSESOFTWARE</t>
  </si>
  <si>
    <t>ITAP002BR02100</t>
  </si>
  <si>
    <t xml:space="preserve">BRONAER PRINTER CARTRIDGE COLOUR </t>
  </si>
  <si>
    <t>TN-263BK</t>
  </si>
  <si>
    <t>ITAP003BR02200</t>
  </si>
  <si>
    <t>BRONAER PIRNTER DCP-B7535 DW</t>
  </si>
  <si>
    <t>BRONAER DCP-B7535 DW</t>
  </si>
  <si>
    <t>ITAZ001HI00000</t>
  </si>
  <si>
    <t xml:space="preserve">IP DOM CAMERA 2 MP 4 MM </t>
  </si>
  <si>
    <t>ITACAMERA2MPDOMHI</t>
  </si>
  <si>
    <t>ITAZ002HI00000</t>
  </si>
  <si>
    <t>IP BULLET CAMERA 2 MP 4 MM</t>
  </si>
  <si>
    <t>ITACAMERA2MPBULLHI</t>
  </si>
  <si>
    <t>ITAZ101HI00000</t>
  </si>
  <si>
    <t>DS-7P04NI-Q1</t>
  </si>
  <si>
    <t>ITAZ201ST00000</t>
  </si>
  <si>
    <t>1 TB HARD DISK WD PURPLE</t>
  </si>
  <si>
    <t>ITAHARDDISK1TBST</t>
  </si>
  <si>
    <t>ITAZ301ST00000</t>
  </si>
  <si>
    <t>POE SWITCH - 4 PORT WEB SMART</t>
  </si>
  <si>
    <t>ITAPOESWITCH4PORTST</t>
  </si>
  <si>
    <t>ITAB003DL00000</t>
  </si>
  <si>
    <t>D-LINK CAT-6 CABLE 305 MTR</t>
  </si>
  <si>
    <t>ITADLINKCAT6305MTRCBLDL</t>
  </si>
  <si>
    <t>ITAB004DL00000</t>
  </si>
  <si>
    <t>ITARJ45CONNECTORDL</t>
  </si>
  <si>
    <t>ITAZ004ST00000</t>
  </si>
  <si>
    <t>OUTDOOR JUNCTION BOX-JB FOR CAMERA</t>
  </si>
  <si>
    <t>ITAOUTDOORJBST</t>
  </si>
  <si>
    <t>ITAY003ST00000</t>
  </si>
  <si>
    <t>LED 32" MONITOR FOR CAMERA</t>
  </si>
  <si>
    <t>ITALED32INCHMONITORST</t>
  </si>
  <si>
    <t>ITAZ202ST00000</t>
  </si>
  <si>
    <t>2 TB HARD DISK WD PURPLE</t>
  </si>
  <si>
    <t>ITAHARDDISK2TBST</t>
  </si>
  <si>
    <t>ITAZ302ST00000</t>
  </si>
  <si>
    <t>POE SWITCH - 8 PORT WEB SMART</t>
  </si>
  <si>
    <t>ITAPOESWITCH8PORTST</t>
  </si>
  <si>
    <t>ITAY004CP00000</t>
  </si>
  <si>
    <t>LED 19 " MONITOR</t>
  </si>
  <si>
    <t>ITALED19INCHMONITORCP</t>
  </si>
  <si>
    <t>ITAZ401ST00000</t>
  </si>
  <si>
    <t>RACK-4U -FOR NVR TOP RACKS</t>
  </si>
  <si>
    <t>ITARACK4UTOPRACKST</t>
  </si>
  <si>
    <t>ITAD007HP02300</t>
  </si>
  <si>
    <t>HP2367IL i3/4GB/1TB/20"/WIN11 DESKTOP COMPUTER</t>
  </si>
  <si>
    <t>HP2367I3</t>
  </si>
  <si>
    <t>ITAX001DG00000</t>
  </si>
  <si>
    <t xml:space="preserve">SSD-256 GB -DGNET </t>
  </si>
  <si>
    <t>ITASSD256GBDG</t>
  </si>
  <si>
    <t>ITAP004HP02300</t>
  </si>
  <si>
    <t>PRINTER HP LASEJET 108 A</t>
  </si>
  <si>
    <t>ITAPRINTERA4HP</t>
  </si>
  <si>
    <t>ITAG004AO00000</t>
  </si>
  <si>
    <t>LCD MONITOR 27" AOC  MAKE</t>
  </si>
  <si>
    <t>LCDMONITORAO</t>
  </si>
  <si>
    <t>ITSO0060300000</t>
  </si>
  <si>
    <t>ANTIVIRUS QUICKHEEL</t>
  </si>
  <si>
    <t>ITAANTIVIRUS</t>
  </si>
  <si>
    <t>ITAR001DL02600</t>
  </si>
  <si>
    <t xml:space="preserve">D-LINK DIR-615 FIREWALL ROUTER </t>
  </si>
  <si>
    <t>ITDLINK615FIREWALL</t>
  </si>
  <si>
    <t>ITAH008HP02700</t>
  </si>
  <si>
    <t>SP SERVER HPE PROLIANT ML30 GEN10 PLUS SERVER</t>
  </si>
  <si>
    <t>ITSPSERVERHPEHP</t>
  </si>
  <si>
    <t>ITAD009HP02800</t>
  </si>
  <si>
    <t>HP DESKTOP, HP PRO TWR 280 G9 MT, CORE I3 12100, 3.3GHZ</t>
  </si>
  <si>
    <t>HP280G9</t>
  </si>
  <si>
    <t>ITAY006SM00000</t>
  </si>
  <si>
    <t>SAMSUNG LARGE TV, 43" TV WINA HDMI</t>
  </si>
  <si>
    <t>ITA43INCHLEDSM</t>
  </si>
  <si>
    <t>ITAP005HP00000</t>
  </si>
  <si>
    <t>HP PRINTER HP 178NW COLOR LASER PRINTER</t>
  </si>
  <si>
    <t>ITPRINTER178NWHP</t>
  </si>
  <si>
    <t>ITAI001AT00000</t>
  </si>
  <si>
    <t>ITUSBTOSERIALAT</t>
  </si>
  <si>
    <t>ITAZ303ST00000</t>
  </si>
  <si>
    <t>POE SWITCH - 16 PORT WEB SMART</t>
  </si>
  <si>
    <t>ITAPOESWITCH16PORTST</t>
  </si>
  <si>
    <t>ITAZ304ST00000</t>
  </si>
  <si>
    <t>POE SWITCH - 24 PORT WEB SMART</t>
  </si>
  <si>
    <t>ITAPOESWITCH24PORTST</t>
  </si>
  <si>
    <t>ITAZ402ST00000</t>
  </si>
  <si>
    <t>RACK - 6U-NVR - STANDARD MAKE</t>
  </si>
  <si>
    <t>ITARACK6UNVRST</t>
  </si>
  <si>
    <t>ITAV001ST00000</t>
  </si>
  <si>
    <t>KEYBOARD MOUSE COMBO</t>
  </si>
  <si>
    <t>ITAKEYBOARDMOUSEST</t>
  </si>
  <si>
    <t>ITAF001DE03000</t>
  </si>
  <si>
    <t>DELL LATITUDE 3520 LAPTOP WINA BAG</t>
  </si>
  <si>
    <t>ITADELL3520DE</t>
  </si>
  <si>
    <t>ITAR002SO03100</t>
  </si>
  <si>
    <t>ITAFIREWALLXG87SO</t>
  </si>
  <si>
    <t>ITAR003SO03100</t>
  </si>
  <si>
    <t>FIREWALL ROUTER XG87 WINA STREAM PORTECTION -12 MOS</t>
  </si>
  <si>
    <t>ITAFIREWALLXG87PROTECTSO</t>
  </si>
  <si>
    <t>ITAR004SO03100</t>
  </si>
  <si>
    <t>ITAFIREWALLXG107SO</t>
  </si>
  <si>
    <t>ITAR005SO03100</t>
  </si>
  <si>
    <t>FIREWALL ROUTER XG107 WINA STREAM PORTECTION -12 MOS</t>
  </si>
  <si>
    <t>ITAFIREWALLXG107PROTECTSO</t>
  </si>
  <si>
    <t>ITAX002SA00000</t>
  </si>
  <si>
    <t>MICRO SD CARD 32 GB</t>
  </si>
  <si>
    <t>ITAMICROSD32GBBR</t>
  </si>
  <si>
    <t>ITAP007BR03300</t>
  </si>
  <si>
    <t>BRONAER LASERJET ALL IN ONE PRINTER DCP-L3551 CDW</t>
  </si>
  <si>
    <t>DCPL3551CDW</t>
  </si>
  <si>
    <t>ITAZ103HI03400</t>
  </si>
  <si>
    <t>32 CH NVR HIKVISION MAKE</t>
  </si>
  <si>
    <t>ITA32CHNVRHI</t>
  </si>
  <si>
    <t>ITAD010HP03500</t>
  </si>
  <si>
    <t>HP 280 G6 DESKTOP - i3-10100/4GB RAM/1TB HDD/USB-KBD-MOUSE</t>
  </si>
  <si>
    <t>HP280G6</t>
  </si>
  <si>
    <t>ITAY001HP00000</t>
  </si>
  <si>
    <t>HP 21.5 " LED MONITOR</t>
  </si>
  <si>
    <t>HP21.5LEDMONITOR</t>
  </si>
  <si>
    <t>ITAY007DE03600</t>
  </si>
  <si>
    <t>DELL 24 " LED MONITOR</t>
  </si>
  <si>
    <t>DELL24LEDMONITOR</t>
  </si>
  <si>
    <t>ITAY008SM03700</t>
  </si>
  <si>
    <t>SAMSUNG 110" - 55" X4 NOS VIDEO WALL</t>
  </si>
  <si>
    <t>SAMSUNG110INCHSM</t>
  </si>
  <si>
    <t>ITAR006DL03800</t>
  </si>
  <si>
    <t xml:space="preserve">D LINK 4G ROUTER </t>
  </si>
  <si>
    <t>ITADLINK4GROUTER</t>
  </si>
  <si>
    <t>ITAR007SB03700</t>
  </si>
  <si>
    <t>ROUTER - MEDIA PLAYER FOR SAMSUNG VIDEO WALL</t>
  </si>
  <si>
    <t>ITROUTERMEDPLYRSB</t>
  </si>
  <si>
    <t>ITAD011DE04000</t>
  </si>
  <si>
    <t>DELL PRECISION 3650 DESKTOP</t>
  </si>
  <si>
    <t>DELL3650PRECISION</t>
  </si>
  <si>
    <t>ITAH001DE04100</t>
  </si>
  <si>
    <t xml:space="preserve">DELL POWEREDGE R240 INTEL XENON E224 , 8M CACHE 4C/4T TURBO (71 W) 4DIMMS UP TO 5 3.5 " CBLED HARD DRIVES AND SOFTWARE RAID , 1X1 TB 7.2 K RPM SATA 6GBPS 512 N 3.5 " CABLE HARD </t>
  </si>
  <si>
    <t>DELLR240XENONE224</t>
  </si>
  <si>
    <t>ITAX003ST00000</t>
  </si>
  <si>
    <t>ITA8GBDDR4SRAMST</t>
  </si>
  <si>
    <t>ITAP008HP04200</t>
  </si>
  <si>
    <t>HP OFFICE JET 7740 PRO ALLIN ONE</t>
  </si>
  <si>
    <t>HPOFFICEJETPRO7740ALL</t>
  </si>
  <si>
    <t>ITAZ501HI04300</t>
  </si>
  <si>
    <t>PTZ CAMEA - DS-2DF8C442IXS-AEL T5</t>
  </si>
  <si>
    <t>ITAPTZCAMERA</t>
  </si>
  <si>
    <t>ITAP009HP04400</t>
  </si>
  <si>
    <t>HP LASERJET 1018 PRINTER</t>
  </si>
  <si>
    <t>ITAHPLASERJET1018HP</t>
  </si>
  <si>
    <t>ITAD012HP04500</t>
  </si>
  <si>
    <t>Core i7 10NA gen Desktop/Laptop wiNA 8 GB RAM and 1TB SSD wiNA latest configurations</t>
  </si>
  <si>
    <t>ITAI710THGEN8GB1TBHP</t>
  </si>
  <si>
    <t>ITAB105DL00000</t>
  </si>
  <si>
    <t>SURGE PROTECTOR FOR ENAERNET</t>
  </si>
  <si>
    <t>ITASURGEPROTECTOR</t>
  </si>
  <si>
    <t>ITAY009SM00000</t>
  </si>
  <si>
    <t>SAMSUNG 65 " LED MONITOR</t>
  </si>
  <si>
    <t>SAMSUNG65INCHLED</t>
  </si>
  <si>
    <t xml:space="preserve">ITAD043ST00000	</t>
  </si>
  <si>
    <t>External POE Switch Enclosure</t>
  </si>
  <si>
    <t>ITPOESWITCHST</t>
  </si>
  <si>
    <t>ITAH002DE04600</t>
  </si>
  <si>
    <t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t>
  </si>
  <si>
    <t>ITAR250INTELXENONE224</t>
  </si>
  <si>
    <t>ITAY006XI00000</t>
  </si>
  <si>
    <t>XIAOMI 43"LED</t>
  </si>
  <si>
    <t>IT43INCHLEDXI</t>
  </si>
  <si>
    <t>ITAZ502HI00000</t>
  </si>
  <si>
    <t>PTZ CAMEA BRACKET FOR POLE TYPE INSTALLATION</t>
  </si>
  <si>
    <t>ITAPTZCAMERAPOLETYPEHI</t>
  </si>
  <si>
    <t>ITAZ005ST00000</t>
  </si>
  <si>
    <t>ITAIPBULLETCAMERAST</t>
  </si>
  <si>
    <t>ITAA100DL00300</t>
  </si>
  <si>
    <t>S/M SFP Module FOR FIBER OPTIC CABLE</t>
  </si>
  <si>
    <t>ITFIBEROPTDL</t>
  </si>
  <si>
    <t>ITAA041DL00000</t>
  </si>
  <si>
    <t>OUTDOOR JOINTER FOR FIBER OPTIC CABLE</t>
  </si>
  <si>
    <t>ITAOUTDOORFIBERCBLDL</t>
  </si>
  <si>
    <t>ITAW004ST00000</t>
  </si>
  <si>
    <t>MONAERBOARD</t>
  </si>
  <si>
    <t>ITMONAERBOARDST</t>
  </si>
  <si>
    <t>ITSA0010100202</t>
  </si>
  <si>
    <t>MICROSOFT DATABASE SQL SERVER 2012 R2-LICENSE</t>
  </si>
  <si>
    <t>ITASQL2012R2</t>
  </si>
  <si>
    <t>ITSA0080100202</t>
  </si>
  <si>
    <t>MICROSOFT OS WINDOWS SERVER 2012 R2-LICENSE</t>
  </si>
  <si>
    <t>ITAWINSERVER2012R2</t>
  </si>
  <si>
    <t>ITSC0090400000</t>
  </si>
  <si>
    <t xml:space="preserve"> WEB-BASED SCADA </t>
  </si>
  <si>
    <t>ITWEBSCADACI</t>
  </si>
  <si>
    <t>ITAH003IN00000</t>
  </si>
  <si>
    <t xml:space="preserve">SERVER TOWER TYPE WITH  INTEL Xeon processor 16GB RAM , 1 TB hard disk   </t>
  </si>
  <si>
    <t>ITSERVERTOWXEONIN</t>
  </si>
  <si>
    <t>ITSA100100000</t>
  </si>
  <si>
    <t xml:space="preserve">MS office 2013 professional </t>
  </si>
  <si>
    <t>ITMSOFFICE2013NA</t>
  </si>
  <si>
    <t>ITAX009ST00000</t>
  </si>
  <si>
    <t>ITMONAERBOARD1ST</t>
  </si>
  <si>
    <t>ITAZ601ST00000</t>
  </si>
  <si>
    <t>NVR HARD DISK 1 TB</t>
  </si>
  <si>
    <t>ITANVRHD1TBST</t>
  </si>
  <si>
    <t>ITAV010ST00000</t>
  </si>
  <si>
    <t>ITAGRAPHICCARDST</t>
  </si>
  <si>
    <t>ITAV011ST00000</t>
  </si>
  <si>
    <t>MINI DISPLAY CONVERT</t>
  </si>
  <si>
    <t>ITAMINIDISPLAYST</t>
  </si>
  <si>
    <t>ITAB106DL00000</t>
  </si>
  <si>
    <t>D LINK 4 PORT LAN SWITCH</t>
  </si>
  <si>
    <t>ITADLINK4PORTLANST</t>
  </si>
  <si>
    <t>ITAV012ST00000</t>
  </si>
  <si>
    <t>ITAHDMICABLE10MTR</t>
  </si>
  <si>
    <t>ITAC044XG04700</t>
  </si>
  <si>
    <t>Industrial Media Converter 2*10/100/1000M RJ45 port</t>
  </si>
  <si>
    <t>ITINDSMEDCONVERXG</t>
  </si>
  <si>
    <t>ITAB001DL00000</t>
  </si>
  <si>
    <t>D-Link LAN Cable 1 Meter length</t>
  </si>
  <si>
    <t>ITLANCBL1MTRDL</t>
  </si>
  <si>
    <t>ITAP010HP00000</t>
  </si>
  <si>
    <t>ITAHPBANDWPRINTER</t>
  </si>
  <si>
    <t>ITAZ503NA00000</t>
  </si>
  <si>
    <t>ITA2MPCAMERANA</t>
  </si>
  <si>
    <t>ITAZ504NA00000</t>
  </si>
  <si>
    <t>ITADVRNA</t>
  </si>
  <si>
    <t>ITAZ701NA00000</t>
  </si>
  <si>
    <t>ITA4CH5VDCPSNA</t>
  </si>
  <si>
    <t>ITAZ702NA00001</t>
  </si>
  <si>
    <t>ITACAMERABOX4X4NA</t>
  </si>
  <si>
    <t>ITAZ703NA00002</t>
  </si>
  <si>
    <t>ITAVIDEOBALLONNA</t>
  </si>
  <si>
    <t>ITAZ704NA00003</t>
  </si>
  <si>
    <t>ITABNCPINNA</t>
  </si>
  <si>
    <t>ITAZ705NA00004</t>
  </si>
  <si>
    <t>ITADCPINA</t>
  </si>
  <si>
    <t>ITAD014NA00000</t>
  </si>
  <si>
    <t>ITI3512GB8GBHDMINA</t>
  </si>
  <si>
    <t>ITAI002MX04800</t>
  </si>
  <si>
    <t>ITNPORT5130AMX</t>
  </si>
  <si>
    <t>ITAR008KI00000</t>
  </si>
  <si>
    <t>Firewall</t>
  </si>
  <si>
    <t>ITK7FIREWALLKI</t>
  </si>
  <si>
    <t>ITAP011HP00000</t>
  </si>
  <si>
    <t>HP Office Jet Pro 7740 -cartridge</t>
  </si>
  <si>
    <t>HPOFFICEJETPRO7740</t>
  </si>
  <si>
    <t>ITAL016NA00000</t>
  </si>
  <si>
    <t>ITA15INCH1.6GHZCPU2GBNA</t>
  </si>
  <si>
    <t>ITSO012NA00000</t>
  </si>
  <si>
    <t>VMS software ( for CCTV camera )</t>
  </si>
  <si>
    <t>ITAVMSSOFTWARE</t>
  </si>
  <si>
    <t>ITAH004NA00000</t>
  </si>
  <si>
    <t>ITAXENONDDR4RACKMOUNTNA</t>
  </si>
  <si>
    <t>ITAK005NA00000</t>
  </si>
  <si>
    <t xml:space="preserve">Intel Core i7, latest Generation or Higher , RAM 16 GB or Higher, DDR4, Expandable upto 32 GB, </t>
  </si>
  <si>
    <t>ITAI716GBRAMDDR4NA</t>
  </si>
  <si>
    <t>ITAY001NA00000</t>
  </si>
  <si>
    <t xml:space="preserve">LED, 21’’Non –Touch </t>
  </si>
  <si>
    <t>ITALED21INCHNONNA</t>
  </si>
  <si>
    <t>ITAY006NA00000</t>
  </si>
  <si>
    <t>42" LED Monitor 43BM702</t>
  </si>
  <si>
    <t>ITA42INCHLED3BM702</t>
  </si>
  <si>
    <t>ITAY008NA00000</t>
  </si>
  <si>
    <t>55” (Inches) LED Screen</t>
  </si>
  <si>
    <t>ITA55INCHLEDSCREEN</t>
  </si>
  <si>
    <t>ITAK015NA00000</t>
  </si>
  <si>
    <t xml:space="preserve">CPU  :- i3 Processor ,RAM :-4 GB or Higher, 512 GB SATA ,19 inch LED Monitor, Key board , Mouse etc. </t>
  </si>
  <si>
    <t>ITA19INCHI34GB512GBNA</t>
  </si>
  <si>
    <t>ITAY009NA00000</t>
  </si>
  <si>
    <t xml:space="preserve"> 65"  Or Above 4K LFD Professional Display FOR 24X7 Run time including  350 Nit Brightness</t>
  </si>
  <si>
    <t>IT65INCHLFDNA</t>
  </si>
  <si>
    <t>ITAK013NA00000</t>
  </si>
  <si>
    <t>PC hardware with OS Windows 10/12/16 or latest; 64 bit ; Intel Core i7 processor, 8GB RAM, 500GB SATA Hard Drive, 10/100</t>
  </si>
  <si>
    <t>ITAI78GB500GBNA</t>
  </si>
  <si>
    <t>ITAP005NA00000</t>
  </si>
  <si>
    <t>A3 color printer</t>
  </si>
  <si>
    <t>ITAA3COLORNA</t>
  </si>
  <si>
    <t>ITAP004NA00000</t>
  </si>
  <si>
    <t>LaserJet Printer A4 Size Mono chrome</t>
  </si>
  <si>
    <t>ITAA4COLORNA</t>
  </si>
  <si>
    <t>ITAZ203NA00000</t>
  </si>
  <si>
    <t xml:space="preserve">IP PTZ IR Outdoor/indoor Camera with 1/2.8" CMOS sensor, 5MP </t>
  </si>
  <si>
    <t>ITACAMERA1/2.8INCHCMOS</t>
  </si>
  <si>
    <t>ITAZ002NA00000</t>
  </si>
  <si>
    <t>Outdoor/indoor IR IP Bullet Camera with 1/2.8" CMOS sensor, 5MP</t>
  </si>
  <si>
    <t>ITAOUTINDIRIP1/2.8INCH5MP</t>
  </si>
  <si>
    <t>ITAZ502NA00000</t>
  </si>
  <si>
    <t xml:space="preserve">Integrated IP PTZ Keyboard; Joytick </t>
  </si>
  <si>
    <t>ITAIPPTZKEYBOARDNA</t>
  </si>
  <si>
    <t>ITSC0130500000</t>
  </si>
  <si>
    <t>iEdge 360 Platform Lic. (Cimcon think board Software)</t>
  </si>
  <si>
    <t>ITAIEDGE360PLATFORM</t>
  </si>
  <si>
    <t>ITSC0140500000</t>
  </si>
  <si>
    <t>Application development  (Cimcon Software)</t>
  </si>
  <si>
    <t>ITAAPPDEVELOP05</t>
  </si>
  <si>
    <t>ITAB104ST00000</t>
  </si>
  <si>
    <t>12 PORT LAN Switch (unmanageed)</t>
  </si>
  <si>
    <t>ITA12PORTLANSWITCHST</t>
  </si>
  <si>
    <t>ITAB005ST00000</t>
  </si>
  <si>
    <t>Cable tester (RJ 45 Connector )</t>
  </si>
  <si>
    <t>ITACABLETESTERST</t>
  </si>
  <si>
    <t>ITAI003CI00000</t>
  </si>
  <si>
    <t>RS 232 to RS 485 Convertor</t>
  </si>
  <si>
    <t>ITRS232TO485CI</t>
  </si>
  <si>
    <t>ITSC0140600000</t>
  </si>
  <si>
    <t>Mobile App (android/iOS)</t>
  </si>
  <si>
    <t>ITAMOBILEAPP</t>
  </si>
  <si>
    <t>ITAP101BR05000</t>
  </si>
  <si>
    <t>Brother DCP-L3560CDW  Printer</t>
  </si>
  <si>
    <t>ITADCPL3560CDWBR</t>
  </si>
  <si>
    <t>ITA010XI00000</t>
  </si>
  <si>
    <t>75” LED screen</t>
  </si>
  <si>
    <t>ITA75INCHLEDIO</t>
  </si>
  <si>
    <t xml:space="preserve">ITAK017NA00000	</t>
  </si>
  <si>
    <t>i3_x000D_8th generation processor(4GB/1TB/DVD writer,17"" Monitor, mouse and key_x000D_board,</t>
  </si>
  <si>
    <t>ITA17INCHI34GB1TBNA</t>
  </si>
  <si>
    <t>ITAH007DE00000</t>
  </si>
  <si>
    <t>DELLE52440DE</t>
  </si>
  <si>
    <t>ITAF002ST00000</t>
  </si>
  <si>
    <t>Laptop:(i5, 12th gen, 16GB RAM,512 SSD, 1TB HDD Display:15")</t>
  </si>
  <si>
    <t>ITAI512GEN16GB512GB1TB</t>
  </si>
  <si>
    <t>ITSA0150100000</t>
  </si>
  <si>
    <t>MS Office  licensed oftwares 2019</t>
  </si>
  <si>
    <t>ITAMSOFFICE2019</t>
  </si>
  <si>
    <t>ITSO0070000000</t>
  </si>
  <si>
    <t>License Windows 10 pro(64bit))</t>
  </si>
  <si>
    <t>ITALICENSEWINDOW10PRO</t>
  </si>
  <si>
    <t>ITSA0160100000</t>
  </si>
  <si>
    <t>Office  licensed softwares 2019</t>
  </si>
  <si>
    <t>ITALICESENSE2019SW</t>
  </si>
  <si>
    <t>ITAD012NA04500</t>
  </si>
  <si>
    <t>laptop  Intel Core i7, 15.6-inch touch screen, 16GB RAM, 1TB SSD, Windows 11 Pro, and Bluetooth with a 200m range.</t>
  </si>
  <si>
    <t>ITI715.6INCH16GBNA</t>
  </si>
  <si>
    <t>ITAK018ST00000</t>
  </si>
  <si>
    <t>Desktop PC i5 , 12 th GEN CPU , 16 GB RAM, 128 GB SSD , 500 GB HDD, RS232/RS 485 port ,2 RJ port , Keyboard, optical Mouse , 32" TFT color Monitor, Latest Win pro OS, MS and Antivirus</t>
  </si>
  <si>
    <t>ITAI513GEN8GB21INCHST</t>
  </si>
  <si>
    <t>ITSA0170000000</t>
  </si>
  <si>
    <t>SSL certificate for Cochi server</t>
  </si>
  <si>
    <t>ITSSLCERTCOCHISERNA</t>
  </si>
  <si>
    <t>ITAF004HP00000</t>
  </si>
  <si>
    <t>HP 250 G9  (95X40PA) - Laptop</t>
  </si>
  <si>
    <t>HP250G9</t>
  </si>
  <si>
    <t>ITAB002DL00000</t>
  </si>
  <si>
    <t>Cat-6 LAN Cable 2 mtr</t>
  </si>
  <si>
    <t>ITCAT6LANCBL2MTRDL</t>
  </si>
  <si>
    <t>ITAM016ST00000</t>
  </si>
  <si>
    <t>16 GB Memory Card</t>
  </si>
  <si>
    <t>IT16GBMEMST</t>
  </si>
  <si>
    <t>ITAA021DL00000</t>
  </si>
  <si>
    <t>D-Link PATCH CORD LC-SC SM DUPLEX LENGTH- 2m</t>
  </si>
  <si>
    <t>ITPATCHCRDLCSCDL</t>
  </si>
  <si>
    <t>ITSA009SC00000</t>
  </si>
  <si>
    <t>AVEVA Plant HMI 2023 R2 1200 Tags, Scada Software</t>
  </si>
  <si>
    <t>ITAVEVAPLANTHMISC</t>
  </si>
  <si>
    <t>ITAM001NA00000</t>
  </si>
  <si>
    <t xml:space="preserve">KEYBOARD Dell </t>
  </si>
  <si>
    <t>ITAKEYBRDDELLNA</t>
  </si>
  <si>
    <t>ITAM003NA00000</t>
  </si>
  <si>
    <t>Mouse Dell</t>
  </si>
  <si>
    <t>ITMOUSEDELLNA</t>
  </si>
  <si>
    <t>ELAU104VS00000</t>
  </si>
  <si>
    <t>JB</t>
  </si>
  <si>
    <t>ELAJBLIGHTARRESTORVS</t>
  </si>
  <si>
    <t>ELAU102VS00000</t>
  </si>
  <si>
    <t>LIGHTNING ARRESTER KALRE ALR-04 WINA 5 MTR POLE WINA PLATE AND GI STRAY WIRE</t>
  </si>
  <si>
    <t>ELALIGHTAREESTER5MTRVS</t>
  </si>
  <si>
    <t>ELAU103VS00000</t>
  </si>
  <si>
    <t>ELALIGHTAREESTERVS</t>
  </si>
  <si>
    <t>LVLB004PT00101</t>
  </si>
  <si>
    <t>Level Transmitter</t>
  </si>
  <si>
    <t>ULTRASONIC LEVEL TRANSMITTER, 2 WIRE TYPE, 0-10 METER, WINA DISPLAY, 24 VDC</t>
  </si>
  <si>
    <t>LVLE050MI00203</t>
  </si>
  <si>
    <t>VENTED HYDROSTATIC LEVEL SENSOR 0-50 MH20 WINA 45 METER CABLE LENGNA</t>
  </si>
  <si>
    <t>LVLE050MI00303</t>
  </si>
  <si>
    <t>VENTED HYDROSTATIC LEVEL SENSOR 0-50 MH20 WINA 40 METER CABLE LENGNA</t>
  </si>
  <si>
    <t>LVLE050MI00403</t>
  </si>
  <si>
    <t>VENTED HYDROSTATIC LEVEL SENSOR 0-50 MH20 WINA 75 METER CABLE LENGNA</t>
  </si>
  <si>
    <t>LVLA004DS00005</t>
  </si>
  <si>
    <t>CABLE TYPE FLOAT SWITCH 4 METER LENGNA PP TYPE</t>
  </si>
  <si>
    <t>PP4MCFLVLSWT</t>
  </si>
  <si>
    <t>LVLB003BA00502</t>
  </si>
  <si>
    <t>ULTRASONIC LEVEL TRANSMITTER, 0 TO 8 METR RANGE , QT50ULB</t>
  </si>
  <si>
    <t>LVLB004MI00000</t>
  </si>
  <si>
    <t>ULTRASONIC LEVEL TRANSMITTER 0-10 METER MICROSENSOR MAKE</t>
  </si>
  <si>
    <t>LR725L10M</t>
  </si>
  <si>
    <t>LVLF003EL00600</t>
  </si>
  <si>
    <t>BATTERY OPERATED 0 TO 8 MTR LEVEL SENSOR</t>
  </si>
  <si>
    <t>LVLA002DS00005</t>
  </si>
  <si>
    <t>CABLE TYPE FLOAT SWITCH 2 METER LENGNA PP TYPE</t>
  </si>
  <si>
    <t>PP2MCFLVLSWT</t>
  </si>
  <si>
    <t>LVLA003DS00005</t>
  </si>
  <si>
    <t>CABLE TYPE FLOAT SWITCH 3 METER LENGNA PP TYPE</t>
  </si>
  <si>
    <t>PP3MCFLVLSWT</t>
  </si>
  <si>
    <t>LVLE050MI00703</t>
  </si>
  <si>
    <t>HYDROSTATIC PRESSURE TRANSMITTER 0 TO 50 MTR  VENTED</t>
  </si>
  <si>
    <t>LVLC001BE00801</t>
  </si>
  <si>
    <t>RADAR LEVEL TRANSMITTER 0 TO  15 MTR 2 WIRE TYPE - JJM</t>
  </si>
  <si>
    <t>LVLB004EL00901</t>
  </si>
  <si>
    <t xml:space="preserve">ULTRASONIC LEVEL TRANSMITTER 0 TO 10 MTR 2 WIRE 4 TO 20 mA </t>
  </si>
  <si>
    <t>LVLC002SB01001</t>
  </si>
  <si>
    <t xml:space="preserve">RADAR LEVEL TRANSMITTER 0 TO 35 MTR - 2 WIRE TYPE </t>
  </si>
  <si>
    <t>138W5230</t>
  </si>
  <si>
    <t>LVLE120MI00003</t>
  </si>
  <si>
    <t xml:space="preserve">HYDROSTATIC PRESSURE TRANSMITTER 0 TO 120 MTR </t>
  </si>
  <si>
    <t>iHLT-120-V1-E-02-N</t>
  </si>
  <si>
    <t>LVLE200MI00004</t>
  </si>
  <si>
    <t>HYDROSTSTIC DEPNA SENSOR 0-200 METER</t>
  </si>
  <si>
    <t>iHLT-200-V1-E-02-N</t>
  </si>
  <si>
    <t>LVLB002NA00001</t>
  </si>
  <si>
    <t>Ultrasonic Level Transmitter 0 to 6 Meter Range and 4 to 20 mA</t>
  </si>
  <si>
    <t>LVLULT6MTR4TO20CI</t>
  </si>
  <si>
    <t>LVLB003NA00001</t>
  </si>
  <si>
    <t>Ultrasonic Level Transmitter 0 to 8 Meter Range and 4 to 20 mA</t>
  </si>
  <si>
    <t>iULT-08-E-1</t>
  </si>
  <si>
    <t>LVLG000NA00000</t>
  </si>
  <si>
    <t xml:space="preserve">LOSS OF HEAD </t>
  </si>
  <si>
    <t>LVLLOHEADNA</t>
  </si>
  <si>
    <t>LVLH000NA00000</t>
  </si>
  <si>
    <t>RATE OF FLOW</t>
  </si>
  <si>
    <t>LVLROFLOWNA</t>
  </si>
  <si>
    <t>LVLB003NA00000</t>
  </si>
  <si>
    <t xml:space="preserve">Ultrasonic Level Transmitter  0-8 M (as prefered) </t>
  </si>
  <si>
    <t>iULT-08-E-1-PREF</t>
  </si>
  <si>
    <t>LVLC001NA00000</t>
  </si>
  <si>
    <t>Raddartype  Level Transmitter 0-5 M</t>
  </si>
  <si>
    <t>RADLEVTYPE05NA</t>
  </si>
  <si>
    <t>LVLB004NA00001</t>
  </si>
  <si>
    <t xml:space="preserve">Ultrasonic Level Transmetter (0-10Mtr) </t>
  </si>
  <si>
    <t>LVLULT10MTRCI</t>
  </si>
  <si>
    <t>LVLB002ST00001</t>
  </si>
  <si>
    <t>ULTRASONIC LEVEL TRANSMITTER 0 TO 6 MTR 2 WIRE 4 TO 20 mA</t>
  </si>
  <si>
    <t>iULT-06-E-1- STD</t>
  </si>
  <si>
    <t>LVLB002CI00000</t>
  </si>
  <si>
    <t>0-6 METER ULTRASONIC LEVEL SENSOR</t>
  </si>
  <si>
    <t>LVLULT6MTRCI</t>
  </si>
  <si>
    <t>LVLA005SP00002</t>
  </si>
  <si>
    <t xml:space="preserve">Conductivity Level Switch </t>
  </si>
  <si>
    <t>LVLCONDUCTIVITYSP</t>
  </si>
  <si>
    <t>LVLB007NA00001</t>
  </si>
  <si>
    <t>Ultrasonic Level Transmitter0-4 meter</t>
  </si>
  <si>
    <t>LVLULT4MTRCI</t>
  </si>
  <si>
    <t>LVLB008NA00001</t>
  </si>
  <si>
    <t>Ultrasonic Level Transmitter0-3 meter</t>
  </si>
  <si>
    <t>LVLULT3MTRCI</t>
  </si>
  <si>
    <t>LVLB003CI00001</t>
  </si>
  <si>
    <t>ULTRASONIC LEVEL TRANSMITTER 0 TO 8 MTR 2 WIRE 4 TO 20 mA</t>
  </si>
  <si>
    <t>iULT-08-E-1-CIM</t>
  </si>
  <si>
    <t>LVLC003CI00000</t>
  </si>
  <si>
    <t>Radar LEVEL TRANSMITTER 0 TO 4 Mtr - CIMCON make</t>
  </si>
  <si>
    <t>iRLT-04-E-11-CIM</t>
  </si>
  <si>
    <t>LVLB002BE00901</t>
  </si>
  <si>
    <t>iULT-06-E-1</t>
  </si>
  <si>
    <t>LVLB006PT00001</t>
  </si>
  <si>
    <t>ULTRASONIC LEVEL TRANSMITTER 0 TO 20 MTR 2 WIRE 4 TO 20 mA</t>
  </si>
  <si>
    <t>LVLULT20MTRPT</t>
  </si>
  <si>
    <t>PACA001AS00000</t>
  </si>
  <si>
    <t>Packing Material</t>
  </si>
  <si>
    <t>ARMOOUR PACKING</t>
  </si>
  <si>
    <t>PACARMORAS</t>
  </si>
  <si>
    <t>PACB002BM00000</t>
  </si>
  <si>
    <t>605*385*300 UNPRINTED PLY BOX</t>
  </si>
  <si>
    <t>PACPLYBOXBM</t>
  </si>
  <si>
    <t>PACC003BM00000</t>
  </si>
  <si>
    <t>585*360 MM PLY PLATE</t>
  </si>
  <si>
    <t>PACPLYPLATEBM</t>
  </si>
  <si>
    <t>PACD000BM00000</t>
  </si>
  <si>
    <t>PACHONEYCMBBM</t>
  </si>
  <si>
    <t>PACE004BP00000</t>
  </si>
  <si>
    <t>PACMATERIALBP001</t>
  </si>
  <si>
    <t>PACE005BP00000</t>
  </si>
  <si>
    <t>PACMATERIALBP002</t>
  </si>
  <si>
    <t>PACE006BP00000</t>
  </si>
  <si>
    <t>PACMATERIALBP003</t>
  </si>
  <si>
    <t>PACB007ST00000</t>
  </si>
  <si>
    <t>500*310*230 MM 7 PLY BOX</t>
  </si>
  <si>
    <t>PACPLYBOXST</t>
  </si>
  <si>
    <t>PACG001ST00000</t>
  </si>
  <si>
    <t>PACMATERIALST005</t>
  </si>
  <si>
    <t>PACH001ST00000</t>
  </si>
  <si>
    <t>PACMATERIALST006</t>
  </si>
  <si>
    <t>PACI001ST00000</t>
  </si>
  <si>
    <t>PACMATERIALST007</t>
  </si>
  <si>
    <t>PNLE001KR00000</t>
  </si>
  <si>
    <t>Panel</t>
  </si>
  <si>
    <t>STP Panel with mini RTU</t>
  </si>
  <si>
    <t>PNLSTPRTU1KOUTKR</t>
  </si>
  <si>
    <t>PNLF001ST01205</t>
  </si>
  <si>
    <t xml:space="preserve">SINGLE PHASE FEEDER PANEL OUTDOOR AND POLE MOUNT TYPE WITH IFPC </t>
  </si>
  <si>
    <t>PNL1PHFEEDERIFPCST</t>
  </si>
  <si>
    <t>PNLF002ST01203</t>
  </si>
  <si>
    <t xml:space="preserve">THREE PHASE FEEDER PANEL OUTDOOR AND STAND MOUNT TYPE WITH IFPC </t>
  </si>
  <si>
    <t>PNL3PHFEEDERIFPCST</t>
  </si>
  <si>
    <t>PNLI001ST00000</t>
  </si>
  <si>
    <t>TLP BOX WINA BACKELITE PLATE</t>
  </si>
  <si>
    <t>PNLTLPBOXBAKELITEST</t>
  </si>
  <si>
    <t>PNLP001KR01000</t>
  </si>
  <si>
    <t xml:space="preserve">10 HP STARTER PANEL WINA 3 NOS ACTUATOR STARTER PANEL </t>
  </si>
  <si>
    <t>PNLACTSTARTER10HP3NSKR</t>
  </si>
  <si>
    <t>PNLJ000EL00000</t>
  </si>
  <si>
    <t>ELTRO JUNCTIN BOX 400*350*120</t>
  </si>
  <si>
    <t>PNLELECJUNCBOXEL</t>
  </si>
  <si>
    <t>PNLB001NA00200</t>
  </si>
  <si>
    <t>PANEL-1, BOREWEL PANEL AS PER ANNEXURE-1</t>
  </si>
  <si>
    <t>PNLBOREWELLNA</t>
  </si>
  <si>
    <t>PNLB004NA00200</t>
  </si>
  <si>
    <t>PANEL-2, FRENCHWELL &amp; DRINKINGWELL AS PER ANNEXURE-2</t>
  </si>
  <si>
    <t>PNLFRENCHNA</t>
  </si>
  <si>
    <t>PNLK003PO00000</t>
  </si>
  <si>
    <t>ATS PANEL 40 HP POWERTECH</t>
  </si>
  <si>
    <t>PNLATSPANEL40HPPO</t>
  </si>
  <si>
    <t>PNLK004PO00000</t>
  </si>
  <si>
    <t>ATS PANEL 50 HP POWERTECH</t>
  </si>
  <si>
    <t>PNLATSPANEL50HPPO</t>
  </si>
  <si>
    <t>PNLL003PO00000</t>
  </si>
  <si>
    <t>APR PANEL 40 HP POWERTECH</t>
  </si>
  <si>
    <t>PNLAPR40HPPANELPO</t>
  </si>
  <si>
    <t>PNLL006PO00000</t>
  </si>
  <si>
    <t>APR PANEL 70 HP POWERTECH</t>
  </si>
  <si>
    <t>PNLATSPANEL70HPPO</t>
  </si>
  <si>
    <t>PNLM004PO00000</t>
  </si>
  <si>
    <t>250 AMP MCCB BOX POWERTECH</t>
  </si>
  <si>
    <t>PNLMCCB250AMPPO</t>
  </si>
  <si>
    <t>PNLF002KR00000</t>
  </si>
  <si>
    <t>3 PHASE FEEDER PANEL</t>
  </si>
  <si>
    <t>PNL3PHFEEDERKR</t>
  </si>
  <si>
    <t>PNLO001KR00500</t>
  </si>
  <si>
    <t>200 w X 300 H X 300 D CANOPY FOR LEVEL SENSOR</t>
  </si>
  <si>
    <t>PNL200X300CANOPYKR</t>
  </si>
  <si>
    <t>PNLC006KR00300</t>
  </si>
  <si>
    <t>RTU 6000 + 10 SCADA + 10 ACT PANEL</t>
  </si>
  <si>
    <t>PNLACTRTU6K10SCADKR</t>
  </si>
  <si>
    <t>PNLD006KR00300</t>
  </si>
  <si>
    <t>RTU 6000 + 6 SINGLE PHASE ACT PANEL</t>
  </si>
  <si>
    <t>PNLACT6SINPHS6KKR</t>
  </si>
  <si>
    <t>PNLH006KR00100</t>
  </si>
  <si>
    <t>RTU 1000 + 25 HP VFD STARTER PANEL</t>
  </si>
  <si>
    <t>PNLVFDSTAR25HP1KKR</t>
  </si>
  <si>
    <t>PNLH008KR00100</t>
  </si>
  <si>
    <t>RTU 1000 + 35 HP VFD STARTER PANEL</t>
  </si>
  <si>
    <t>PNLVFDSTAR35HP1KKR</t>
  </si>
  <si>
    <t>PNLF013KR00100</t>
  </si>
  <si>
    <t>20 HP X 1 STAR DELTA PANEL WINA MINI RTU</t>
  </si>
  <si>
    <t>PNLSTRDEL1K20HPKR</t>
  </si>
  <si>
    <t>PNLF003KR00101</t>
  </si>
  <si>
    <t>7.5 HP X 1 STAR DELTA PANEL WINA MINI RTU</t>
  </si>
  <si>
    <t>PNLSTRDEL1K7.5HPKR</t>
  </si>
  <si>
    <t>PNLF005KR00101</t>
  </si>
  <si>
    <t>10 HP X  1 STAR DELTA PANEL WINA MINIR RTU</t>
  </si>
  <si>
    <t>PNLSTRDEL1K10HPKR</t>
  </si>
  <si>
    <t>PNLP001NE01000</t>
  </si>
  <si>
    <t>10 HP STARTER PANEL WINA 3 NOS ACTUATOR STARTER PANEL</t>
  </si>
  <si>
    <t>PNLACTSTARTER10HP3NSNE</t>
  </si>
  <si>
    <t>PNLP023KR01000</t>
  </si>
  <si>
    <t>12.5 HP STARTER PANEL WINA 3 NOS ACTUATOR STARTER PANEL</t>
  </si>
  <si>
    <t>PNLACTSTARTER12.5HP3NSKR</t>
  </si>
  <si>
    <t>PNLP023NE01000</t>
  </si>
  <si>
    <t>PNLACTSTARTER12.5HP3NSNE</t>
  </si>
  <si>
    <t>PNLP002KR01000</t>
  </si>
  <si>
    <t>15 HP STARTER PANEL WINA 3 NOS ACTUATOR STARTER PANEL</t>
  </si>
  <si>
    <t>PNLACTSTARTER15HP3NSKR</t>
  </si>
  <si>
    <t>PNLP002NE01000</t>
  </si>
  <si>
    <t>PNLACTSTARTER15HP3NSNE</t>
  </si>
  <si>
    <t>PNLU005KR01000</t>
  </si>
  <si>
    <t>15 HP TW VFD + ACT VFD + SOLAR PDB -JJM</t>
  </si>
  <si>
    <t>PNLVFDSOLAR15HPJJMKR</t>
  </si>
  <si>
    <t>PNLU005NA00400</t>
  </si>
  <si>
    <t>PNL15HPVFDSOLARPDBNA</t>
  </si>
  <si>
    <t>PNLP022KR01000</t>
  </si>
  <si>
    <t>17.5 HP STARTER PANEL WINA 3 NOS ACTUATOR STARTER PANEL</t>
  </si>
  <si>
    <t>PNLACTSTARTER17.5HP3NSKR</t>
  </si>
  <si>
    <t>PNLP022NE01000</t>
  </si>
  <si>
    <t>PNLACTSTARTER17.5HP3NSNE</t>
  </si>
  <si>
    <t>PNLP003KR01000</t>
  </si>
  <si>
    <t>20 HP STARTER PANEL WINA 3 NOS ACTUATOR STARTER PANEL</t>
  </si>
  <si>
    <t>PNLACTSTARTER20HP3NSKR</t>
  </si>
  <si>
    <t>PNLP003NE01000</t>
  </si>
  <si>
    <t>PNLACTSTARTER20HP3NSNE</t>
  </si>
  <si>
    <t>PNLQ001NE00700</t>
  </si>
  <si>
    <t xml:space="preserve">MS FABRICATED BOX OF 305W*450+25H*300MM </t>
  </si>
  <si>
    <t>PNLFABRICATEDBOXNE</t>
  </si>
  <si>
    <t>PNLQ002KR00000</t>
  </si>
  <si>
    <t xml:space="preserve">UPS+BATTERY ENCLOSURE BOX WINA 5 INCH STAND FOR </t>
  </si>
  <si>
    <t>PNLUPSBATTKR</t>
  </si>
  <si>
    <t>PNLF023KR00101</t>
  </si>
  <si>
    <t>40 HP X 1 STAR DELTA PANEL WINA MINI RTU</t>
  </si>
  <si>
    <t>PNLSTRDEL1K40HPKR</t>
  </si>
  <si>
    <t>PNLF008KR00100</t>
  </si>
  <si>
    <t>12.5 HP X 2 STAR DELTA PANEL WINA MINI RTU</t>
  </si>
  <si>
    <t>PNLSTRDEL1K12.5HPKR</t>
  </si>
  <si>
    <t>PNLF020KR00100</t>
  </si>
  <si>
    <t>30 HPX 2 STAR DELTA PANEL WINA MINI RTU</t>
  </si>
  <si>
    <t>PNLSTRDEL1K30HPKR</t>
  </si>
  <si>
    <t>PNLP004KR01000</t>
  </si>
  <si>
    <t>25 HP STARTER PANEL WINA 3 NOS ACTUATOR STARTER PANEL</t>
  </si>
  <si>
    <t>PNLACTSTARTER25HP3NSKR</t>
  </si>
  <si>
    <t>PNLP004NE01000</t>
  </si>
  <si>
    <t>PNLACTSTARTER25HP3NSNE</t>
  </si>
  <si>
    <t>PNLU008KR01000</t>
  </si>
  <si>
    <t>25 HP TW VFD + ACT VFD + SOLAR PDB -JJM</t>
  </si>
  <si>
    <t>PNLVFDSOLAR25HPJJMKR</t>
  </si>
  <si>
    <t>PNLS006ST00000</t>
  </si>
  <si>
    <t xml:space="preserve">PVC JUNCTION BOX 255 X 200 X 80 MM </t>
  </si>
  <si>
    <t>PNLPVCJB255200ST</t>
  </si>
  <si>
    <t>PNLU008NA00400</t>
  </si>
  <si>
    <t>PNL25HPVFDSOLARPDBNA</t>
  </si>
  <si>
    <t>PNLU001NA00400</t>
  </si>
  <si>
    <t>3 TO 5 HP TW VFD + ACT VFD + SOLAR PDB -JJM</t>
  </si>
  <si>
    <t>PNL3TO5HPVFDSOLARPDBNA</t>
  </si>
  <si>
    <t>PNLF003KR00000</t>
  </si>
  <si>
    <t>20 HP STAR DELTA PANEL</t>
  </si>
  <si>
    <t>PNL7.5HOSTRDELTANA</t>
  </si>
  <si>
    <t>PNLU001KR01000</t>
  </si>
  <si>
    <t>PNLVFDSOLAR3TO5HPJJMKR</t>
  </si>
  <si>
    <t>PNLP005KR01000</t>
  </si>
  <si>
    <t>30 HP STARTER PANEL WINA 3 NOS ACTUATOR STARTER PANEL</t>
  </si>
  <si>
    <t>PNLACTSTARTER30HP3NSKR</t>
  </si>
  <si>
    <t>PNLF013KR00000</t>
  </si>
  <si>
    <t>20 HP X 1 STAR DELTA PANEL WINA RTU1000</t>
  </si>
  <si>
    <t>PNLSTRDEL20HPKR</t>
  </si>
  <si>
    <t>PNLF026KR00000</t>
  </si>
  <si>
    <t>50 HP X 2 STAR DELTA PANEL WINA RTU1000</t>
  </si>
  <si>
    <t>PNLSTRDEL1K50HPKR</t>
  </si>
  <si>
    <t>PNLP005NE01000</t>
  </si>
  <si>
    <t>PNLACTSTARTER30HP3NSNE</t>
  </si>
  <si>
    <t>PNLP020KR01000</t>
  </si>
  <si>
    <t>5 HP STARTER PANEL WINA 3 NOS ACTUATOR STARTER PANEL</t>
  </si>
  <si>
    <t>PNLACTSTARTER5HP3NSKR</t>
  </si>
  <si>
    <t>PNLP020NE01000</t>
  </si>
  <si>
    <t>PNLACTSTARTER5HP3NSNE</t>
  </si>
  <si>
    <t>PNLU002NA00400</t>
  </si>
  <si>
    <t>7.5 HP TW VFD + ACT VFD + SOLAR PDB -JJM</t>
  </si>
  <si>
    <t>PNL7.5HPVFDSOLARPDBNA</t>
  </si>
  <si>
    <t>PNLV001KP00801</t>
  </si>
  <si>
    <t>iCL + iTU TRANSMITTER ACRYLIC PANEL-JJM</t>
  </si>
  <si>
    <t>PNLICLITUACRYLICKP</t>
  </si>
  <si>
    <t>PNLV002KP00101</t>
  </si>
  <si>
    <t>RTU 1000 ACRYLIC BOX PANEL FOR TEST LAB SAKAR IV</t>
  </si>
  <si>
    <t>PNLACRYLICRTU1KKP</t>
  </si>
  <si>
    <t>PNLP021KR01000</t>
  </si>
  <si>
    <t>7.5 HP STARTER PANEL WINA 3 NOS ACTUATOR STARTER PANEL</t>
  </si>
  <si>
    <t>PNLACTSTARTER7.5HP3NSKR</t>
  </si>
  <si>
    <t>PNLP021NE01000</t>
  </si>
  <si>
    <t>PNLACTSTARTER7.5HP3NSNE</t>
  </si>
  <si>
    <t>PNLW001SA00000</t>
  </si>
  <si>
    <t>ACTUATOR PANEL WINA ISOLATION TRANSFORMER</t>
  </si>
  <si>
    <t>PNLACTISOLATIONXMERSA</t>
  </si>
  <si>
    <t>PNLB011KP00400</t>
  </si>
  <si>
    <t xml:space="preserve">RTU 6000 + +SCADA+PDB PANEL FOR ZETWERKS </t>
  </si>
  <si>
    <t>PNLPBDRTUZETWERKKP</t>
  </si>
  <si>
    <t>PNLk005PO00000</t>
  </si>
  <si>
    <t>ATS PANEL 60 HP</t>
  </si>
  <si>
    <t>PNLATS60HPPO</t>
  </si>
  <si>
    <t>PNLK009PO00000</t>
  </si>
  <si>
    <t>ATS PANEL 100 HP</t>
  </si>
  <si>
    <t>PNLATS100HPPO</t>
  </si>
  <si>
    <t>PNLL005PO00000</t>
  </si>
  <si>
    <t>APR PANEL 60 HP</t>
  </si>
  <si>
    <t>PNLAPR60HPPO</t>
  </si>
  <si>
    <t>PNLK002PO00000</t>
  </si>
  <si>
    <t>35 HP ATS PANEL</t>
  </si>
  <si>
    <t>PNLATS35HPPO</t>
  </si>
  <si>
    <t>PNLX004PO00000</t>
  </si>
  <si>
    <t>125 AMP SFU BOX</t>
  </si>
  <si>
    <t>PNL125AMPBOXPO</t>
  </si>
  <si>
    <t>PNLB011NE00400</t>
  </si>
  <si>
    <t>RTU +SCADA+PDB PANEL FOR ZETWERKS</t>
  </si>
  <si>
    <t>PNLPBDRTUZETWERKNE</t>
  </si>
  <si>
    <t>PNLH001DI00000</t>
  </si>
  <si>
    <t>3HP VFD PANEL WINAOUT -VFD FROM VENDOR</t>
  </si>
  <si>
    <t>PNLVFD3HPWOVENDORDI</t>
  </si>
  <si>
    <t>PNLH002DI00000</t>
  </si>
  <si>
    <t>5HP VFD PANEL WINAOUT -VFD FROM VENDOR</t>
  </si>
  <si>
    <t>PNLVFD5HPWOVENDORDI</t>
  </si>
  <si>
    <t>PNLB004DI00300</t>
  </si>
  <si>
    <t xml:space="preserve">RTU+4 SCADA PANEL WINA HMI </t>
  </si>
  <si>
    <t>PNLRTU+4SCADAHMIDI</t>
  </si>
  <si>
    <t>PNLB003DI00300</t>
  </si>
  <si>
    <t xml:space="preserve">RTU+3 SCADA PANEL WINA HMI </t>
  </si>
  <si>
    <t>PNLRTU+3SCADAHMIDI</t>
  </si>
  <si>
    <t>PNLO002KR00900</t>
  </si>
  <si>
    <t>200*200*180 CANOPY</t>
  </si>
  <si>
    <t>PNLCANOPYRTU6K16KR</t>
  </si>
  <si>
    <t>PNLK006PO00000</t>
  </si>
  <si>
    <t>70 HP ATS PANEL</t>
  </si>
  <si>
    <t>PNL70HPATSPO</t>
  </si>
  <si>
    <t>PNLU003NA00400</t>
  </si>
  <si>
    <t>10 HP TW VFD + ACT VFD + SOLAR PDB -JJM</t>
  </si>
  <si>
    <t>PNL10HPVFDSOLARPDBNA</t>
  </si>
  <si>
    <t>PNLO006RM01102</t>
  </si>
  <si>
    <t>320W*490H*280D CANOPY for Marsh actuator MOC :-GI</t>
  </si>
  <si>
    <t>PNLCAN320W490H280DRM</t>
  </si>
  <si>
    <t>PNLO007RM01102</t>
  </si>
  <si>
    <t>280W*360H*220D CANOPY for Marsh actuator MOC :-GI</t>
  </si>
  <si>
    <t>PNLCAN280W360H220DRM</t>
  </si>
  <si>
    <t>PNLO008RM01102</t>
  </si>
  <si>
    <t>280W*350H*260D CANOPY for Marsh actuator MOC :-GI</t>
  </si>
  <si>
    <t>PNLCAN280W350H260DRM</t>
  </si>
  <si>
    <t>PNLO009RM01102</t>
  </si>
  <si>
    <t>260W*350H*280D CANOPY for Marsh actuator MOC :-GI</t>
  </si>
  <si>
    <t>PNLCAN260W4350H280DRM</t>
  </si>
  <si>
    <t>PNLO010RM01102</t>
  </si>
  <si>
    <t>230W*270H*220D CANOPY for Marsh actuator MOC :-GI</t>
  </si>
  <si>
    <t>PNLCAN230W270H220DRM</t>
  </si>
  <si>
    <t>PNLF008PR00000</t>
  </si>
  <si>
    <t xml:space="preserve">Tubewell Starter Panel - 12.5 HP X 2 nos </t>
  </si>
  <si>
    <t>PNLTUBSTAR12.5HP2NOSPR</t>
  </si>
  <si>
    <t>PNLF028PR00000</t>
  </si>
  <si>
    <t xml:space="preserve">Pump House Starter Panel - 60 HP X3 nos </t>
  </si>
  <si>
    <t>PNLPUMPHOUSE60HPPR</t>
  </si>
  <si>
    <t>PNLF029PR00000</t>
  </si>
  <si>
    <t xml:space="preserve">Pump House Starter Panel - 100 HP X3 nos </t>
  </si>
  <si>
    <t>PNLPUMPHOUSE100HPPR</t>
  </si>
  <si>
    <t>PNLF024PR00000</t>
  </si>
  <si>
    <t xml:space="preserve">Pump House Starter Panel - 40 HP X 2 nos </t>
  </si>
  <si>
    <t>PNLPUMPHOUSE40HPPR</t>
  </si>
  <si>
    <t>PNLAA007LT00000</t>
  </si>
  <si>
    <t>Main Switch 400 Amp With Enclouser</t>
  </si>
  <si>
    <t>PNLMAINSWT400ALT</t>
  </si>
  <si>
    <t>PNLAA006LT00000</t>
  </si>
  <si>
    <t>PNLMAINSWT320ALT</t>
  </si>
  <si>
    <t>PNLP024NE01000</t>
  </si>
  <si>
    <t>2 HP STARTER PANEL WINA 3 NOS ACTUATOR STARTER PANEL</t>
  </si>
  <si>
    <t>PNLACTSTARTER2HP3NSNE</t>
  </si>
  <si>
    <t>PNLP025NE01000</t>
  </si>
  <si>
    <t>3 HP STARTER PANEL WINA 3 NOS ACTUATOR STARTER PANEL</t>
  </si>
  <si>
    <t>PNLACTSTARTER3HP3NSNE</t>
  </si>
  <si>
    <t>PNLAA004LT00000</t>
  </si>
  <si>
    <t>PNLMAINSWT200ALT</t>
  </si>
  <si>
    <t>PNLG003KR00100</t>
  </si>
  <si>
    <t>20 HP SOFTSTARTER PANEL WINA 2 NOS SINGLE PHASE ACTUATOR CONTROL</t>
  </si>
  <si>
    <t>PNLSOFTSTART20HP2NOKR</t>
  </si>
  <si>
    <t>PNLF003KR00100</t>
  </si>
  <si>
    <t>20 HP STAR DELTA STARTER PANEL WINA 2 NOS SINGLE PHASE ACTUATOR CONTROL</t>
  </si>
  <si>
    <t>PNLSOFTDELTA20HP2NOKR</t>
  </si>
  <si>
    <t>PNLF003NE00000</t>
  </si>
  <si>
    <t>7.5 HP x 1 STAR DELTA PANEL WINAOUT MINI RTU</t>
  </si>
  <si>
    <t>PNLSTRDEL7.5HPNE</t>
  </si>
  <si>
    <t>PNLF005NE00000</t>
  </si>
  <si>
    <t>10 HP X 1 STAR DELTA PANEL WINAOUT MINI RTU</t>
  </si>
  <si>
    <t>PNLSTRDEL10HPNE</t>
  </si>
  <si>
    <t>PNLF017NE00000</t>
  </si>
  <si>
    <t>25 HP X 1 STAR DELTA PANEL WINAOUT MINI RTU</t>
  </si>
  <si>
    <t>PNLSTRDEL25HPNE</t>
  </si>
  <si>
    <t>PNLF002NE00000</t>
  </si>
  <si>
    <t>5 HP X 2 NO STAR DELTA PANEL WINAOUT MINI RTU</t>
  </si>
  <si>
    <t>PNLSTRDEL5HPNE</t>
  </si>
  <si>
    <t>PNLF006NE00000</t>
  </si>
  <si>
    <t>10 HP X 2 NO STAR DELTA PANEL WINAOUT MINI RTU</t>
  </si>
  <si>
    <t>PNLSTRDEL10HP2NONE</t>
  </si>
  <si>
    <t>PNLF008NE00000</t>
  </si>
  <si>
    <t>12.5 HP X 2 NO STAR DELTA PANEL WINAOUT MINI RTU</t>
  </si>
  <si>
    <t>PNLSTRDEL12.5HP2NONE</t>
  </si>
  <si>
    <t>PNLF024NE00000</t>
  </si>
  <si>
    <t>40 HP X 2 NO STAR DELTA PANEL WINAOUT MINI RTU</t>
  </si>
  <si>
    <t>PNLSTRDEL40HP2NONE</t>
  </si>
  <si>
    <t>PNLF030KR00000</t>
  </si>
  <si>
    <t>PNLSTRDEL10,7.5,5HPKR</t>
  </si>
  <si>
    <t>PNLF031KR00000</t>
  </si>
  <si>
    <t>PNLSTRDEL10,3,5HPKR</t>
  </si>
  <si>
    <t>PNLA000KR00000</t>
  </si>
  <si>
    <t>Automation Panel</t>
  </si>
  <si>
    <t>PNLAUTOMATIONKR</t>
  </si>
  <si>
    <t>PNLF003KR01000</t>
  </si>
  <si>
    <t>SCADA + APR +SD+ 3PH ACT</t>
  </si>
  <si>
    <t>PNLSCADAAPRSD3HPACTKR</t>
  </si>
  <si>
    <t>PNLAA005LT00000</t>
  </si>
  <si>
    <t>PNLMAINSWT250ALT</t>
  </si>
  <si>
    <t>PNLAA003LT00000</t>
  </si>
  <si>
    <t>PNLMAINSWT160ALT</t>
  </si>
  <si>
    <t>PNLD001KR00100</t>
  </si>
  <si>
    <t>RTU + 1 NO SINGLE PHASE ACTUATOR PANEL WINA MINI RTU</t>
  </si>
  <si>
    <t>PNLACT1K1PHKR</t>
  </si>
  <si>
    <t>PNLG012KR00000</t>
  </si>
  <si>
    <t>17.5 HP x 2 NOS SOFT STARTER PANEL WINAOUT RTU</t>
  </si>
  <si>
    <t>PNLSOFTSTART17.5HP2NOKR</t>
  </si>
  <si>
    <t>PNLG032KR00000</t>
  </si>
  <si>
    <t>75 HP X 2 NOS SOFT STARTER PANEL WINAOUT RTU</t>
  </si>
  <si>
    <t>PNLSOFTSTART75HP2NOKR</t>
  </si>
  <si>
    <t>PNLG035KR00000</t>
  </si>
  <si>
    <t>100 HP X 2 NOS SOFT STARTER PANEL WINAOUT RTU</t>
  </si>
  <si>
    <t>PNLSOFTSTART100HP2NOKR</t>
  </si>
  <si>
    <t>PNLU004NA00400</t>
  </si>
  <si>
    <t>12.5 HP TW VFD + ACT VFD + SOLAR PDB -JJM</t>
  </si>
  <si>
    <t>PNL12.5HPVFDSOLARPDBNA</t>
  </si>
  <si>
    <t>PNLAA002LT00000</t>
  </si>
  <si>
    <t>PNLMAINSWT125ALT</t>
  </si>
  <si>
    <t>PNLU006NA00400</t>
  </si>
  <si>
    <t>17.5 HP TW VFD + ACT VFD + SOLAR PDB -JJM</t>
  </si>
  <si>
    <t>PNL17.5HPVFDSOLARPDBNA</t>
  </si>
  <si>
    <t>PNLU007NA00400</t>
  </si>
  <si>
    <t>20 HP TW VFD + ACT VFD + SOLAR PDB -JJM</t>
  </si>
  <si>
    <t>PNL20HPVFDSOLARPDBNA</t>
  </si>
  <si>
    <t>PNLU009NA00400</t>
  </si>
  <si>
    <t>30 HP TW VFD + ACT VFD + SOLAR PDB -JJM</t>
  </si>
  <si>
    <t>PNL30HPVFDSOLARPDBNA</t>
  </si>
  <si>
    <t>PNLG019KR01000</t>
  </si>
  <si>
    <t xml:space="preserve">30 HP SOFT STARTER PANEL WITH 2 NOS SINGLE PHASE ACTUATOR </t>
  </si>
  <si>
    <t>PNLSOFTSTART30HPACT2NOKR</t>
  </si>
  <si>
    <t>PNLF009NA00100</t>
  </si>
  <si>
    <t>15 HP STARTER PANEL WITH RTU 1000 + DOSING PUMP CONTROLLING PROVISION</t>
  </si>
  <si>
    <t>PNLSTARTER15HP1KNA</t>
  </si>
  <si>
    <t>PNLP012NA00300</t>
  </si>
  <si>
    <t>75 HP X3 NOS STAR DELTA STARTER + ACT + SCADA + RTU 6000 PANEL</t>
  </si>
  <si>
    <t>PNL75HPSCADA6K3HPNA</t>
  </si>
  <si>
    <t>PNLF011NA00100</t>
  </si>
  <si>
    <t xml:space="preserve">17.5 HP STARTER PANEL WITH RTU 1000 </t>
  </si>
  <si>
    <t>PNLSTARTER17.5HP1KNA</t>
  </si>
  <si>
    <t>PNLS000NA00000</t>
  </si>
  <si>
    <t>Chlorine Flow cell Panel</t>
  </si>
  <si>
    <t>PNLCHLORINEFLOWCELLNA</t>
  </si>
  <si>
    <t>PNLB001DI00300</t>
  </si>
  <si>
    <t xml:space="preserve">RTU+1 SCADA PANEL WITH HMI </t>
  </si>
  <si>
    <t>PNLRTU1SCADAHMIDI</t>
  </si>
  <si>
    <t>PNLB002DI00300</t>
  </si>
  <si>
    <t xml:space="preserve">RTU+2 SCADA PANEL WITH HMI </t>
  </si>
  <si>
    <t>PNLRTU2SCADAHMIDI</t>
  </si>
  <si>
    <t>PNLB005DI00300</t>
  </si>
  <si>
    <t xml:space="preserve">RTU+5 SCADA PANEL WITH HMI </t>
  </si>
  <si>
    <t>PNLRTU5SCADAHMIDI</t>
  </si>
  <si>
    <t>PNLB006DI00300</t>
  </si>
  <si>
    <t xml:space="preserve">RTU+6 SCADA PANEL WITH HMI </t>
  </si>
  <si>
    <t>PNLRTU6SCADAHMIDI</t>
  </si>
  <si>
    <t>PNLB007DI00300</t>
  </si>
  <si>
    <t xml:space="preserve">RTU+7 SCADA PANEL WITH HMI </t>
  </si>
  <si>
    <t>PNLRTU7SCADAHMIDI</t>
  </si>
  <si>
    <t>PNLB008DI00300</t>
  </si>
  <si>
    <t xml:space="preserve">RTU+8 SCADA PANEL WITH HMI </t>
  </si>
  <si>
    <t>PNLRTU8SCADAHMIDI</t>
  </si>
  <si>
    <t>PNLB009DI00300</t>
  </si>
  <si>
    <t xml:space="preserve">RTU+9 SCADA PANEL WITH HMI </t>
  </si>
  <si>
    <t>PNLRTU9SCADAHMIDI</t>
  </si>
  <si>
    <t>PNLB010DI00300</t>
  </si>
  <si>
    <t xml:space="preserve">RTU+10 SCADA PANEL WITH HMI </t>
  </si>
  <si>
    <t>PNLRTU10SCADAHMIDI</t>
  </si>
  <si>
    <t>PNLO018KR00000</t>
  </si>
  <si>
    <t>CANOPY FOR BULLET CAMERA</t>
  </si>
  <si>
    <t>PNLCANOPYCAMERAKR</t>
  </si>
  <si>
    <t>PNLP026NA00000</t>
  </si>
  <si>
    <t>335 HP X 2 NOS SOFT STARTER PANEL WITH SCADA + ACT PANEL</t>
  </si>
  <si>
    <t>PNLSOFTSTARTER335HP2NONA</t>
  </si>
  <si>
    <t>PNLF027KR00400</t>
  </si>
  <si>
    <t>7.5 HP + 50 HP STAR DELTA STARTER PANEL + RTU 3000</t>
  </si>
  <si>
    <t>PNL7.5,50HPSTARDELT3KKR</t>
  </si>
  <si>
    <t>PNLO019NA00000</t>
  </si>
  <si>
    <t>700 W X 700 H  X 700 D  ,SOLAR  INVERTER &amp; BATTERY CANOPY PANEL</t>
  </si>
  <si>
    <t>PNLSOLARBATTCANOP700X700NA</t>
  </si>
  <si>
    <t>PNLP020NA01000</t>
  </si>
  <si>
    <t>3- 5 HP STARTER PANEL WITH 3 NOS ACTUATOR STARTER PANEL</t>
  </si>
  <si>
    <t>PNLACTSTARTER3-5HP3NSKR</t>
  </si>
  <si>
    <t>PNLP021NA01000</t>
  </si>
  <si>
    <t>7.5 HP STARTER PANEL WITH 3 NOS ACTUATOR STARTER PANEL</t>
  </si>
  <si>
    <t>PNLACTSTARTER7.5HP3NSNA</t>
  </si>
  <si>
    <t>PNLP022NA01000</t>
  </si>
  <si>
    <t>17.5 HP STARTER PANEL WITH 3 NOS ACTUATOR STARTER PANEL</t>
  </si>
  <si>
    <t>PNLACTSTARTER17.5HP3NSNA</t>
  </si>
  <si>
    <t>PNLP001NA01000</t>
  </si>
  <si>
    <t>10 HP STARTER PANEL WITH 3 NOS ACTUATOR STARTER PANEL</t>
  </si>
  <si>
    <t>PNLACTSTARTER10HP3NSNA</t>
  </si>
  <si>
    <t>PNLP002NA01000</t>
  </si>
  <si>
    <t>15 HP STARTER PANEL WITH 3 NOS ACTUATOR STARTER PANEL</t>
  </si>
  <si>
    <t>PNLACTSTARTER15HP3NSNA</t>
  </si>
  <si>
    <t>PNLP023NA01000</t>
  </si>
  <si>
    <t>12.5 HP STARTER PANEL WITH 3 NOS ACTUATOR STARTER PANEL</t>
  </si>
  <si>
    <t>PNLACTSTARTER12.5HP3NSNA</t>
  </si>
  <si>
    <t>PNLP003NA01000</t>
  </si>
  <si>
    <t>20 HP STARTER PANEL WITH 3 NOS ACTUATOR STARTER PANEL</t>
  </si>
  <si>
    <t>PNLACTSTARTER20HP3NSNA</t>
  </si>
  <si>
    <t>PNLP004NA01000</t>
  </si>
  <si>
    <t>25 HP STARTER PANEL WITH 3 NOS ACTUATOR STARTER PANEL</t>
  </si>
  <si>
    <t>PNLACTSTARTER25HP3NSNA</t>
  </si>
  <si>
    <t>PNLP005NA01000</t>
  </si>
  <si>
    <t>30 HP STARTER PANEL WITH 3 NOS ACTUATOR STARTER PANEL</t>
  </si>
  <si>
    <t>PNLACTSTARTER30HP3NSNA</t>
  </si>
  <si>
    <t>PNLF002NA61770</t>
  </si>
  <si>
    <t>PLATE MOUNT 3 PHASE FEEDER AS PER PROJECT 6177 BOM</t>
  </si>
  <si>
    <t>PNLFEEDER3PHPLATENA</t>
  </si>
  <si>
    <t>PNLQ004RI00000</t>
  </si>
  <si>
    <t>Rittal Panel 600*600*210 mm</t>
  </si>
  <si>
    <t>PNLRITTALRI</t>
  </si>
  <si>
    <t>PNLN007NA00000</t>
  </si>
  <si>
    <t>CHANGE OVER SWITCH PANEL 315 AMP</t>
  </si>
  <si>
    <t>PNLCHNAGESWITCHNA</t>
  </si>
  <si>
    <t>PNLA006DI00000</t>
  </si>
  <si>
    <t>REDUNDANT RTU 6000-16 PANEL</t>
  </si>
  <si>
    <t>PNLRTU6K16REDUNTANTDI</t>
  </si>
  <si>
    <t>PNLO002NA00900</t>
  </si>
  <si>
    <t>CANOPY PVC TYPE 150X150X100</t>
  </si>
  <si>
    <t>PNLCANPVCNA</t>
  </si>
  <si>
    <t>PNLB000NA00000</t>
  </si>
  <si>
    <t xml:space="preserve">RTU +SCADA PANEL W/O RTU </t>
  </si>
  <si>
    <t>PNLRTUSCADANA</t>
  </si>
  <si>
    <t>PNLC003NA00300</t>
  </si>
  <si>
    <t>RTU+3 SCADA+3 ACT PANEL</t>
  </si>
  <si>
    <t>PNLRTU3SCADA3ACTNA</t>
  </si>
  <si>
    <t>PNLC007NA00300</t>
  </si>
  <si>
    <t>RTU+5 SCADA+5 ACT PANEL</t>
  </si>
  <si>
    <t>PNLRTU5SCADA5ACTNA</t>
  </si>
  <si>
    <t>PNLC008NA00300</t>
  </si>
  <si>
    <t>RTU+6 SCADA+6 ACT PANEL</t>
  </si>
  <si>
    <t>PNLRTU6SCADA6ACTNA</t>
  </si>
  <si>
    <t>PNLE002NA00500</t>
  </si>
  <si>
    <t>PNLFILTERBEDPANELNA</t>
  </si>
  <si>
    <t>PNLC009NA00300</t>
  </si>
  <si>
    <t>PNLRTU8SCADA8ACTNA</t>
  </si>
  <si>
    <t>PNLA006KR00000</t>
  </si>
  <si>
    <t>PNLRTU6K16REDUNTANTKR</t>
  </si>
  <si>
    <t>PNLB010NA00100</t>
  </si>
  <si>
    <t>RTU+1 SCADA+2 ACT PANEL</t>
  </si>
  <si>
    <t>PNLRTU1SCADA2ACTNA</t>
  </si>
  <si>
    <t>PNLJ000NA00000</t>
  </si>
  <si>
    <t>Dosign Panel Juncation Box</t>
  </si>
  <si>
    <t>PNLDOSINGJBNA</t>
  </si>
  <si>
    <t>PNLY012NA00400</t>
  </si>
  <si>
    <t>PNL75HPVFDSOLAR3PHNA</t>
  </si>
  <si>
    <t>PNLY013NA00400</t>
  </si>
  <si>
    <t>PNL10HPVFDSOLAR3PHNA</t>
  </si>
  <si>
    <t>PNLY014NA00400</t>
  </si>
  <si>
    <t>PNL12.5HPVFDSOLAR3PHNA</t>
  </si>
  <si>
    <t>PNLH004NA00000</t>
  </si>
  <si>
    <t>TW VFD Panel 15 HP</t>
  </si>
  <si>
    <t>PNLVFDTW15HPNA</t>
  </si>
  <si>
    <t>PNLH011NA00000</t>
  </si>
  <si>
    <t>TW VFD Panel 17.5 HP</t>
  </si>
  <si>
    <t>PNLVFDTW17.5HPNA</t>
  </si>
  <si>
    <t>PNLH006NA00000</t>
  </si>
  <si>
    <t>TW VFD Panel 25 HP</t>
  </si>
  <si>
    <t>PNLVFDTW25HPNA</t>
  </si>
  <si>
    <t>PNLF040NA00400</t>
  </si>
  <si>
    <t>PNL3HPSTARSOLAR3PHNA</t>
  </si>
  <si>
    <t>PNLF041NA00400</t>
  </si>
  <si>
    <t>PNL5HPSTARDELSOLAR3PHNA</t>
  </si>
  <si>
    <t>PNLF001NA00000</t>
  </si>
  <si>
    <t>5 HP Non- Solar Based TW Star Delta Panel</t>
  </si>
  <si>
    <t>PNL5HPNONSTARDELSOLARNA</t>
  </si>
  <si>
    <t>PNLF003NA00000</t>
  </si>
  <si>
    <t>7.5 HP Non- Solar Based TW Star Delta Panel</t>
  </si>
  <si>
    <t>PNL7.5HPNONSTARDELSOLARNA</t>
  </si>
  <si>
    <t>PNLF006NA00000</t>
  </si>
  <si>
    <t>10 HP Non- Solar Based TW Star Delta Panel</t>
  </si>
  <si>
    <t>PNL10HPNONSTARDELSOLARNA</t>
  </si>
  <si>
    <t>PNLF007ST00003</t>
  </si>
  <si>
    <t>32 A STREETLIGHT FEEDER PANEL WITH RTU6000PLUS+ AS PER BOM-6186</t>
  </si>
  <si>
    <t>PNL32STREETST</t>
  </si>
  <si>
    <t>PNLA008ST52560</t>
  </si>
  <si>
    <t>DG SET MONITORING PANEL-5256</t>
  </si>
  <si>
    <t>PNLDGSETMONST</t>
  </si>
  <si>
    <t>PNLA007ST52560</t>
  </si>
  <si>
    <t>PUMP MONITORING PANEL-5256</t>
  </si>
  <si>
    <t>PNLPUMPSETMONST</t>
  </si>
  <si>
    <t>PNLQ007ST52560</t>
  </si>
  <si>
    <t>ENERGY MONITORING PANEL-5256</t>
  </si>
  <si>
    <t>PNLENERGYST</t>
  </si>
  <si>
    <t>PNLF042NA00000</t>
  </si>
  <si>
    <t>15 HP * 2 STAR DELTA STARTER PANEL</t>
  </si>
  <si>
    <t>PNL15HPSTARDELNA</t>
  </si>
  <si>
    <t>PNLF043NA00000</t>
  </si>
  <si>
    <t>30 HP * 2 STAR DELTA STARTER PANEL</t>
  </si>
  <si>
    <t>PNL30HPSTARDELNA</t>
  </si>
  <si>
    <t>PNLU010NA00400</t>
  </si>
  <si>
    <t>35 HP TW VFD + ACT VFD + SOLAR PDB -JJM</t>
  </si>
  <si>
    <t>PNL35HPVFDSOLARPDBNA</t>
  </si>
  <si>
    <t>PNLB014DI00300</t>
  </si>
  <si>
    <t xml:space="preserve">RTU+14 SCADA PANEL WITH HMI </t>
  </si>
  <si>
    <t>PNLRTU14SCADAHMIDI</t>
  </si>
  <si>
    <t>PNLA001DI00100</t>
  </si>
  <si>
    <t>PNLRTU1KDATALOGGERDI</t>
  </si>
  <si>
    <t>PNLG009NA00000</t>
  </si>
  <si>
    <t>LT PANEL 55 KW SOFTSTARTER, CAPICITOR BANK WITH LOAD, 3 NOS. MOTOR  OPERATION</t>
  </si>
  <si>
    <t>PNLLT55KWCAP3NOSNA</t>
  </si>
  <si>
    <t>PNLG010NA00000</t>
  </si>
  <si>
    <t>LT PANEL 315 KW SOFTSTARTER, CAPICITOR BANK WITH LOAD, 3 NOS. MOTOR  OPERATION</t>
  </si>
  <si>
    <t>PNLLT5315KWCAP3NOSNA</t>
  </si>
  <si>
    <t>PNLG011NA00000</t>
  </si>
  <si>
    <t>LT PANEL 355 KW SOFTSTARTER, CAPICITOR BANK WITH LOAD, 3 NOS. MOTOR  OPERATION</t>
  </si>
  <si>
    <t>PNLLT355KWCAP3NOSNA</t>
  </si>
  <si>
    <t>PNLAB012NA0000</t>
  </si>
  <si>
    <t xml:space="preserve">HT PANEL 6.6 KW  WITH SOFTSTARTER FOR MOTOR OPERATION </t>
  </si>
  <si>
    <t>PNLLT6.6KWCAPNA</t>
  </si>
  <si>
    <t>PNLZ004ST00000</t>
  </si>
  <si>
    <t>DOL STARTER COMBINE PANEL (1 HP TO 25 HP) MOTOR OPERATION</t>
  </si>
  <si>
    <t>PNL1TO25HPDOLSTARTERST</t>
  </si>
  <si>
    <t>PNLO002KR00500</t>
  </si>
  <si>
    <t>Canopy  size 200x200x180mm</t>
  </si>
  <si>
    <t>PNLCANOPY200x200x180KR</t>
  </si>
  <si>
    <t>PNLQ000ST00000</t>
  </si>
  <si>
    <t>Metal/ ABS/PVC Panel Box and Partition for Flow cell and Controller for pH, Chlorine and Turbidity</t>
  </si>
  <si>
    <t>PNLBOXFLOWCELLCONTRLST</t>
  </si>
  <si>
    <t>PNLC011ST00000</t>
  </si>
  <si>
    <t xml:space="preserve">RTU + 3 SCADA + 4 ACT panel </t>
  </si>
  <si>
    <t>PNLRTU4SCADA4ACTST</t>
  </si>
  <si>
    <t>PNLD003ST00000</t>
  </si>
  <si>
    <t xml:space="preserve">RTU+ 3 ACT panel </t>
  </si>
  <si>
    <t>PNLRTU3ACTST</t>
  </si>
  <si>
    <t>PNLU011NA00400</t>
  </si>
  <si>
    <t>40 HP TW VFD + ACT VFD + SOLAR PDB -JJM</t>
  </si>
  <si>
    <t>PNL40HPVFDSOLARPDBNA</t>
  </si>
  <si>
    <t>PNLA005NA00600</t>
  </si>
  <si>
    <t>Gail pata Panel</t>
  </si>
  <si>
    <t>PNLGAILPATANA</t>
  </si>
  <si>
    <t>PNLA007ST01003</t>
  </si>
  <si>
    <t>TCL Panel With RTU6000++</t>
  </si>
  <si>
    <t>PNLTCLPANELST</t>
  </si>
  <si>
    <t>PNLB007NA00404</t>
  </si>
  <si>
    <t>RTU 600++, + 1 SCADA PANEL provision 2 Pump, 4 ACT , 1 ULT,1 Nos Chlorine and 3 Nos, PT provision</t>
  </si>
  <si>
    <t>PNL6K++SCADAPUMPACTNA</t>
  </si>
  <si>
    <t>PNLB008NA00005</t>
  </si>
  <si>
    <t xml:space="preserve">Wiman Modem Outdoor type panel 1 PT and 1 Chlorine sensor provision </t>
  </si>
  <si>
    <t>PNLWIMAN1PT1CHLRNA</t>
  </si>
  <si>
    <t>PNLAB012NA0001</t>
  </si>
  <si>
    <t xml:space="preserve">HT HFSR Soft starter panel  </t>
  </si>
  <si>
    <t>PNLHTSOFTSTARTER2N</t>
  </si>
  <si>
    <t>PNLAB012NA0002</t>
  </si>
  <si>
    <t>HT SOF Spare 6.6 KV incommer Panel</t>
  </si>
  <si>
    <t>PNLHTSOFT6.6KVINCOM2N</t>
  </si>
  <si>
    <t>PNLAB012NA0003</t>
  </si>
  <si>
    <t>HT SOF Spare 6.6 KV Motor Feeder Panel</t>
  </si>
  <si>
    <t>PNLHTSOFT6.6KVFEEDER2N</t>
  </si>
  <si>
    <t>PNLR006NA00000</t>
  </si>
  <si>
    <t>Enclosure for mounting Energy meter , Fuse TB and MCB for electricity board with transparent and sealable cover 250(W)* 500(H)*120 (D)</t>
  </si>
  <si>
    <t>PNLENCEMFUSENA</t>
  </si>
  <si>
    <t>PNLP027NA00000</t>
  </si>
  <si>
    <t>RTU + ACT + SCADA + Starter panel inlet chamber with 2 HP starter panel</t>
  </si>
  <si>
    <t>PNLRTUACTSCADA02HP5HPNA</t>
  </si>
  <si>
    <t>PNLP028NA00000</t>
  </si>
  <si>
    <t>RTU + ACT + SCADA + Starter panel inlet chamber with 10 HP +5 HP starter panel</t>
  </si>
  <si>
    <t>PNLRTUACTSCADA10HP5HPNA</t>
  </si>
  <si>
    <t>PNLH002NA00000</t>
  </si>
  <si>
    <t>5HP VFD PANEL WITHOUT -VFD FROM VENDOR</t>
  </si>
  <si>
    <t>PNLVFD5HPWOVENDORNA</t>
  </si>
  <si>
    <t>PNLB004NA00300</t>
  </si>
  <si>
    <t xml:space="preserve">RTU+4 SCADA PANEL WITH HMI </t>
  </si>
  <si>
    <t>PNLRTU+4SCADAHMINA</t>
  </si>
  <si>
    <t>PNLB003NA00300</t>
  </si>
  <si>
    <t xml:space="preserve">RTU+3 SCADA PANEL WITH HMI </t>
  </si>
  <si>
    <t>PNLRTU+3SCADAHMINA</t>
  </si>
  <si>
    <t>PNLA016ST00000</t>
  </si>
  <si>
    <t>PNLINTAKEWELLST</t>
  </si>
  <si>
    <t>PNLA017ST00000</t>
  </si>
  <si>
    <t>PNLCWPHST</t>
  </si>
  <si>
    <t>PNLA018ST00000</t>
  </si>
  <si>
    <t>PNLFILTERHOUSE1ST</t>
  </si>
  <si>
    <t>PNLA019ST00000</t>
  </si>
  <si>
    <t>PNLFILTERHOUSE2ST</t>
  </si>
  <si>
    <t>PNLA020ST00000</t>
  </si>
  <si>
    <t>PNLFILTERHOUSE3ST</t>
  </si>
  <si>
    <t>PNLA021ST00000</t>
  </si>
  <si>
    <t>PNLFILTERHOUSE4ST</t>
  </si>
  <si>
    <t>PNLA022ST00000</t>
  </si>
  <si>
    <t>PNLCHEMICALST</t>
  </si>
  <si>
    <t>PNLA023ST00000</t>
  </si>
  <si>
    <t>PNLCHLORINST</t>
  </si>
  <si>
    <t>PNLA024ST00000</t>
  </si>
  <si>
    <t>PNLDGSETST</t>
  </si>
  <si>
    <t>PNLA025ST00000</t>
  </si>
  <si>
    <t>RTU Panel for Chlariflocculater</t>
  </si>
  <si>
    <t>PNLRTUCHLARIFST</t>
  </si>
  <si>
    <t>PNLA026ST00000</t>
  </si>
  <si>
    <t>Rtu Panel for OHT</t>
  </si>
  <si>
    <t>PNLOHTRTUST</t>
  </si>
  <si>
    <t>PNLC013ST00000</t>
  </si>
  <si>
    <t>RTU+7 SCADA + 1 SINGLE PHASE ACT PANEL</t>
  </si>
  <si>
    <t>PNLRTU7SCADA1PHACTST</t>
  </si>
  <si>
    <t>PNLC014ST00000</t>
  </si>
  <si>
    <t>RTU+4 SCADA + 10 SINGLE PHASE ACT PANEL</t>
  </si>
  <si>
    <t>PNLRTU4SCADA1PHACTST</t>
  </si>
  <si>
    <t>PNLQ004ST00000</t>
  </si>
  <si>
    <t>Metal/ ABS/PVC Panel Box  outdoor type , floor ounting ,for pH, Chlorine , Tu and TDS  Flow cell mounting tentative size  (H900*W450*D150mm)</t>
  </si>
  <si>
    <t>PNLBOXOUTDOR500MMLENST</t>
  </si>
  <si>
    <t>PNLN001ST00000</t>
  </si>
  <si>
    <t>100 AMP Change over switch with panel 500 X 500 gland hole 32 mm</t>
  </si>
  <si>
    <t>PNL100AMPCHNGSWITCHST</t>
  </si>
  <si>
    <t>PNLH006ST00000</t>
  </si>
  <si>
    <t xml:space="preserve">25HP VFD Panel enclosure with accessories </t>
  </si>
  <si>
    <t>PNL15HPVFDENCLOSST</t>
  </si>
  <si>
    <t>PNLN008CS00000</t>
  </si>
  <si>
    <t>CHANGE OVER SWITCH PANEL 400 AMP</t>
  </si>
  <si>
    <t>PNLCHANGEOVER400CS</t>
  </si>
  <si>
    <t>PNLA027ST00000</t>
  </si>
  <si>
    <t>PLC  Panel for Main WTP Panel - 4203</t>
  </si>
  <si>
    <t>PNLWTPPANELST</t>
  </si>
  <si>
    <t>PNLJ010ST00000</t>
  </si>
  <si>
    <t>GSM/GPRS PC-ABS-FR enclosure ( for Pump intigration )</t>
  </si>
  <si>
    <t>PNLDGSMPCST</t>
  </si>
  <si>
    <t>PNLJ000AI01310</t>
  </si>
  <si>
    <t>Metalic junction Box- AIMIL</t>
  </si>
  <si>
    <t>PNLMTLJBAI</t>
  </si>
  <si>
    <t>PNLJ000AI01411</t>
  </si>
  <si>
    <t>Metlalic Switch Box cum juction Box - AIMIL</t>
  </si>
  <si>
    <t>PNLMTLSBAI</t>
  </si>
  <si>
    <t>PNLB011NA00300</t>
  </si>
  <si>
    <t>Tubewell Automation Panel</t>
  </si>
  <si>
    <t>PNLTUBEAUTONA</t>
  </si>
  <si>
    <t>PNLA008NA00000</t>
  </si>
  <si>
    <t>Tail End Point Panel</t>
  </si>
  <si>
    <t>PNLTAILENDPTNA</t>
  </si>
  <si>
    <t>PPAA002PH00100</t>
  </si>
  <si>
    <t>Panel Parts</t>
  </si>
  <si>
    <t>VAL TRAB TYPE 3 PHASE + N SURGE PROTECTOR DEVICE (320 vac)</t>
  </si>
  <si>
    <t>PPAPANELPARTS001PH</t>
  </si>
  <si>
    <t>PPAA001PH00200</t>
  </si>
  <si>
    <t>PHOENIX VAL-MS-320/10/1+1-GY</t>
  </si>
  <si>
    <t>PPAPANELPARTS002PH</t>
  </si>
  <si>
    <t>PPAD003AP00000</t>
  </si>
  <si>
    <t>BIMETAL ENCLOSURE NAERMOSTAT</t>
  </si>
  <si>
    <t>PPAPANELPARTS003AP</t>
  </si>
  <si>
    <t>PPAH009VA00000</t>
  </si>
  <si>
    <t>NEODYMIUM BLOCK MAGNET</t>
  </si>
  <si>
    <t>PPAPANELPARTS004VA</t>
  </si>
  <si>
    <t>PPAI010RI00400</t>
  </si>
  <si>
    <t>FAN AXIAL 280*80MM BALL 230VAC</t>
  </si>
  <si>
    <t>PPAPANELPARTS005RI</t>
  </si>
  <si>
    <t>PPAG301SL00300</t>
  </si>
  <si>
    <t>MULTIFUNCTION METER 3 PHASE 4 WIRE CLASS 1</t>
  </si>
  <si>
    <t>MFM376C-CE</t>
  </si>
  <si>
    <t>PPAJ012EX00600</t>
  </si>
  <si>
    <t>BATTERY 12V 42 AH</t>
  </si>
  <si>
    <t>PPAPANELPARTS007EX</t>
  </si>
  <si>
    <t>PPAK014PA00000</t>
  </si>
  <si>
    <t>3.7 V 4 amp charger</t>
  </si>
  <si>
    <t>PPAPANELPARTS008PA</t>
  </si>
  <si>
    <t>PPAG301SE00700</t>
  </si>
  <si>
    <t>SELITE-3032 SECURE MULTIFUNCTION ENERGY METER (ELITE303-2,96, 3P, 4LINE, RS485,1% LCD, 40-300VU</t>
  </si>
  <si>
    <t>PPAPANELPARTS009SE</t>
  </si>
  <si>
    <t>PPAJ011EX00500</t>
  </si>
  <si>
    <t xml:space="preserve">EXIDE POWERSAFE EP 26-12, 12V 26AH SMF VRLA BATTERY </t>
  </si>
  <si>
    <t>PPAPANELPARTS006EX</t>
  </si>
  <si>
    <t>PPAL001LT00000</t>
  </si>
  <si>
    <t>PPA2ASPMCBLT</t>
  </si>
  <si>
    <t>PPAM002LT00000</t>
  </si>
  <si>
    <t>2 NO + 2NC ADD ON</t>
  </si>
  <si>
    <t>PPA2NO2NCLT</t>
  </si>
  <si>
    <t>PPAM001LT00000</t>
  </si>
  <si>
    <t>1 NO ADD ON</t>
  </si>
  <si>
    <t>PPA1NOADDLT</t>
  </si>
  <si>
    <t>PPAN001LO00000</t>
  </si>
  <si>
    <t>LOCTITE 3900 500ML</t>
  </si>
  <si>
    <t>PPALOCTITE3900LO</t>
  </si>
  <si>
    <t>PPAJ014ST00000</t>
  </si>
  <si>
    <t>BATT.AMP 12 V-1.3 AH</t>
  </si>
  <si>
    <t>PPABATTAMP12VST</t>
  </si>
  <si>
    <t>PPAO007CG01000</t>
  </si>
  <si>
    <t>VFD CG MAKE 20/25 HP</t>
  </si>
  <si>
    <t>PPAPANELPARTS010CG</t>
  </si>
  <si>
    <t>PPAO008CG01100</t>
  </si>
  <si>
    <t>VFD CG MAKE 30/35 HP</t>
  </si>
  <si>
    <t>PPAPANELPARTS011CG</t>
  </si>
  <si>
    <t>PPAP000ST00000</t>
  </si>
  <si>
    <t>PANEL LOCK SINGLE KEY TYPE PANEL LOCK</t>
  </si>
  <si>
    <t>PPALOCKST</t>
  </si>
  <si>
    <t>PPAE005OM00000</t>
  </si>
  <si>
    <t>8 PIN RELAY 240V OPERATED (FLATE PIN)</t>
  </si>
  <si>
    <t>PPA8PINRELAYOM</t>
  </si>
  <si>
    <t>PPAO009CI01300</t>
  </si>
  <si>
    <t>SOLAR VFD CIMCON MAKE 3 HP -JJM</t>
  </si>
  <si>
    <t>PPAPANELPARTS012CI</t>
  </si>
  <si>
    <t>PPAO010CI01400</t>
  </si>
  <si>
    <t>SOLAR VFD CIMCON MAKE 5 HP - JJM</t>
  </si>
  <si>
    <t>PPAPANELPARTS013CI</t>
  </si>
  <si>
    <t>PPA003SC01500</t>
  </si>
  <si>
    <t>PPLACTI9C06ASC</t>
  </si>
  <si>
    <t>PPA004SC01500</t>
  </si>
  <si>
    <t>PPLACTI9C10ASC</t>
  </si>
  <si>
    <t>PPA005SC01500</t>
  </si>
  <si>
    <t>PPLACTI9C16ASC</t>
  </si>
  <si>
    <t>PPA006SC01500</t>
  </si>
  <si>
    <t>PPLACTI9C20ASC</t>
  </si>
  <si>
    <t>PPA007SC01500</t>
  </si>
  <si>
    <t>PPLACTI9C63ASC</t>
  </si>
  <si>
    <t>PPAO001CG01600</t>
  </si>
  <si>
    <t>VFD CG MAKE 3 HP</t>
  </si>
  <si>
    <t>PPAPANELPARTS019CG</t>
  </si>
  <si>
    <t>PPAO002CG01700</t>
  </si>
  <si>
    <t>VFD CG MAKE 5 HP</t>
  </si>
  <si>
    <t>PPAPANELPARTS020CG</t>
  </si>
  <si>
    <t>PPAB001MW01800</t>
  </si>
  <si>
    <t>MEANWELL SMPS LRS 200-24 VDC</t>
  </si>
  <si>
    <t>PPAPANELPARTS021MW</t>
  </si>
  <si>
    <t>PPAL008WO01900</t>
  </si>
  <si>
    <t>PPAPANELPARTS022WO</t>
  </si>
  <si>
    <t>PPAL009CH02000</t>
  </si>
  <si>
    <t>63 A 4 POLE DC MCB - 6 KA 1000 VDC</t>
  </si>
  <si>
    <t>PPAPANELPARTS023CH</t>
  </si>
  <si>
    <t>PPAS001ST00000</t>
  </si>
  <si>
    <t>RTD SENSOR PT 100 FOR PANEL TEMP</t>
  </si>
  <si>
    <t>PPAPANELPARTS024ST</t>
  </si>
  <si>
    <t>PPAA003CC00000</t>
  </si>
  <si>
    <t>Over Voltage Protection for SLC</t>
  </si>
  <si>
    <t>PPAOVERVOLTAGECI</t>
  </si>
  <si>
    <t>PPAA003AC00000</t>
  </si>
  <si>
    <t>OVP For SLC</t>
  </si>
  <si>
    <t>PPAOVPSLCAC</t>
  </si>
  <si>
    <t>PPAL010CH02000</t>
  </si>
  <si>
    <t>PPAPANELPARTS025CH</t>
  </si>
  <si>
    <t>PPAB002SC02100</t>
  </si>
  <si>
    <t>SMPS 100-240V input, 24VDC output , 252W, 10,5A</t>
  </si>
  <si>
    <t>PPASMPS24VDCSC</t>
  </si>
  <si>
    <t>PPAI011ST02200</t>
  </si>
  <si>
    <t>PPA4INCHEXHAUSTST</t>
  </si>
  <si>
    <t>PPAL011LT00000</t>
  </si>
  <si>
    <t>32 AMP 4 POLE RCBO 30 mA</t>
  </si>
  <si>
    <t>PPAPANELPARTS026LT</t>
  </si>
  <si>
    <t>PPAO009NA00000</t>
  </si>
  <si>
    <t xml:space="preserve">SOLAR VFD  3 HP </t>
  </si>
  <si>
    <t>PPAPANELPARTS027NA</t>
  </si>
  <si>
    <t>PPAO011NA00000</t>
  </si>
  <si>
    <t>PPAPANELPARTS028NA</t>
  </si>
  <si>
    <t>PPAO012NA00000</t>
  </si>
  <si>
    <t>PPAPANELPARTS029NA</t>
  </si>
  <si>
    <t>PPAO013NA00000</t>
  </si>
  <si>
    <t>PPAPANELPARTS030NA</t>
  </si>
  <si>
    <t>PPAO014NA00000</t>
  </si>
  <si>
    <t>PPAPANELPARTS031NA</t>
  </si>
  <si>
    <t>PPAO015NA00000</t>
  </si>
  <si>
    <t>PPAPANELPARTS032NA</t>
  </si>
  <si>
    <t>PPAO016NA00000</t>
  </si>
  <si>
    <t>PPAPANELPARTS033NA</t>
  </si>
  <si>
    <t>PPAO017NA00000</t>
  </si>
  <si>
    <t>PPAPANELPARTS034NA</t>
  </si>
  <si>
    <t>PPAO018NA00000</t>
  </si>
  <si>
    <t>PPAPANELPARTS035NA</t>
  </si>
  <si>
    <t>PPAT001LT00000</t>
  </si>
  <si>
    <t>22MM GREEN LED INDICATION LAMP</t>
  </si>
  <si>
    <t>PPA22MMLEDGRENLT</t>
  </si>
  <si>
    <t>PPAT002LT00000</t>
  </si>
  <si>
    <t>22MM RED LED INDICATION LAMP</t>
  </si>
  <si>
    <t>PPA22MMLEDREDLT</t>
  </si>
  <si>
    <t>PPAE006ST00000</t>
  </si>
  <si>
    <t>24V DC Relay 8 pin flat type</t>
  </si>
  <si>
    <t>PPA24VDCRELST</t>
  </si>
  <si>
    <t>PPAJ015EX00800</t>
  </si>
  <si>
    <t>CS7-12 SMF  Battery , 12V 7Ah</t>
  </si>
  <si>
    <t>CS7-12 SMF</t>
  </si>
  <si>
    <t>PPAJ016ST00000</t>
  </si>
  <si>
    <t>12V 4.5 AH SMF battery</t>
  </si>
  <si>
    <t>PPA12V4.5AHST</t>
  </si>
  <si>
    <t>PPAB003MW02300</t>
  </si>
  <si>
    <t xml:space="preserve">24V DC SMPS with Battery charging cut off </t>
  </si>
  <si>
    <t>PPA24VDCBATTMW</t>
  </si>
  <si>
    <t>PPAS002RE02400</t>
  </si>
  <si>
    <t>Day Night Sensor (Photocell)</t>
  </si>
  <si>
    <t>PPADAYNIGHTRE</t>
  </si>
  <si>
    <t>PPA004MP02500</t>
  </si>
  <si>
    <t>PPADINRAILMP</t>
  </si>
  <si>
    <t>PPAAL000061910</t>
  </si>
  <si>
    <t>PANEL MOUNTING CLAMP POLE MOUNTING TYPE FOR PROJECT 6191 SINGLE PHASE PANEL AS PER DRAWING</t>
  </si>
  <si>
    <t>PPAPANELPARTS101NA</t>
  </si>
  <si>
    <t>PPAAL000061911</t>
  </si>
  <si>
    <t>PPAPANELMOUNTINGCI</t>
  </si>
  <si>
    <t>PPAO019DE02600</t>
  </si>
  <si>
    <t>VFD 2 HP SOLAR  DELIXI MAKE</t>
  </si>
  <si>
    <t>PPAPANELPARTS036DE</t>
  </si>
  <si>
    <t>PPAO009DE02700</t>
  </si>
  <si>
    <t>VFD 3 HP SOLAR DELIXI MAKE</t>
  </si>
  <si>
    <t>PPAPANELPARTS037DE</t>
  </si>
  <si>
    <t>PPAO012DE02800</t>
  </si>
  <si>
    <t>VFD 10 HP SOLAR DELIXI MAKE</t>
  </si>
  <si>
    <t>PPAPANELPARTS038DE</t>
  </si>
  <si>
    <t>PPAO014DE02900</t>
  </si>
  <si>
    <t>VFD 15 HP SOLAR DELIXI MAKE</t>
  </si>
  <si>
    <t>PPAPANELPARTS039DE</t>
  </si>
  <si>
    <t>PPAO020DE03000</t>
  </si>
  <si>
    <t>VFD 40 HP SOLAR DELIXI MAKE</t>
  </si>
  <si>
    <t>PPAPANELPARTS040DE</t>
  </si>
  <si>
    <t>PPAL013SC00000</t>
  </si>
  <si>
    <t>PPAPANELPARTS041SC</t>
  </si>
  <si>
    <t>PPAL014SC00000</t>
  </si>
  <si>
    <t>PPAPANELPARTS042SC</t>
  </si>
  <si>
    <t>PPAU001AB00000</t>
  </si>
  <si>
    <t>80 AMP - 3 POLE POWER CONTACTOR</t>
  </si>
  <si>
    <t>PPAPANELPARTS043AB</t>
  </si>
  <si>
    <t>PPAU002AB00000</t>
  </si>
  <si>
    <t>50 AMP - 3 POLE POWER CONTACTOR</t>
  </si>
  <si>
    <t>PPAPANELPARTS044AB</t>
  </si>
  <si>
    <t>PPAV001NA00000</t>
  </si>
  <si>
    <t>Level Indicator - 4 - 20 mA input and 485 Output</t>
  </si>
  <si>
    <t>PPAPANELPARTS045NA</t>
  </si>
  <si>
    <t>PPAG301HP00900</t>
  </si>
  <si>
    <t>3P4W multifunction energy meter</t>
  </si>
  <si>
    <t>PPA324WEMHP</t>
  </si>
  <si>
    <t>PPAB005MW03100</t>
  </si>
  <si>
    <t>SMPS ,AC-DC,24V,2.2A 100-264V In,Enclosed,Commercial,52.8W,LRS Series</t>
  </si>
  <si>
    <t>PPASMPSENCLMW</t>
  </si>
  <si>
    <t>PPAE009SC00000</t>
  </si>
  <si>
    <t>24VDC 2CO 10A  relay</t>
  </si>
  <si>
    <t>PPA24VDC2CO10ASC</t>
  </si>
  <si>
    <t>PPAU003SC00000</t>
  </si>
  <si>
    <t>AC-3 -POLE 25 A POWER CONTACTOR</t>
  </si>
  <si>
    <t>PPAPANELPARTS046SC</t>
  </si>
  <si>
    <t>PPAE010SC00000</t>
  </si>
  <si>
    <t>Over Load Relay</t>
  </si>
  <si>
    <t>PPAPANELPARTS047SC</t>
  </si>
  <si>
    <t>PPAE011NA00000</t>
  </si>
  <si>
    <t>PPAPANELPARTS048NA</t>
  </si>
  <si>
    <t>PPAU001LT00000</t>
  </si>
  <si>
    <t>L&amp;T GIC 12SDT0 Micon 175 Star Delta Timers 240VAC</t>
  </si>
  <si>
    <t>PPAPANELPARTS049LT</t>
  </si>
  <si>
    <t>PPAE005ST00000</t>
  </si>
  <si>
    <t xml:space="preserve">2 CO 240 V AC Relay </t>
  </si>
  <si>
    <t>PPAPANELPARTS050ST</t>
  </si>
  <si>
    <t>ELAQ001ST0000</t>
  </si>
  <si>
    <t>Push button with 1 NO/NC Contact</t>
  </si>
  <si>
    <t>ELAPUSHBUTTON1NONCST</t>
  </si>
  <si>
    <t>PPAX001SA00000</t>
  </si>
  <si>
    <t xml:space="preserve">61026-2 Pole 2 Way Selector Swith with OFF </t>
  </si>
  <si>
    <t>PPAPANELPARTS051SA</t>
  </si>
  <si>
    <t>PPAX002SA00000</t>
  </si>
  <si>
    <t>61039-2 Pole 3 Way Selector Swith W/O OFF</t>
  </si>
  <si>
    <t>PPAPANELPARTS052SA</t>
  </si>
  <si>
    <t>PPAY001SC00000</t>
  </si>
  <si>
    <t>MCCB 125 A Schneider (EZC125A</t>
  </si>
  <si>
    <t>PPAMCCB125ASC</t>
  </si>
  <si>
    <t>PPAO028NA00000</t>
  </si>
  <si>
    <t>PPAPANELPARTS055NA</t>
  </si>
  <si>
    <t>PPAO029NA00000</t>
  </si>
  <si>
    <t>PPAPANELPARTS056NA</t>
  </si>
  <si>
    <t>PPAT002NA00000</t>
  </si>
  <si>
    <t xml:space="preserve">RED LAMP </t>
  </si>
  <si>
    <t>PPAPANELPARTS057NA</t>
  </si>
  <si>
    <t>PPAT003NA00000</t>
  </si>
  <si>
    <t xml:space="preserve">BLUE LAMP </t>
  </si>
  <si>
    <t>PPAPANELPARTS058NA</t>
  </si>
  <si>
    <t>PPAT004NA00000</t>
  </si>
  <si>
    <t xml:space="preserve">YELLOW LAMP </t>
  </si>
  <si>
    <t>PPAPANELPARTS059NA</t>
  </si>
  <si>
    <t>PPAV002NA00000</t>
  </si>
  <si>
    <t>RTD and 4 - 20 mA input and 485 Output</t>
  </si>
  <si>
    <t>PPAPANELPARTS060NA</t>
  </si>
  <si>
    <t>PPAE012NA00000</t>
  </si>
  <si>
    <t>110 VDC 8 Pin Flat type relay reputed make</t>
  </si>
  <si>
    <t>PPAPANELPARTS061NA</t>
  </si>
  <si>
    <t>PPAK015RE00000</t>
  </si>
  <si>
    <t>PPAMCBAUTO3PST</t>
  </si>
  <si>
    <t>PPAAC001MI00000</t>
  </si>
  <si>
    <t>Overvoltage under voltage proction device ALVD2</t>
  </si>
  <si>
    <t>PPAPANELPARTS0641M</t>
  </si>
  <si>
    <t>PPAG101SE03700</t>
  </si>
  <si>
    <t>Smart meter Secure</t>
  </si>
  <si>
    <t>PPASECURESMARTL200SE</t>
  </si>
  <si>
    <t>PPAG301SE03700</t>
  </si>
  <si>
    <t>PPASECURESMARTL300SE</t>
  </si>
  <si>
    <t>PPAAF001NA00000</t>
  </si>
  <si>
    <t>Capacitor contactor 10 KVAR</t>
  </si>
  <si>
    <t>PPAPANELPARTS079NA</t>
  </si>
  <si>
    <t>PPAAG002NA00000</t>
  </si>
  <si>
    <t>Voltmeter 3 phase digital</t>
  </si>
  <si>
    <t>PPA3PHVOLTMTRNA</t>
  </si>
  <si>
    <t>PPAAH002NA00000</t>
  </si>
  <si>
    <t>Amp meter 3 Phase digital</t>
  </si>
  <si>
    <t>PPA3PHAMPMTRNA</t>
  </si>
  <si>
    <t>PPAAI001GI00000</t>
  </si>
  <si>
    <t>Digital Clock timer</t>
  </si>
  <si>
    <t>PPADIGCLOCKTIMGI</t>
  </si>
  <si>
    <t>PPAE009SA00000</t>
  </si>
  <si>
    <t>24V DC, 2 CO Relay With Base</t>
  </si>
  <si>
    <t>PPA24VDC2COSA</t>
  </si>
  <si>
    <t>PPAE008SA00000</t>
  </si>
  <si>
    <t>240V AC, 2 CO Relay With Base</t>
  </si>
  <si>
    <t>PPA240VAC2COSA</t>
  </si>
  <si>
    <t>PPAE014SA00000</t>
  </si>
  <si>
    <t>240V AC, 4 CO Relay With Base</t>
  </si>
  <si>
    <t>PPA240VAC4COSA</t>
  </si>
  <si>
    <t>PPAS000NA00000</t>
  </si>
  <si>
    <t>IP67 Enclosure</t>
  </si>
  <si>
    <t>PPALRTU3000NA</t>
  </si>
  <si>
    <t>PPAAL000NA0000</t>
  </si>
  <si>
    <t xml:space="preserve">Panel Stand  H 300*W 500*D 200 </t>
  </si>
  <si>
    <t>PPAPANELPARTS083ON</t>
  </si>
  <si>
    <t>PPAO027CC03900</t>
  </si>
  <si>
    <t>75 HP cimcon make VFD starter (Model CDI-G075T4)</t>
  </si>
  <si>
    <t>PPAPANELPARTS090CC</t>
  </si>
  <si>
    <t>PPAO011NA04000</t>
  </si>
  <si>
    <t>PPAPANELPARTS067NA</t>
  </si>
  <si>
    <t>PPAO012NA04000</t>
  </si>
  <si>
    <t>PPAPANELPARTS068NA</t>
  </si>
  <si>
    <t>PPAO013NA04000</t>
  </si>
  <si>
    <t>PPAPANELPARTS069NA</t>
  </si>
  <si>
    <t>PPAO014NA04000</t>
  </si>
  <si>
    <t>PPAPANELPARTS070NA</t>
  </si>
  <si>
    <t>PPAO015NA04000</t>
  </si>
  <si>
    <t>PPAPANELPARTS071NA</t>
  </si>
  <si>
    <t>PPAO016NA04000</t>
  </si>
  <si>
    <t>PPAPANELPARTS072NA</t>
  </si>
  <si>
    <t>PPAO017NA04000</t>
  </si>
  <si>
    <t>PPAPANELPARTS073NA</t>
  </si>
  <si>
    <t>PPAO018NA04000</t>
  </si>
  <si>
    <t>PPAPANELPARTS074NA</t>
  </si>
  <si>
    <t>PPAO019NA04000</t>
  </si>
  <si>
    <t>PPAPANELPARTS075NA</t>
  </si>
  <si>
    <t>PPAO020NA04000</t>
  </si>
  <si>
    <t>PPAPANELPARTS076NA</t>
  </si>
  <si>
    <t>PPAO021NA04001</t>
  </si>
  <si>
    <t>PPAPANELPARTS077NA</t>
  </si>
  <si>
    <t>PPAB007MW04200</t>
  </si>
  <si>
    <t>SMPS ,AC-DC,24V,2.2A 100-264V In,Enclosed,Commercial,LRS Series</t>
  </si>
  <si>
    <t>PPASMPSACDCMW</t>
  </si>
  <si>
    <t>PPAC004NA00002</t>
  </si>
  <si>
    <t>Cable Duct (100 *60 ) (H *W)</t>
  </si>
  <si>
    <t>PPACBLDUCTST</t>
  </si>
  <si>
    <t>PPAO030DE00000</t>
  </si>
  <si>
    <t>VFD 7.5 HP - 415 VAC -Delixi</t>
  </si>
  <si>
    <t>PPAPANELPARTS103NA</t>
  </si>
  <si>
    <t>PPAO017CI00000</t>
  </si>
  <si>
    <t>VFD 25 HP  rating (Delixi)</t>
  </si>
  <si>
    <t>PPAPANELPARTS104NA</t>
  </si>
  <si>
    <t>PPAE018SA00000</t>
  </si>
  <si>
    <t>4 CO - Relay with Base 230 VAC coil supply</t>
  </si>
  <si>
    <t>PPA4CORELAY230VACSA</t>
  </si>
  <si>
    <t>PPAE019SA00000</t>
  </si>
  <si>
    <t>4 CO- Relay with Base 24 VDC coil supply</t>
  </si>
  <si>
    <t>PPA4CORELAY24VDCSA</t>
  </si>
  <si>
    <t>PPAG301SC00900</t>
  </si>
  <si>
    <t>Energy Meter</t>
  </si>
  <si>
    <t>METSEEM1220HCL5</t>
  </si>
  <si>
    <t>PPAL019CH00000</t>
  </si>
  <si>
    <t>MCB Trip recovery relay with Latching reclosure 1P, MATISMART</t>
  </si>
  <si>
    <t>PPA1PHMCBTRIPLATCH</t>
  </si>
  <si>
    <t>PPAL020CH00000</t>
  </si>
  <si>
    <t>MCB Trip recovery relay with Latching reclosure 3P, MATISMART</t>
  </si>
  <si>
    <t>PPA3PHMCBTRIPLATCH</t>
  </si>
  <si>
    <t>PPAE020PH00000</t>
  </si>
  <si>
    <t>12V DC RELAY WITH BASE 2 C/O</t>
  </si>
  <si>
    <t>PPA12VDCRELAYPH</t>
  </si>
  <si>
    <t>PPAO021SC00000</t>
  </si>
  <si>
    <t xml:space="preserve">VFD starter, ATV610, 30 kW/40 HP, 380...460 V, IP20, Model No: ATV610D30N4 </t>
  </si>
  <si>
    <t>PPAVFDATV610SC</t>
  </si>
  <si>
    <t>PPAJ017ST00000</t>
  </si>
  <si>
    <t>12V - 100 Ah SMF Battery</t>
  </si>
  <si>
    <t>PPA12V100AHSMFST</t>
  </si>
  <si>
    <t>PPAB009NA00000</t>
  </si>
  <si>
    <t>PPALRS5024NA</t>
  </si>
  <si>
    <t>PPAO021NA04000</t>
  </si>
  <si>
    <t>ISS-K-45</t>
  </si>
  <si>
    <t>PPAISSK45NA</t>
  </si>
  <si>
    <t>PPAE005SC00000</t>
  </si>
  <si>
    <t>Relay 230 V AC, 2 CO</t>
  </si>
  <si>
    <t>PPA230VAC2COSC</t>
  </si>
  <si>
    <t>PPAO001DE04300</t>
  </si>
  <si>
    <t>VFD 1.5kW 380v 3 Phase CDI-EM60G1R5T4B</t>
  </si>
  <si>
    <t>CDI-EM60G1R5T4B</t>
  </si>
  <si>
    <t>PPA301EL00300</t>
  </si>
  <si>
    <t>LG6435 with RS845 and 3 Line display</t>
  </si>
  <si>
    <t>LG6435</t>
  </si>
  <si>
    <t>PLCD003RE00202</t>
  </si>
  <si>
    <t>FIELD MODULE , 8 AI WINA RS-485 MODBUS FOR FIELD/REMOTE IO</t>
  </si>
  <si>
    <t>PLC001RE</t>
  </si>
  <si>
    <t>PLCK001SC00101</t>
  </si>
  <si>
    <t>EASY MODICON M200 LOGIC CONTROLLER 8 DI/8 DO MIX MODULE</t>
  </si>
  <si>
    <t>PLC001SC</t>
  </si>
  <si>
    <t>PLCO001SE00302</t>
  </si>
  <si>
    <t>4 CHANNEL RS-485 EXPANSION (REMOTE) DI MODULE</t>
  </si>
  <si>
    <t>FLEX 2M V3</t>
  </si>
  <si>
    <t>PLCO001SE00402</t>
  </si>
  <si>
    <t xml:space="preserve">4DI/4DO MIX MODULE RS 485 BASE </t>
  </si>
  <si>
    <t>FL-SC-DI04-RO04</t>
  </si>
  <si>
    <t>PLCD004SE00902</t>
  </si>
  <si>
    <t>6 cHANNEL ANALOG INPUT MODULE,FL-SC-AI06-I WINA 485 COMMUNICATION</t>
  </si>
  <si>
    <t>FI-SC-AIO6-I</t>
  </si>
  <si>
    <t>PLCQ001SE01003</t>
  </si>
  <si>
    <t xml:space="preserve">PLC COMPACT-PANEL MOUNT </t>
  </si>
  <si>
    <t>UNIX-1-230V</t>
  </si>
  <si>
    <t>PLCC003RE01102</t>
  </si>
  <si>
    <t>MODULE -RENU MAKE 16 DI- 485 BASE REMOTE IO</t>
  </si>
  <si>
    <t>FIOA-0800-L-B</t>
  </si>
  <si>
    <t>PLCC002NA00000</t>
  </si>
  <si>
    <t xml:space="preserve">8 DI Module </t>
  </si>
  <si>
    <t>PLCIO08DIMOD</t>
  </si>
  <si>
    <t>PLCC003NA00000</t>
  </si>
  <si>
    <t>16 DI Module</t>
  </si>
  <si>
    <t>PLCIO16DIMOD</t>
  </si>
  <si>
    <t>PLCE002SE01202</t>
  </si>
  <si>
    <t>8 DO Module</t>
  </si>
  <si>
    <t>PLCIO08D0MOD</t>
  </si>
  <si>
    <t>PLCF001SE01302</t>
  </si>
  <si>
    <t>4 AO Module</t>
  </si>
  <si>
    <t>PLCIO04AOMOD</t>
  </si>
  <si>
    <t>PLCR001SC01400</t>
  </si>
  <si>
    <t>SCADAPack 474 RTU, IEC61131 logic, 2x Ethernet, 4x Serial, 12x AI, 20x DI, 12x DO, 2x AO, DNP3 &amp; Modbus Protcol</t>
  </si>
  <si>
    <t>TBUP474-UA50-BB03S</t>
  </si>
  <si>
    <t>PLCC003SC01500</t>
  </si>
  <si>
    <t>Kit Digital 24 VDC Sink Input, 16-point, Two,Three-wire, Basic</t>
  </si>
  <si>
    <t>STBDDI3725KC</t>
  </si>
  <si>
    <t>PLCE003SC01600</t>
  </si>
  <si>
    <t>Kit Digital 24 VDC Source Output, 16-point, 0.5 A, Basic</t>
  </si>
  <si>
    <t>STBDDO3705KC</t>
  </si>
  <si>
    <t>PLCD003SC01700</t>
  </si>
  <si>
    <t>Kit Module Advantys STB 8 analogic IN 4…20 mA, 15 Bits + Sign, Non isolated</t>
  </si>
  <si>
    <t>STBACI1400K</t>
  </si>
  <si>
    <t>PLCG001SC01800</t>
  </si>
  <si>
    <t>Dual-port Ethernet MB/TCP NIM Standard</t>
  </si>
  <si>
    <t>STBNIP2311</t>
  </si>
  <si>
    <t>PLCB000SC01900</t>
  </si>
  <si>
    <t>Kit Advantys STB PDM power supply module  24 VDC, Standard</t>
  </si>
  <si>
    <t>STBPDT3100K</t>
  </si>
  <si>
    <t>PLCB000SC02000</t>
  </si>
  <si>
    <t>Kit Advantys STB auxiliary power supply module</t>
  </si>
  <si>
    <t>STBCPS2111K</t>
  </si>
  <si>
    <t>PLCA002SC02200</t>
  </si>
  <si>
    <t>CONTROLLER M241-40IO Tr.PNP Ethernet</t>
  </si>
  <si>
    <t>M241-40IO</t>
  </si>
  <si>
    <t>PLCC004SC02300</t>
  </si>
  <si>
    <t>MODULE TM3-32 INPUTS HE10</t>
  </si>
  <si>
    <t xml:space="preserve">TM3-32 </t>
  </si>
  <si>
    <t>PLCE003SC02400</t>
  </si>
  <si>
    <t>MODULE TM3-16 OUT TR.PNP</t>
  </si>
  <si>
    <t>TM3-16</t>
  </si>
  <si>
    <t>PLCD003SC02500</t>
  </si>
  <si>
    <t>MODULE TM3-8 ANALOG INPUTS SPRING</t>
  </si>
  <si>
    <t>TM3-8</t>
  </si>
  <si>
    <t>PLCJ001SC02600</t>
  </si>
  <si>
    <t>3M CABLE, CNTR FOR EXTENSION, FREE WIRE</t>
  </si>
  <si>
    <t>PLC3MCBLSC</t>
  </si>
  <si>
    <t>PLCE004SC02700</t>
  </si>
  <si>
    <t>MODULE TM3-32 OUT TR.PNP HE10</t>
  </si>
  <si>
    <t>PLCTM3-32OUTSC</t>
  </si>
  <si>
    <t>PLCD002SC02800</t>
  </si>
  <si>
    <t>analog input module, Modicon TM3, 4 inputs, spring, 24V DC, TM3AI4G</t>
  </si>
  <si>
    <t>TM3AI4G</t>
  </si>
  <si>
    <t>PLCO001SC02900</t>
  </si>
  <si>
    <t>distributed IO module, Modicon TM3, IP20 optimized bus coupler, Ethernet interface,TM3BCEIP</t>
  </si>
  <si>
    <t>TM3BCEIP</t>
  </si>
  <si>
    <t>PLCA003SC03000</t>
  </si>
  <si>
    <t>controller M200 40 IO transistor SINK+ Ethernet, TM200CE40U</t>
  </si>
  <si>
    <t>TM200CE40U</t>
  </si>
  <si>
    <t>PLCB003SC03100</t>
  </si>
  <si>
    <t>STANDARD ISOL DC POWER SUPPLY, BMXCPS2010</t>
  </si>
  <si>
    <t>BMXCPS2010</t>
  </si>
  <si>
    <t>PLCC002SC03200</t>
  </si>
  <si>
    <t>discrete input module, Modicon TM3, 8 inputs, spring, 24V DC, TM3DI8G</t>
  </si>
  <si>
    <t>PLCE002SC03300</t>
  </si>
  <si>
    <t>discrete output module, Modicon TM3, 8 outputs transistor NPN, screw , TM3DQ8U</t>
  </si>
  <si>
    <t xml:space="preserve"> TM3DQ8U</t>
  </si>
  <si>
    <t>PLCG001SC03400</t>
  </si>
  <si>
    <t>4 slots Eth backplane, BMEXBP0400</t>
  </si>
  <si>
    <t>BMEXBP0400</t>
  </si>
  <si>
    <t>PLCG001SC03500</t>
  </si>
  <si>
    <t>8 SLOTS BACKPLANE, BMXXBP0800</t>
  </si>
  <si>
    <t>BMXXBP0800</t>
  </si>
  <si>
    <t>PLCA004SC03600</t>
  </si>
  <si>
    <t>CPU340-20 MODBUS ETHERNET,  BMXP342020</t>
  </si>
  <si>
    <t>BMXP342020</t>
  </si>
  <si>
    <t>PLCC004SC03700</t>
  </si>
  <si>
    <t>DIG 32I 24 VDC SINK, BMXDDI3202K</t>
  </si>
  <si>
    <t>BMXDDI3202K</t>
  </si>
  <si>
    <t>PLCE004SC03800</t>
  </si>
  <si>
    <t>DIG 32Q TRANS SOURCE 0.1A,  BMXDDO3202K</t>
  </si>
  <si>
    <t>BMXDDO3202K</t>
  </si>
  <si>
    <t>PLCJ001SC03900</t>
  </si>
  <si>
    <t>FCN 2 X 20 WIRE 3M CABLE, BMXFCW303</t>
  </si>
  <si>
    <t>BMXFCW303</t>
  </si>
  <si>
    <t>PLCD003SC04100</t>
  </si>
  <si>
    <t>Ana 8 U/I In No Isol Fast,BMXAMI0800</t>
  </si>
  <si>
    <t>BMXAMI0800</t>
  </si>
  <si>
    <t>PLCI001SC04200</t>
  </si>
  <si>
    <t>CAGED TERMINAL STRIP 28 POINTS, BMXFTB2800</t>
  </si>
  <si>
    <t>BMXFTB2800</t>
  </si>
  <si>
    <t>PLCE003SC04300</t>
  </si>
  <si>
    <t>MODULE TM3-16 OUT TR.NPN,TM3DQ16U</t>
  </si>
  <si>
    <t>PLCQ005SC04300</t>
  </si>
  <si>
    <t>Scniednder 40 IO PLC</t>
  </si>
  <si>
    <t>PLC40IOPLCSC</t>
  </si>
  <si>
    <t>PLCB002SC04400</t>
  </si>
  <si>
    <t>Schneider Redudant HP 24-48 VDC Power Supply</t>
  </si>
  <si>
    <t>PLC24-48HPVDCSC</t>
  </si>
  <si>
    <t>PLCG002SC04500</t>
  </si>
  <si>
    <t>06 Slot Ethernet Backplane Dual PS</t>
  </si>
  <si>
    <t>PLC06SLOTETHERNETSC</t>
  </si>
  <si>
    <t>PLCG001SC04600</t>
  </si>
  <si>
    <t xml:space="preserve">12 Slots Backplane </t>
  </si>
  <si>
    <t>PLC12SLOTSC</t>
  </si>
  <si>
    <t>PLCB003SC04700</t>
  </si>
  <si>
    <t>High power AC power supply</t>
  </si>
  <si>
    <t>PLCHPOWERACSC</t>
  </si>
  <si>
    <t>PLCC005SC04800</t>
  </si>
  <si>
    <t>DIG 64I 24 VDC SINK</t>
  </si>
  <si>
    <t>PLCDIG64I24VDCSC</t>
  </si>
  <si>
    <t>PLCE005SC04900</t>
  </si>
  <si>
    <t>DIG 64Q Trans Source 0.1A</t>
  </si>
  <si>
    <t>PLCDIG64QTS0.1ASC</t>
  </si>
  <si>
    <t>PLCG002SC05000</t>
  </si>
  <si>
    <t>Spring Terminal Strip 28 Points</t>
  </si>
  <si>
    <t>PLCTERMINAL28PTSSC</t>
  </si>
  <si>
    <t>PLCG003SC05100</t>
  </si>
  <si>
    <t>BUS module 2 RS485/232 Ports</t>
  </si>
  <si>
    <t>PLCBUSMODBUSSC</t>
  </si>
  <si>
    <t>PLCG003SC05200</t>
  </si>
  <si>
    <t>Backplane Extender KIT</t>
  </si>
  <si>
    <t>PLCBACKPLANEKITSC</t>
  </si>
  <si>
    <t>PLAC100AN00001</t>
  </si>
  <si>
    <t>Plumbing Accessories</t>
  </si>
  <si>
    <t>SS304 SNUBBER 1/4" BSP M/F</t>
  </si>
  <si>
    <t>PLAACCESSORIES001AN</t>
  </si>
  <si>
    <t>PLAG000ST00000</t>
  </si>
  <si>
    <t>MS SECTION (ANGLE)</t>
  </si>
  <si>
    <t>PLAACCESSORIES002ST</t>
  </si>
  <si>
    <t>PLAH001ST00000</t>
  </si>
  <si>
    <t>MS NUTBOLTS 5/8</t>
  </si>
  <si>
    <t>PLAACCESSORIES003ST</t>
  </si>
  <si>
    <t>PLAH002ST00000</t>
  </si>
  <si>
    <t>MS NUTBOLTS DOUBLE WASHER 5/8 X 3"</t>
  </si>
  <si>
    <t>PLAACCESSORIES004ST</t>
  </si>
  <si>
    <t>PLAH003ST00000</t>
  </si>
  <si>
    <t>MS NUTBOLTS DOUBLE WASHER 5/8 X 5"</t>
  </si>
  <si>
    <t>PLAACCESSORIES005ST</t>
  </si>
  <si>
    <t>PLAJ102ST00000</t>
  </si>
  <si>
    <t>MS FLANGE 80 MM DIA. 12 MM NAICKNESS PN16-4 HOLE</t>
  </si>
  <si>
    <t>PLAACCESSORIES006ST</t>
  </si>
  <si>
    <t>PLAJ103ST00000</t>
  </si>
  <si>
    <t>MS FLANGE 100 MM DIA. 12 MM NAICKNESS PN16-8 HOLE</t>
  </si>
  <si>
    <t>PLAACCESSORIES007ST</t>
  </si>
  <si>
    <t>PLAJ105ST00000</t>
  </si>
  <si>
    <t>MS FLANGE 150 MM DIA. 18 MM NAICKNESS PN16-8 HOLE</t>
  </si>
  <si>
    <t>PLAACCESSORIES008ST</t>
  </si>
  <si>
    <t>PLAJ106ST00000</t>
  </si>
  <si>
    <t>MS FLANGE 200 MM DIA. 20 MM NAICKNESS PN16-8 HOLE</t>
  </si>
  <si>
    <t>PLAACCESSORIES009ST</t>
  </si>
  <si>
    <t>PLAJ007ST00000</t>
  </si>
  <si>
    <t>MS FLANGE 250 MM DIA. 12 MM NAICKNESS PN10-8 HOLE</t>
  </si>
  <si>
    <t>PLAACCESSORIES010ST</t>
  </si>
  <si>
    <t>PLAJ108ST00000</t>
  </si>
  <si>
    <t>MS FLANGE 300 MM DIA. 21 MM NAICKNESS PN16-12 HOLE</t>
  </si>
  <si>
    <t>PLAACCESSORIES011ST</t>
  </si>
  <si>
    <t>PLAK002ST00011</t>
  </si>
  <si>
    <t>GI FLANGE 80 MM DIA NAREADED TYPE</t>
  </si>
  <si>
    <t>PLAACCESSORIES012ST</t>
  </si>
  <si>
    <t>PLAN104ST00002</t>
  </si>
  <si>
    <t>GI NIPPLE 25 MM 2" LENGTH</t>
  </si>
  <si>
    <t>PLAACCESSORIES013ST</t>
  </si>
  <si>
    <t>PLAN104ST00004</t>
  </si>
  <si>
    <t>GI NIPPLE 25 MM 4" LENGTH</t>
  </si>
  <si>
    <t>PLAACCESSORIES014ST</t>
  </si>
  <si>
    <t>PLAN204ST00000</t>
  </si>
  <si>
    <t>GI ELBOW 25 MM</t>
  </si>
  <si>
    <t>PLAACCESSORIES015ST</t>
  </si>
  <si>
    <t>PLAN304ST00000</t>
  </si>
  <si>
    <t>GI SOCKET 25 MM</t>
  </si>
  <si>
    <t>PLAACCESSORIES016ST</t>
  </si>
  <si>
    <t>PLAN404ST00000</t>
  </si>
  <si>
    <t>GI UNION 25 MM</t>
  </si>
  <si>
    <t>PLAACCESSORIES017ST</t>
  </si>
  <si>
    <t>PLAN504ST00000</t>
  </si>
  <si>
    <t>GI TEE 25 MM</t>
  </si>
  <si>
    <t>PLAACCESSORIES018ST</t>
  </si>
  <si>
    <t>PLAN601ST00000</t>
  </si>
  <si>
    <t>GI ERW 2 X 1" REDUCER</t>
  </si>
  <si>
    <t>PLAACCESSORIES019ST</t>
  </si>
  <si>
    <t>PLAM001ST00011</t>
  </si>
  <si>
    <t>M.S. BSP NAREADED CONNECTION COUPLING 1/4"</t>
  </si>
  <si>
    <t>PLAACCESSORIES020ST</t>
  </si>
  <si>
    <t>PLAM101ST00003</t>
  </si>
  <si>
    <t>M.S. BSP NAREADED CONNECTION NIPPLE 1/4" (10 MM)-3 INCH LENGNA</t>
  </si>
  <si>
    <t>PLAACCESSORIES021ST</t>
  </si>
  <si>
    <t>PLAM201ST00000</t>
  </si>
  <si>
    <t>M.S. ELBOW 10 MM (1/4")</t>
  </si>
  <si>
    <t>PLAACCESSORIES022ST</t>
  </si>
  <si>
    <t>PLAM102ST00003</t>
  </si>
  <si>
    <t>MS PIPE NIPPLE 15 MM X 3 INCH LENGNA</t>
  </si>
  <si>
    <t>PLAACCESSORIES023ST</t>
  </si>
  <si>
    <t>PLAM102ST00004</t>
  </si>
  <si>
    <t>MS PIPE NIPPLE 15 MM X 4 INCH LENGNA</t>
  </si>
  <si>
    <t>PLAACCESSORIES024ST</t>
  </si>
  <si>
    <t>PLAM401ST00000</t>
  </si>
  <si>
    <t>CP R /BUSH 20 X 15 MM-FOR PRIMING</t>
  </si>
  <si>
    <t>PLAACCESSORIES025ST</t>
  </si>
  <si>
    <t>PLAM402ST00000</t>
  </si>
  <si>
    <t>CP R /BUSH 25 X 15 MM-FOR PRIMING</t>
  </si>
  <si>
    <t>PLAACCESSORIES026ST</t>
  </si>
  <si>
    <t>PLAN311ST00000</t>
  </si>
  <si>
    <t>15 MM GI COLLAR</t>
  </si>
  <si>
    <t>PLAACCESSORIES027ST</t>
  </si>
  <si>
    <t>PLAM101ST00501</t>
  </si>
  <si>
    <t>MS FORGED TEE S/E 10MM</t>
  </si>
  <si>
    <t>PLAACCESSORIES028ST</t>
  </si>
  <si>
    <t>PLAM101ST00201</t>
  </si>
  <si>
    <t>MS FORGED ELBOW S/E 10MM</t>
  </si>
  <si>
    <t>PLAACCESSORIES029ST</t>
  </si>
  <si>
    <t>PLAM101ST00101</t>
  </si>
  <si>
    <t>MS FORGED R/HEX NIPPLE 15X10 MM</t>
  </si>
  <si>
    <t>PLAACCESSORIES030ST</t>
  </si>
  <si>
    <t>PLAM102ST00101</t>
  </si>
  <si>
    <t>MS PIPE NIPPLE NA. 10X50 MM</t>
  </si>
  <si>
    <t>PLAACCESSORIES031ST</t>
  </si>
  <si>
    <t>PLAM000ST00411</t>
  </si>
  <si>
    <t>MS FORGED R/BUSH 10X8 MM</t>
  </si>
  <si>
    <t>PLAACCESSORIES033ST</t>
  </si>
  <si>
    <t>PLAG000ST00001</t>
  </si>
  <si>
    <t>METAL CLAMP 4 INCH</t>
  </si>
  <si>
    <t>PLAACCESSORIES035ST</t>
  </si>
  <si>
    <t>PLAN602ST00012</t>
  </si>
  <si>
    <t>GI REDUCER 50 MM TO 80 MM (INSIDE NAREADING)</t>
  </si>
  <si>
    <t>PLAACCESSORIES036ST</t>
  </si>
  <si>
    <t>PLAN108ST00000</t>
  </si>
  <si>
    <t>GI HEX NIPPLE 80 MM</t>
  </si>
  <si>
    <t>PLAACCESSORIES037ST</t>
  </si>
  <si>
    <t>PLAL002ST00011</t>
  </si>
  <si>
    <t>GI FLANGE 80 MM DIA-NAREADED-D TABLE</t>
  </si>
  <si>
    <t>PLAACCESSORIES038ST</t>
  </si>
  <si>
    <t>PLAH004ST0000</t>
  </si>
  <si>
    <t>MS HEX NUT 16 MM</t>
  </si>
  <si>
    <t>PLAACCESSORIES039ST</t>
  </si>
  <si>
    <t>PLAP001ST00000</t>
  </si>
  <si>
    <t>PLAACCESSORIES040ST</t>
  </si>
  <si>
    <t>PLAP002ST00000</t>
  </si>
  <si>
    <t>HEMP YARN</t>
  </si>
  <si>
    <t>PLAACCESSORIES041ST</t>
  </si>
  <si>
    <t>PLAM302WE00012</t>
  </si>
  <si>
    <t xml:space="preserve">MS FORGED SOCKET 1/2" INSIDE Threaded </t>
  </si>
  <si>
    <t>PLAACCESSORIES042WE</t>
  </si>
  <si>
    <t>PLAS001WE00011</t>
  </si>
  <si>
    <t>PU MALE ADAPTOR 1/2X10 MM</t>
  </si>
  <si>
    <t>PLAACCESSORIES043WE</t>
  </si>
  <si>
    <t>PLAS002WE00011</t>
  </si>
  <si>
    <t>PU MALE ADAPTOR 1/4X10 MM</t>
  </si>
  <si>
    <t>PLAACCESSORIES044WE</t>
  </si>
  <si>
    <t>PLAS101WE00011</t>
  </si>
  <si>
    <t>PLAACCESSORIES045WE</t>
  </si>
  <si>
    <t>PLAS201WE00000</t>
  </si>
  <si>
    <t>PLAACCESSORIES046WE</t>
  </si>
  <si>
    <t>PLAT001WE00011</t>
  </si>
  <si>
    <t>BRASS CP MINI MXF BALL VALVE BSP 1/2"</t>
  </si>
  <si>
    <t>PLAACCESSORIES047WE</t>
  </si>
  <si>
    <t>PLAT002WE00011</t>
  </si>
  <si>
    <t>PLAACCESSORIES048WE</t>
  </si>
  <si>
    <t>PLAA001ST00000</t>
  </si>
  <si>
    <t>G.I.pipe 2" (61mm OD)</t>
  </si>
  <si>
    <t>PLAACCESSORIES049ST</t>
  </si>
  <si>
    <t>PLAG002ST00000</t>
  </si>
  <si>
    <t xml:space="preserve">100MM  LINE SIZE MS PIPE </t>
  </si>
  <si>
    <t>PLAACCESSORIES050ST</t>
  </si>
  <si>
    <t>PLAB002FE00000</t>
  </si>
  <si>
    <t xml:space="preserve">CPVC PIPE SDR 11-20(3/4)" 5 MTR </t>
  </si>
  <si>
    <t>PLAACCESSORIES051FE</t>
  </si>
  <si>
    <t>PLAB607FE00000</t>
  </si>
  <si>
    <t xml:space="preserve">CPVC TEE 20(3/4)" FF </t>
  </si>
  <si>
    <t>PLAACCESSORIES052FE</t>
  </si>
  <si>
    <t>PLAB203FE00000</t>
  </si>
  <si>
    <t>CPVC ELBOW 20(3/4)" FF</t>
  </si>
  <si>
    <t>PLAACCESSORIES053FE</t>
  </si>
  <si>
    <t>PLAB003FE00000</t>
  </si>
  <si>
    <t>CPVC COUPLER 20(3/4)" FF</t>
  </si>
  <si>
    <t>PLAACCESSORIES054FE</t>
  </si>
  <si>
    <t>PLAC001AP00000</t>
  </si>
  <si>
    <t>AP APCO GLS ENML BLACK 1 LETER COLOR</t>
  </si>
  <si>
    <t>PLAACCESSORIES056AP</t>
  </si>
  <si>
    <t>PLAC003ST00000</t>
  </si>
  <si>
    <t>ENAMEL NAINNER 1 LTR</t>
  </si>
  <si>
    <t>PLAACCESSORIES057ST</t>
  </si>
  <si>
    <t>PLAC004ST00000</t>
  </si>
  <si>
    <t>ASIAN PAINTSTOO BRUSH10</t>
  </si>
  <si>
    <t>PLAACCESSORIES058ST</t>
  </si>
  <si>
    <t>PLAN702ST00000</t>
  </si>
  <si>
    <t>GI UNION 20MM</t>
  </si>
  <si>
    <t>PLAACCESSORIES059ST</t>
  </si>
  <si>
    <t>PLAN103ST00000</t>
  </si>
  <si>
    <t>GI BARREL NIPPLE 3/4"X4"</t>
  </si>
  <si>
    <t>PLAACCESSORIES060ST</t>
  </si>
  <si>
    <t>PLAN503ST00000</t>
  </si>
  <si>
    <t>GI TEE 20MM</t>
  </si>
  <si>
    <t>PLAACCESSORIES061ST</t>
  </si>
  <si>
    <t>PLAN203ST00000</t>
  </si>
  <si>
    <t>GI ELBOW 20MM</t>
  </si>
  <si>
    <t>PLAACCESSORIES062ST</t>
  </si>
  <si>
    <t>PLAN804ST00000</t>
  </si>
  <si>
    <t>GI BUSHING 3/4"X1"</t>
  </si>
  <si>
    <t>PLAACCESSORIES063ST</t>
  </si>
  <si>
    <t>PLAN701ST00000</t>
  </si>
  <si>
    <t>GI UNION 12.5MM</t>
  </si>
  <si>
    <t>PLAACCESSORIES064ST</t>
  </si>
  <si>
    <t>PLAN502ST00000</t>
  </si>
  <si>
    <t>GI TEE 1/2"</t>
  </si>
  <si>
    <t>PLAACCESSORIES065ST</t>
  </si>
  <si>
    <t>PLAN202ST00000</t>
  </si>
  <si>
    <t>GI ELBOW 1/2"</t>
  </si>
  <si>
    <t>PLAACCESSORIES066ST</t>
  </si>
  <si>
    <t>PLAN109ST00000</t>
  </si>
  <si>
    <t>GI BARREL NIPPLE 1/2"X4"</t>
  </si>
  <si>
    <t>PLAACCESSORIES067ST</t>
  </si>
  <si>
    <t>PLAN102ST00000</t>
  </si>
  <si>
    <t>GI BARREL NIPPLE 1/2"X2"</t>
  </si>
  <si>
    <t>PLAACCESSORIES068ST</t>
  </si>
  <si>
    <t>PLAN801ST00000</t>
  </si>
  <si>
    <t>GI BUSHING 1/2"X1"</t>
  </si>
  <si>
    <t>PLAACCESSORIES069ST</t>
  </si>
  <si>
    <t>PLAN802ST00000</t>
  </si>
  <si>
    <t>GI BUSHING 1/2"X1/4"</t>
  </si>
  <si>
    <t>PLAACCESSORIES070ST</t>
  </si>
  <si>
    <t>PLAM108ST00000</t>
  </si>
  <si>
    <t>GI BARREL NIPPLE 3/8"X4"</t>
  </si>
  <si>
    <t>PLAACCESSORIES071ST</t>
  </si>
  <si>
    <t>PLAM503ST00000</t>
  </si>
  <si>
    <t>MS TEE 3/8"</t>
  </si>
  <si>
    <t>PLAACCESSORIES072ST</t>
  </si>
  <si>
    <t>PLAM109ST00000</t>
  </si>
  <si>
    <t>GI BARREL NIPPLE 3/8"X3"</t>
  </si>
  <si>
    <t>PLAACCESSORIES073ST</t>
  </si>
  <si>
    <t>PLAN903ST00000</t>
  </si>
  <si>
    <t>GI BALL VALVE 25MM</t>
  </si>
  <si>
    <t>PLAACCESSORIES074ST</t>
  </si>
  <si>
    <t>PLAN207ST00000</t>
  </si>
  <si>
    <t>GI ELBOW 50MM</t>
  </si>
  <si>
    <t>PLAACCESSORIES075ST</t>
  </si>
  <si>
    <t>PLAN706ST00000</t>
  </si>
  <si>
    <t>GI UNION 50MM</t>
  </si>
  <si>
    <t>PLAACCESSORIES076ST</t>
  </si>
  <si>
    <t>PLAV007ST00000</t>
  </si>
  <si>
    <t xml:space="preserve">CI FOOT VALVE 50MM </t>
  </si>
  <si>
    <t>PLAACCESSORIES077ST</t>
  </si>
  <si>
    <t>PLAN000ST00000</t>
  </si>
  <si>
    <t xml:space="preserve">GI WIRE </t>
  </si>
  <si>
    <t>PLAACCESSORIES078ST</t>
  </si>
  <si>
    <t>PLAM003ST00000</t>
  </si>
  <si>
    <t xml:space="preserve">MS L TYPE ANGLE 50MM*6MM </t>
  </si>
  <si>
    <t>PLAACCESSORIES079ST</t>
  </si>
  <si>
    <t>PLAM004ST00000</t>
  </si>
  <si>
    <t>MS PLATE 1250MM*2500MM*4MM</t>
  </si>
  <si>
    <t>PLAACCESSORIES080ST</t>
  </si>
  <si>
    <t>PLAT003AN00000</t>
  </si>
  <si>
    <t>BRASS NRV 1/2" VERTICAL DRP</t>
  </si>
  <si>
    <t>PLAACCESSORIES081AN</t>
  </si>
  <si>
    <t>PLAV200ST00000</t>
  </si>
  <si>
    <t xml:space="preserve">CI EARNA PIT COVER SIZE 12" X 12"  </t>
  </si>
  <si>
    <t>PLAACCESSORIES082ST</t>
  </si>
  <si>
    <t>PLAT004ST00000</t>
  </si>
  <si>
    <t>3/4 X 1/2 BRASS FTA COVER</t>
  </si>
  <si>
    <t>PLAACCESSORIES083ST</t>
  </si>
  <si>
    <t>PLAH005ST00000</t>
  </si>
  <si>
    <t>MS BOLT 16MM x 8" LONG</t>
  </si>
  <si>
    <t>PLAACCESSORIES084ST</t>
  </si>
  <si>
    <t>PLAM103ST00000</t>
  </si>
  <si>
    <t>M.S. HEX NIPPLE 3/4"</t>
  </si>
  <si>
    <t>PLAACCESSORIES086ST</t>
  </si>
  <si>
    <t>PLAM300ST00000</t>
  </si>
  <si>
    <t>M.S. REDUCER 3/4" TO 1/4"</t>
  </si>
  <si>
    <t>PLAACCESSORIES087ST</t>
  </si>
  <si>
    <t>PLAM110ST00000</t>
  </si>
  <si>
    <t>M.S. BARREL NIPPLE 1/4" x 2"</t>
  </si>
  <si>
    <t>PLAACCESSORIES088ST</t>
  </si>
  <si>
    <t>PLAM05ST00000</t>
  </si>
  <si>
    <t>M.S. L TYPE ANGLE 25 x 3 MM</t>
  </si>
  <si>
    <t>PLAACCESSORIES089ST</t>
  </si>
  <si>
    <t>PLAS001ST00000</t>
  </si>
  <si>
    <t>5/15A 6 NOS. SOCKET ROUND PIN PDU WINA 2.5 MTR CABLE</t>
  </si>
  <si>
    <t>PLAACCESSORIES090ST</t>
  </si>
  <si>
    <t>PLAS003WE00000</t>
  </si>
  <si>
    <t>PU CONNECTOR 1/2" 10 MM</t>
  </si>
  <si>
    <t>PLAACCESSORIES091WE</t>
  </si>
  <si>
    <t>PLAC109WE00011</t>
  </si>
  <si>
    <t>SS BAR STOCK NEEDLE VALVE-3/8"</t>
  </si>
  <si>
    <t>PLAACCESSORIES092WE</t>
  </si>
  <si>
    <t>PLAC110WE00000</t>
  </si>
  <si>
    <t>SS 304 HE NUPPLE BSP 1/4"</t>
  </si>
  <si>
    <t>PLAACCESSORIES093WE</t>
  </si>
  <si>
    <t>PLAW001KR00000</t>
  </si>
  <si>
    <t>HYLAM FLANGE FOR SIEMENS AND CIMCON MAKE SENSOR AT TESTING LAB SAKAR</t>
  </si>
  <si>
    <t>PLAACCESSORIES094KR</t>
  </si>
  <si>
    <t>PLAT006CO00000</t>
  </si>
  <si>
    <t>BRASS SYPHONE COCK 3/8 " FOR PRESSURE GAUGE</t>
  </si>
  <si>
    <t>PLAACCESSORIES095CO</t>
  </si>
  <si>
    <t>PLAC111AN00000</t>
  </si>
  <si>
    <t>SS 304 NIDDLE VALVE ROUND 1/4" BSP FF</t>
  </si>
  <si>
    <t>PLAACCESSORIES096AN</t>
  </si>
  <si>
    <t>PLAP401CO00000</t>
  </si>
  <si>
    <t>MS U SYPONE PIPE</t>
  </si>
  <si>
    <t>PLAACCESSORIES097CO</t>
  </si>
  <si>
    <t>PLAM301WE00000</t>
  </si>
  <si>
    <t xml:space="preserve">MS FORGED SOCKET 3/8" </t>
  </si>
  <si>
    <t>PLAACCESSORIES098WE</t>
  </si>
  <si>
    <t>PLAJ110AN00000</t>
  </si>
  <si>
    <t>MS FLANGE 40 MM FLOW METER SIZE</t>
  </si>
  <si>
    <t>PLAACCESSORIES099AN</t>
  </si>
  <si>
    <t>PLAX101FI00600</t>
  </si>
  <si>
    <t>FRP DRUM 100 LTR FOR CHLORINE DOSING</t>
  </si>
  <si>
    <t>PLAACCESSORIES100FI</t>
  </si>
  <si>
    <t>PLAM009CB00000</t>
  </si>
  <si>
    <t>Reducer Bracket</t>
  </si>
  <si>
    <t>PLAACCESSORIES101CB</t>
  </si>
  <si>
    <t>PLAG006ST00000</t>
  </si>
  <si>
    <t xml:space="preserve">MS Pipe Class C 5.8mm NAickness, Line  size 150mm </t>
  </si>
  <si>
    <t>PLAACCESSORIES102ST</t>
  </si>
  <si>
    <t>PLAG008ST00000</t>
  </si>
  <si>
    <t xml:space="preserve">MS Pipe Class C 6mm NAickness, Line size 250mm </t>
  </si>
  <si>
    <t>PLAACCESSORIES103ST</t>
  </si>
  <si>
    <t>PLAG010ST00000</t>
  </si>
  <si>
    <t xml:space="preserve">MS Pipe Class C 6mm NAickness, Line size 350mm </t>
  </si>
  <si>
    <t>PLAACCESSORIES104ST</t>
  </si>
  <si>
    <t>PLAH006LB00000</t>
  </si>
  <si>
    <t>MS HEX PIN 10 X 50 WINA WASHER</t>
  </si>
  <si>
    <t>PLAACCESSORIES105LB</t>
  </si>
  <si>
    <t>PLAC012ST00000</t>
  </si>
  <si>
    <t>PLAACCESSORIES106ST</t>
  </si>
  <si>
    <t>PLAQ001AS00000</t>
  </si>
  <si>
    <t xml:space="preserve">UPVC PIPE 15 MM - 3MTR - LEGNTH </t>
  </si>
  <si>
    <t>PLAACCESSORIES107AS</t>
  </si>
  <si>
    <t>PLAR601AS00000</t>
  </si>
  <si>
    <t>UPVC BALL VALVE - 15 MM</t>
  </si>
  <si>
    <t>PLAACCESSORIES108AS</t>
  </si>
  <si>
    <t>PLAR701AS00000</t>
  </si>
  <si>
    <t>PLAACCESSORIES109AS</t>
  </si>
  <si>
    <t>PLAR801AS00000</t>
  </si>
  <si>
    <t>PLAACCESSORIES110AS</t>
  </si>
  <si>
    <t>PLAR208AS00000</t>
  </si>
  <si>
    <t>UPVC ELBOW 15 MM 90*</t>
  </si>
  <si>
    <t>PLAACCESSORIES111AS</t>
  </si>
  <si>
    <t>PLAX102SP00000</t>
  </si>
  <si>
    <t xml:space="preserve">Spectron Cylindrical Vertical Tank with Open Top without Ltr Capacity Marking  Capacity: 200 ltr </t>
  </si>
  <si>
    <t>PLAACCESSORIES112SP</t>
  </si>
  <si>
    <t>PLAY001ST00000</t>
  </si>
  <si>
    <t>Ductile Iron Flange socket, line size 150mm</t>
  </si>
  <si>
    <t>PLAACCESSORIES113ST</t>
  </si>
  <si>
    <t>PLAB006NA00000</t>
  </si>
  <si>
    <t xml:space="preserve">GREY PVC PIPE 4 KG PRESSURE 50 MM </t>
  </si>
  <si>
    <t>PLAACCESSORIES114NA</t>
  </si>
  <si>
    <t>PLAO207NA00000</t>
  </si>
  <si>
    <t xml:space="preserve">GREY PVC ELBOW 50 MM </t>
  </si>
  <si>
    <t>PLAACCESSORIES115NA</t>
  </si>
  <si>
    <t>PLAO506NA00000</t>
  </si>
  <si>
    <t>GREY TEE 50 MM</t>
  </si>
  <si>
    <t>PLAACCESSORIES116NA</t>
  </si>
  <si>
    <t>PLAN601NA00000</t>
  </si>
  <si>
    <t>GI 50 MM CLAMP FOR PVC PIPE</t>
  </si>
  <si>
    <t>PLAACCESSORIES117NA</t>
  </si>
  <si>
    <t>PLAA001NA00000</t>
  </si>
  <si>
    <t>GI 2" - 50 MM PIPE</t>
  </si>
  <si>
    <t>PLAACCESSORIES118NA</t>
  </si>
  <si>
    <t>PLAA003NA00000</t>
  </si>
  <si>
    <t>GI 3"- 80 MM PIPE</t>
  </si>
  <si>
    <t>PLAACCESSORIES119NA</t>
  </si>
  <si>
    <t>PLAA004NA00000</t>
  </si>
  <si>
    <t>GI 4" - 100 MM PIPE</t>
  </si>
  <si>
    <t>PLAACCESSORIES120NA</t>
  </si>
  <si>
    <t>PLAN101ST00004</t>
  </si>
  <si>
    <t>GI Nipple 10mm , length 4"</t>
  </si>
  <si>
    <t>PLAACCESSORIES121ST</t>
  </si>
  <si>
    <t>PLAN108ST00003</t>
  </si>
  <si>
    <t>GI Nipple 25mm, 3" Length</t>
  </si>
  <si>
    <t>PLAACCESSORIES122ST</t>
  </si>
  <si>
    <t>PLAN110ST00006</t>
  </si>
  <si>
    <t>GI Nipple 25mm, 6" Length</t>
  </si>
  <si>
    <t>PLAACCESSORIES123ST</t>
  </si>
  <si>
    <t>PLAG011ST00000</t>
  </si>
  <si>
    <t xml:space="preserve">80MM  LINE SIZE MS PIPE </t>
  </si>
  <si>
    <t>PLAACCESSORIES124ST</t>
  </si>
  <si>
    <t>PLAG007ST00000</t>
  </si>
  <si>
    <t xml:space="preserve">200MM  LINE SIZE MS PIPE </t>
  </si>
  <si>
    <t>PLAACCESSORIES157ST</t>
  </si>
  <si>
    <t>PLAG009ST00000</t>
  </si>
  <si>
    <t xml:space="preserve">300MM  LINE SIZE MS PIPE </t>
  </si>
  <si>
    <t>PLAACCESSORIES125ST</t>
  </si>
  <si>
    <t>PLAZ000ST00000</t>
  </si>
  <si>
    <t>Jute for pipe threading</t>
  </si>
  <si>
    <t>PLAACCESSORIES126ST</t>
  </si>
  <si>
    <t>PLAK001ST00000</t>
  </si>
  <si>
    <t xml:space="preserve">HOLDTITE Solution 200ml </t>
  </si>
  <si>
    <t>PLAACCESSORIES127ST</t>
  </si>
  <si>
    <t>PLAN035ST00000</t>
  </si>
  <si>
    <t>PLAACCESSORIES128ST</t>
  </si>
  <si>
    <t>PLAQ000NA00000</t>
  </si>
  <si>
    <t>uPVC Hose Adapter with 3/4-Inch Female Hose Thread and 1/2-Inch Male Pipe Thread</t>
  </si>
  <si>
    <t>PLAACCESSORIES129ST</t>
  </si>
  <si>
    <t>PLAV004ST00000</t>
  </si>
  <si>
    <t xml:space="preserve">Cast Iron Flanged Bend ,100mm Line size </t>
  </si>
  <si>
    <t>PLAACCESSORIES130ST</t>
  </si>
  <si>
    <t>PLAN004ST00000</t>
  </si>
  <si>
    <t>GI Coupling 25mm (1") line size</t>
  </si>
  <si>
    <t>PLAACCESSORIES131ST</t>
  </si>
  <si>
    <t>PLAN008ST00000</t>
  </si>
  <si>
    <t>GI Coupling 19mm Line size</t>
  </si>
  <si>
    <t>PLAACCESSORIES132ST</t>
  </si>
  <si>
    <t>PLAN111ST00004</t>
  </si>
  <si>
    <t xml:space="preserve">GI Nipple 19 mm Size,  4 " length </t>
  </si>
  <si>
    <t>PLAACCESSORIES133ST</t>
  </si>
  <si>
    <t>PLAG208ST00000</t>
  </si>
  <si>
    <t xml:space="preserve">3/8 inch MS Elbow </t>
  </si>
  <si>
    <t>PLAACCESSORIES134ST</t>
  </si>
  <si>
    <t>PLAG601ST00000</t>
  </si>
  <si>
    <t>3/8×1/4 inch MS busing </t>
  </si>
  <si>
    <t>PLAACCESSORIES135ST</t>
  </si>
  <si>
    <t>PLAG602ST00000</t>
  </si>
  <si>
    <t>1/2×1/4 inch MS busing</t>
  </si>
  <si>
    <t>PLAACCESSORIES136ST</t>
  </si>
  <si>
    <t>PLAG012ST00000</t>
  </si>
  <si>
    <t>100*150MM MS REDUCER</t>
  </si>
  <si>
    <t>PLAACCESSORIES138ST</t>
  </si>
  <si>
    <t>PLAN042ST00000</t>
  </si>
  <si>
    <t>Gi reducer 32x20mm</t>
  </si>
  <si>
    <t>PLAACCESSORIES139ST</t>
  </si>
  <si>
    <t>PLAN043ST00000</t>
  </si>
  <si>
    <t>Gi reducer 32x25mm</t>
  </si>
  <si>
    <t>PLAACCESSORIES140ST</t>
  </si>
  <si>
    <t>PLAI001ST00000</t>
  </si>
  <si>
    <t>Thread Teflon Tape (PTFE)</t>
  </si>
  <si>
    <t>PLAACCESSORIES141ST</t>
  </si>
  <si>
    <t>PLAN009ST00000</t>
  </si>
  <si>
    <t xml:space="preserve">GI Bushing 1/2 " to 3/8" </t>
  </si>
  <si>
    <t>PLAACCESSORIES142ST</t>
  </si>
  <si>
    <t xml:space="preserve">PLAX201SP00600	</t>
  </si>
  <si>
    <t>FRP DRUM 100 LTR FOR CHLORINE DOSING With 5 mm Thickness and 8 KG Weight</t>
  </si>
  <si>
    <t>PLAACCESSORIES143ST</t>
  </si>
  <si>
    <t>PLAC015ST00013</t>
  </si>
  <si>
    <t>Bolt - M10 X 75 - STAINLESS STEEL, with Nut and washer</t>
  </si>
  <si>
    <t>PLAACCESSORIES144ST</t>
  </si>
  <si>
    <t>PLAG000ST00014</t>
  </si>
  <si>
    <t>METAL CLAMP for Gateway</t>
  </si>
  <si>
    <t>PLAACCESSORIES145ST</t>
  </si>
  <si>
    <t>PLAO801ST00000</t>
  </si>
  <si>
    <t>PVC bend-20 mm</t>
  </si>
  <si>
    <t>PLAACCESSORIES146ST</t>
  </si>
  <si>
    <t>PLAE001ST00000</t>
  </si>
  <si>
    <t>Dossier Pipe 1/4"</t>
  </si>
  <si>
    <t>PLAACCESSORIES147ST</t>
  </si>
  <si>
    <t>PLAE002ST00000</t>
  </si>
  <si>
    <t>Dossier T 1/4"</t>
  </si>
  <si>
    <t>PLAACCESSORIES148ST</t>
  </si>
  <si>
    <t>PLAC016ST00000</t>
  </si>
  <si>
    <t>Nipple 1/4"mm 50 mm long (SS) Female thread (inner thread required)</t>
  </si>
  <si>
    <t>PLAACCESSORIES149ST</t>
  </si>
  <si>
    <t>PLAM001ST00000</t>
  </si>
  <si>
    <t>MS angle(ISA 50x50x6mm) for laying cables in trays</t>
  </si>
  <si>
    <t>PLAACCESSORIES150ST</t>
  </si>
  <si>
    <t>PLAO802ST00000</t>
  </si>
  <si>
    <t>PVC - Bend - 50 mm</t>
  </si>
  <si>
    <t>PLAACCESSORIES151ST</t>
  </si>
  <si>
    <t>PLAR902ST00000</t>
  </si>
  <si>
    <t>FTA 1/2 (UPVC)</t>
  </si>
  <si>
    <t>PLAACCESSORIES152ST</t>
  </si>
  <si>
    <t>PLAO901ST00000</t>
  </si>
  <si>
    <t>PVC Gate Valve 1/2"</t>
  </si>
  <si>
    <t>PLAACCESSORIES153ST</t>
  </si>
  <si>
    <t>PLAM008ST00000</t>
  </si>
  <si>
    <t>35x35x3 mm MS angle</t>
  </si>
  <si>
    <t>PLAACCESSORIES154ST</t>
  </si>
  <si>
    <t>PLAC017ST00000</t>
  </si>
  <si>
    <t>NRV- 1/4" BSP material SS304
Range: 6000 PSI</t>
  </si>
  <si>
    <t>PLAACCESSORIES155ST</t>
  </si>
  <si>
    <t>PLAX101SP00000</t>
  </si>
  <si>
    <t>SCV 100-01 100 Ltr Tank</t>
  </si>
  <si>
    <t>PLAACCESSORIES156SP</t>
  </si>
  <si>
    <t>PRGA100AM00001</t>
  </si>
  <si>
    <t>Pressure Guage</t>
  </si>
  <si>
    <t>PRESSURE GAUGE ANALOG DIAL TYPE 4" 0-100 BAR WINA PIPE AND COCK</t>
  </si>
  <si>
    <t>PRGGAUGE001AM</t>
  </si>
  <si>
    <t>PRGA025AM00001</t>
  </si>
  <si>
    <t>PRESSURE GAUGE ANALOG DIAL TYPE 4" 0-25 BAR WINA PIPE AND COCK</t>
  </si>
  <si>
    <t>PRGGAUGE002AM</t>
  </si>
  <si>
    <t>PRGA070AM00001</t>
  </si>
  <si>
    <t>PRESSURE GAUGE ANALOG DIAL TYPE 4" 0-70 BAR WINA PIPE AND COCK</t>
  </si>
  <si>
    <t>PRGGAUGE003AM</t>
  </si>
  <si>
    <t>PRGA016HG00001</t>
  </si>
  <si>
    <t>PRESSURE GAUGE 4" 0-16 BAR</t>
  </si>
  <si>
    <t>PRGGAUGE004HG</t>
  </si>
  <si>
    <t>PRGB025BE00000</t>
  </si>
  <si>
    <t xml:space="preserve">Pressure gauge 6" 0-25 BAR, Accuracy +-1%  of full scale </t>
  </si>
  <si>
    <t>PRGGAUGE005BE</t>
  </si>
  <si>
    <t>PRTA006DN00202</t>
  </si>
  <si>
    <t>PT 0-10 Bar</t>
  </si>
  <si>
    <t>6 BAR PRESSURE TRANSMITTER G 1/4" WINA M12 CONNECTOR, DANFOSS MAKE, 2 WIRE TYPE, 24 VDC OPERATED.</t>
  </si>
  <si>
    <t>PRT06BARPT002DN</t>
  </si>
  <si>
    <t>PRTAOO5M100301</t>
  </si>
  <si>
    <t>PRESSURE TRANSMITTER 0-5 BAR G1/4,24 V DC OPERATED 2 WIRE</t>
  </si>
  <si>
    <t>PRT05BARPT003MI</t>
  </si>
  <si>
    <t>PRTA010BA00402</t>
  </si>
  <si>
    <t>BAUMER MAKE 0 TO 10 BAR PRESSURE TRANSMITTER</t>
  </si>
  <si>
    <t>PRT10BARPT004BA</t>
  </si>
  <si>
    <t>PRTA010MI00701</t>
  </si>
  <si>
    <t>MICROSENSOR MAKE 0 TO 10 BAR PRESSURE TRANSMITTER WINA INBUILT DISPLAY</t>
  </si>
  <si>
    <t>PRT10BARPT007MI</t>
  </si>
  <si>
    <t>PRTA010DN00102</t>
  </si>
  <si>
    <t>DANFOSS MAKE 0 TO 10 BAR PRESSURE TRANSMITTER</t>
  </si>
  <si>
    <t>PRT10BARPT008DN</t>
  </si>
  <si>
    <t>PRTA010ST00005</t>
  </si>
  <si>
    <t>Pressure transmitter 0 to 10 bar , BAttery operated with GSM/GPRS</t>
  </si>
  <si>
    <t>PRT20BARPT015MI</t>
  </si>
  <si>
    <t>PRTA010MI00002</t>
  </si>
  <si>
    <t>MICROSENSOR MAKE 0 TO 10 BAR PRESSURE TRANSMITTER W/O INBUILT DISPLAY</t>
  </si>
  <si>
    <t>PRT10BARPT016MI</t>
  </si>
  <si>
    <t>PRTA010XT00901</t>
  </si>
  <si>
    <t>Pressure Transmitter (New) XYT 0 TO 10 BAR</t>
  </si>
  <si>
    <t>PRT010BARPT018XT</t>
  </si>
  <si>
    <t>PRTA100BA00602</t>
  </si>
  <si>
    <t>PT 0-100 Bar</t>
  </si>
  <si>
    <t>BAUMER MAKE 0 TO 100 BAR PRESSURE TRANSMITTER</t>
  </si>
  <si>
    <t>PRT100BARPT006BA</t>
  </si>
  <si>
    <t>PRTA100MI00002</t>
  </si>
  <si>
    <t>MICROSENSOR MAKE 0 TO 100 BAR PRESSURE TRANSMITTER W/O INBUILT DISPLAY</t>
  </si>
  <si>
    <t>PRT100BARPT017MI</t>
  </si>
  <si>
    <t>PRTA016DN00102</t>
  </si>
  <si>
    <t>PT 0-16 Bar</t>
  </si>
  <si>
    <t>16 BAR PRESSURE TRANSMITTER G 1/4" WINA M12 CONNECTOR, DANFOSS MAKE, 2 WIRE TYPE, 24 VDC OPERATED.</t>
  </si>
  <si>
    <t>PRT16BARPT001DN</t>
  </si>
  <si>
    <t>PRTA016SI00801</t>
  </si>
  <si>
    <t>SIEMENS MAKE 0 TO 16 BAR PRESSURE TRANSMITTER GAUGE PRESSURE HART TYPE</t>
  </si>
  <si>
    <t>PRT16BARPT008SI</t>
  </si>
  <si>
    <t>PRTS016EN10001</t>
  </si>
  <si>
    <t>Pressure Transmitter Range 0-16 Bar, Input 24 VDC, out put 4-20mA</t>
  </si>
  <si>
    <t>PRT16BARPT010EN</t>
  </si>
  <si>
    <t>PRTA016NA00000</t>
  </si>
  <si>
    <t>PRT016BARPT019NA</t>
  </si>
  <si>
    <t>PRTA016MI00701</t>
  </si>
  <si>
    <t xml:space="preserve">Pressure Transmitter 0-16 Bar with Display unit
</t>
  </si>
  <si>
    <t>PRT16BARPT012MI</t>
  </si>
  <si>
    <t>PRTA016MI00001</t>
  </si>
  <si>
    <t>Fle</t>
  </si>
  <si>
    <t>PRT16BARPT013MI</t>
  </si>
  <si>
    <t>PRTA020XT00901</t>
  </si>
  <si>
    <t>PT 0-20 Bar</t>
  </si>
  <si>
    <t>Pressure transmitter (0-20 Bar)</t>
  </si>
  <si>
    <t>PRT20BARPT014XT</t>
  </si>
  <si>
    <t>PRTA025BA00502</t>
  </si>
  <si>
    <t>PT 0-25 Bar</t>
  </si>
  <si>
    <t>BAUMER MAKE 0 TO 25 BAR PRESSURE TRANSMITTER</t>
  </si>
  <si>
    <t>PRT25BARPT005BA</t>
  </si>
  <si>
    <t>PRTA025DN00002</t>
  </si>
  <si>
    <t>PRESSURE TRANSMITTER 0-25 BAR 2 WIRE</t>
  </si>
  <si>
    <t>PRT25BARPT009DN</t>
  </si>
  <si>
    <t>PRTA025MI00001</t>
  </si>
  <si>
    <t>MICROSENSOR MAKE 0 TO 25 BAR PRESSURE TRANSMITTER WITH INBUILT DISPLAY</t>
  </si>
  <si>
    <t>PRT25BARPT011MI</t>
  </si>
  <si>
    <t>SERA001GI52380</t>
  </si>
  <si>
    <t>Service</t>
  </si>
  <si>
    <t>FREIGHT CHARGE OF CABLE FROM FACTORY TO SITE FOR 5238</t>
  </si>
  <si>
    <t>SERSERVICE001GI</t>
  </si>
  <si>
    <t>SERE210TL81040</t>
  </si>
  <si>
    <t xml:space="preserve"> CALIBRATION OF CONICAL FLASK1</t>
  </si>
  <si>
    <t>SERSERVICE022TL</t>
  </si>
  <si>
    <t>SERE211TL81040</t>
  </si>
  <si>
    <t xml:space="preserve"> CALIBRATION OF CONICAL FLASK2</t>
  </si>
  <si>
    <t>SERSERVICE023TL</t>
  </si>
  <si>
    <t>SERD003BA61390</t>
  </si>
  <si>
    <t>WOODEN BOX PACKING CHARGES</t>
  </si>
  <si>
    <t>SERSERVICE041BA</t>
  </si>
  <si>
    <t>SERE212TL81040</t>
  </si>
  <si>
    <t xml:space="preserve"> CALIBRATION OF CONICAL FLASK</t>
  </si>
  <si>
    <t>SERSERVICE024TL</t>
  </si>
  <si>
    <t>SERB002DE52350</t>
  </si>
  <si>
    <t xml:space="preserve">OPTICAL FIBER CABLE LAYING IN HDPE PIPE KARANJA </t>
  </si>
  <si>
    <t>SERSERVICE042DE</t>
  </si>
  <si>
    <t>SERA001DH41070</t>
  </si>
  <si>
    <t>FREIGHT CHARGES FOR PROJECT 4104</t>
  </si>
  <si>
    <t>SERSERVICE005DH</t>
  </si>
  <si>
    <t>SERA001TR40970</t>
  </si>
  <si>
    <t>FREIGHT CHARGES FOR PROJECT 4097</t>
  </si>
  <si>
    <t>SERSERVICE006TR</t>
  </si>
  <si>
    <t>SERF002TE40730</t>
  </si>
  <si>
    <t>PROJECT 4073 LADDER REPAIRING</t>
  </si>
  <si>
    <t>SERSERVICE007TE</t>
  </si>
  <si>
    <t>SERF002NA40730</t>
  </si>
  <si>
    <t>PROJECT 4073 TEMP SENSOR SOCKET MANUFACTURING</t>
  </si>
  <si>
    <t>SERSERVICE008NA</t>
  </si>
  <si>
    <t>SERB002VI40800</t>
  </si>
  <si>
    <t>PROJECT 4080 INSTALLATION LABOIUR WORK</t>
  </si>
  <si>
    <t>SERSERVICE009VI</t>
  </si>
  <si>
    <t>SERD003NU52390</t>
  </si>
  <si>
    <t>FREIGHT PACKING MATERIAL (USED  FOR PANEL PACKING)</t>
  </si>
  <si>
    <t>SERSERVICE043NU</t>
  </si>
  <si>
    <t>SERA005PA52380</t>
  </si>
  <si>
    <t xml:space="preserve">TRANSPORATION CHARGES  SUPPLY OFODHAV TO ELLISHBRIDGE </t>
  </si>
  <si>
    <t>SERSERVICE044PA</t>
  </si>
  <si>
    <t>SERB000DE52380</t>
  </si>
  <si>
    <t xml:space="preserve">INSTALLATION WORK AT BANGALORE SITE </t>
  </si>
  <si>
    <t>SERSERVICE045DE</t>
  </si>
  <si>
    <t>SERB000DE52390</t>
  </si>
  <si>
    <t xml:space="preserve">INSTALLATION WORK AT KARANJA SITE </t>
  </si>
  <si>
    <t>SERSERVICE046DE</t>
  </si>
  <si>
    <t>SERE001PQ81040</t>
  </si>
  <si>
    <t>PRESSURE TRANSMITTER CERTIFICATION</t>
  </si>
  <si>
    <t>SERSERVICE010PQ</t>
  </si>
  <si>
    <t>SERE101PQ81040</t>
  </si>
  <si>
    <t>HYDRO STATIC LEVEL TRANSMITTER CERITIFICATION</t>
  </si>
  <si>
    <t>SERSERVICE011PQ</t>
  </si>
  <si>
    <t>SERE203PQ81040</t>
  </si>
  <si>
    <t>RADAR TYPE LEVEL TRANSMITTER CERTIFICATION</t>
  </si>
  <si>
    <t>SERSERVICE012PQ</t>
  </si>
  <si>
    <t>SERF007VR81040</t>
  </si>
  <si>
    <t>RO WATER MACHINE SERVICE CHARGE AT SAKAR IV</t>
  </si>
  <si>
    <t>SERSERVICE013VR</t>
  </si>
  <si>
    <t>SERF008KV40730</t>
  </si>
  <si>
    <t>PRINTER REPAIRING SERVICE CHARGES</t>
  </si>
  <si>
    <t>SERSERVICE014KV</t>
  </si>
  <si>
    <t>SERB000NE81040</t>
  </si>
  <si>
    <t>PROJECT 8104 CAMERA INSTALLATION AT PILIBHIT OFFICE</t>
  </si>
  <si>
    <t>SERSERVICE015NE</t>
  </si>
  <si>
    <t>SERE204TL81040</t>
  </si>
  <si>
    <t>CALIBRATION OF VERNIER CALIPER</t>
  </si>
  <si>
    <t>SERSERVICE016TL</t>
  </si>
  <si>
    <t>SERE205TL81040</t>
  </si>
  <si>
    <t>CALIBRATION OF MEASURING STEEL TAPE</t>
  </si>
  <si>
    <t>SERSERVICE017TL</t>
  </si>
  <si>
    <t>SERE206TL81040</t>
  </si>
  <si>
    <t>CALIBRATION OF DIGITAL SOURCE FOR 4 TO 20 MA  &amp; DC VOLT</t>
  </si>
  <si>
    <t>SERSERVICE018TL</t>
  </si>
  <si>
    <t>SERE207TL81040</t>
  </si>
  <si>
    <t>CALIBRATION OF PRESSURE TRANSMITTER</t>
  </si>
  <si>
    <t>SERSERVICE019TL</t>
  </si>
  <si>
    <t>SERE213TL81040</t>
  </si>
  <si>
    <t xml:space="preserve"> CALIBRATION OF ULTRASONIC LEVEL TRANSMITTER </t>
  </si>
  <si>
    <t>SERSERVICE025TL</t>
  </si>
  <si>
    <t>SERE214TL81040</t>
  </si>
  <si>
    <t>CALIBRATION OF MEASURING TAPE</t>
  </si>
  <si>
    <t>SERSERVICE026TL</t>
  </si>
  <si>
    <t>SERH001RI81040</t>
  </si>
  <si>
    <t>ROOMS TARIFF - HOTEL STAY AT RIVER VIEW HOTEL AHMEDABAD</t>
  </si>
  <si>
    <t>SERSERVICE027RI</t>
  </si>
  <si>
    <t>SERA000NE81040</t>
  </si>
  <si>
    <t xml:space="preserve">FRIEGHT CHARGES FOR PANEL NEXTGEN TO SAKAR </t>
  </si>
  <si>
    <t>SERSERVICE028NE</t>
  </si>
  <si>
    <t>SERC002SM52380</t>
  </si>
  <si>
    <t>SERSERVICE047SM</t>
  </si>
  <si>
    <t>SERA000NA81040</t>
  </si>
  <si>
    <t>FREIGHT CHARGES</t>
  </si>
  <si>
    <t>SERSERVICE048NA</t>
  </si>
  <si>
    <t>SERB002SM41180</t>
  </si>
  <si>
    <t>INSTALLATION CHARGES FOR VIDEO WALL 4118</t>
  </si>
  <si>
    <t>SERSERVICE030SM</t>
  </si>
  <si>
    <t>SERE208TL81040</t>
  </si>
  <si>
    <t xml:space="preserve">CALIBRATION OF PIPETTES GRADUATED FOR LAB </t>
  </si>
  <si>
    <t>SERSERVICE020TL</t>
  </si>
  <si>
    <t>SERE209TL81040</t>
  </si>
  <si>
    <t>SERSERVICE021TL</t>
  </si>
  <si>
    <t>SERB000DE52490</t>
  </si>
  <si>
    <t xml:space="preserve">INSTALLATION WORK AT Jamnagar SITE </t>
  </si>
  <si>
    <t>SERSERVICE049DE</t>
  </si>
  <si>
    <t>SERC001ST61600</t>
  </si>
  <si>
    <t>Welding work at GSPL Sites</t>
  </si>
  <si>
    <t>SERSERVICE050ST</t>
  </si>
  <si>
    <t>SERB002CI41300</t>
  </si>
  <si>
    <t>INSTALLATION CHARGES FOR PROJECT 4130</t>
  </si>
  <si>
    <t>SERSERVICE031CI</t>
  </si>
  <si>
    <t>SERB004EE41180</t>
  </si>
  <si>
    <t>WEATHER STATION ACCESORRIES &amp; INSTALLATION</t>
  </si>
  <si>
    <t>SERSERVICE032EE</t>
  </si>
  <si>
    <t>SERB003KR41200</t>
  </si>
  <si>
    <t>ACTUATOR PACKING AND LABELING WORK</t>
  </si>
  <si>
    <t>SERSERVICE033KR</t>
  </si>
  <si>
    <t>SERB002TR81040</t>
  </si>
  <si>
    <t>INSTALLATION OF EARTHING MATERIAL FOR 8104 PNC PROJECT</t>
  </si>
  <si>
    <t>SERSERVICE034TR</t>
  </si>
  <si>
    <t>SERB002CI61770</t>
  </si>
  <si>
    <t>Engineering Service Charges for supervision of Installation andCommissioning of Project</t>
  </si>
  <si>
    <t>SERSERVICE051CI</t>
  </si>
  <si>
    <t>SERF009NA52510</t>
  </si>
  <si>
    <t xml:space="preserve">REPOWDER COATING OF BUY BACK ENCLOSURE RECEIVED FROM TORRENT FOR LEVEL MONITORING PANEL OF 5251 </t>
  </si>
  <si>
    <t>SERSERVICE036NA</t>
  </si>
  <si>
    <t>SERB002NK61550</t>
  </si>
  <si>
    <t xml:space="preserve">TLP INSTALLATION </t>
  </si>
  <si>
    <t>SERSERVICE002NK</t>
  </si>
  <si>
    <t>SERB004NK61550</t>
  </si>
  <si>
    <t>SERSERVICE003NK</t>
  </si>
  <si>
    <t>SERE201NA10000</t>
  </si>
  <si>
    <t xml:space="preserve">ELECTROMAGENTIC FLOW METER CALIBRATION SERVICES FOR 100 MM DIA. FLOW METER </t>
  </si>
  <si>
    <t>SERSERVICE037NA</t>
  </si>
  <si>
    <t>SERT201NA10000</t>
  </si>
  <si>
    <t xml:space="preserve">ELECTROMAGENTIC FLOW METER TEST SERVICES FOR 100 MM DIA. FLOW METER </t>
  </si>
  <si>
    <t>SERSERVICE038NA</t>
  </si>
  <si>
    <t>SERT216NA10001</t>
  </si>
  <si>
    <t>PH SENSOR TRANSMITTER 3RD PARTY LAB IP68 SERVICES</t>
  </si>
  <si>
    <t>SERSERVICE039NA</t>
  </si>
  <si>
    <t>SERB001CI00000</t>
  </si>
  <si>
    <t>Vibration sensor installation and commissioning work</t>
  </si>
  <si>
    <t>SERSERVICE040CI</t>
  </si>
  <si>
    <t>SERB002CI00000</t>
  </si>
  <si>
    <t>Installation , testing and commisssiong charges</t>
  </si>
  <si>
    <t>SERSERVICE052CI</t>
  </si>
  <si>
    <t>STAA001PA00100</t>
  </si>
  <si>
    <t>BLANK LABLE SIZE :40 MM* 12 mm</t>
  </si>
  <si>
    <t>STASTATIONARY015PA</t>
  </si>
  <si>
    <t>STAB001PA00200</t>
  </si>
  <si>
    <t>RESIN RIBBON 50MM * 300MTRS</t>
  </si>
  <si>
    <t>STASTATIONARY016PA</t>
  </si>
  <si>
    <t>STAA001IE00000</t>
  </si>
  <si>
    <t>STASTATIONARY001IE</t>
  </si>
  <si>
    <t>STAA001IE00500</t>
  </si>
  <si>
    <t>Lable 52*25MM</t>
  </si>
  <si>
    <t>Kg</t>
  </si>
  <si>
    <t>STASTATIONARY002IE</t>
  </si>
  <si>
    <t>STAC001SB00800</t>
  </si>
  <si>
    <t>ACRYLIC NAME BOARD PRINT 2400X1200MM SIZE</t>
  </si>
  <si>
    <t>STASTATIONARY019SB</t>
  </si>
  <si>
    <t>STAA003PA01200</t>
  </si>
  <si>
    <t>65*13 MM PT LABEL - JJM</t>
  </si>
  <si>
    <t>STASTATIONARY003PA</t>
  </si>
  <si>
    <t>STAA004PA01300</t>
  </si>
  <si>
    <t>45*25 MM HPT LABEL -JJM</t>
  </si>
  <si>
    <t>STASTATIONARY004PA</t>
  </si>
  <si>
    <t>STAA005PA01400</t>
  </si>
  <si>
    <t>43.4*31.4 MM RLT LABEL-JJM</t>
  </si>
  <si>
    <t>STASTATIONARY005PA</t>
  </si>
  <si>
    <t>STAA001IE00900</t>
  </si>
  <si>
    <t>CIMCON STICKER 69</t>
  </si>
  <si>
    <t>STASTATIONARY006IE</t>
  </si>
  <si>
    <t>STAA001IE01000</t>
  </si>
  <si>
    <t>CIMCON STICKER 70</t>
  </si>
  <si>
    <t>STASTATIONARY007IE</t>
  </si>
  <si>
    <t>STAD001NA00000</t>
  </si>
  <si>
    <t>STASTATIONARY008NA</t>
  </si>
  <si>
    <t>STAE001NA00000</t>
  </si>
  <si>
    <t>STASTATIONARY009NA</t>
  </si>
  <si>
    <t>STAF001NA00000</t>
  </si>
  <si>
    <t>STASTATIONARY010NA</t>
  </si>
  <si>
    <t>STAG001NA00000</t>
  </si>
  <si>
    <t>STASTATIONARY011NA</t>
  </si>
  <si>
    <t>STAI001NA00000</t>
  </si>
  <si>
    <t>STASTATIONARY012NA</t>
  </si>
  <si>
    <t>STAJ001NA00000</t>
  </si>
  <si>
    <t>STASTATIONARY013NA</t>
  </si>
  <si>
    <t>STAK001NA00000</t>
  </si>
  <si>
    <t>STASTATIONARY014NA</t>
  </si>
  <si>
    <t>STAA003NA00600</t>
  </si>
  <si>
    <t>CIMCON-66A LABEL STICKER</t>
  </si>
  <si>
    <t>STASTATIONARY017NA</t>
  </si>
  <si>
    <t>STAA003NA00700</t>
  </si>
  <si>
    <t>STASTATIONARY018NA</t>
  </si>
  <si>
    <t>STAJ001NA01500</t>
  </si>
  <si>
    <t>Cable tag 75*30mm size</t>
  </si>
  <si>
    <t>STASTATIONARY020NA</t>
  </si>
  <si>
    <t>STAL001NA00000</t>
  </si>
  <si>
    <t>Table Chair</t>
  </si>
  <si>
    <t>STASTATIONARY021NA</t>
  </si>
  <si>
    <t>TOOM001MA00100</t>
  </si>
  <si>
    <t>MULTIMETER DMM 830L</t>
  </si>
  <si>
    <t>TOTOOLS014MA</t>
  </si>
  <si>
    <t>TOOT002NA00000</t>
  </si>
  <si>
    <t>TOTOOLS015NA</t>
  </si>
  <si>
    <t>TOOT002TP00000</t>
  </si>
  <si>
    <t>TAPARIA SCREW DRIVER DETECHEBLE</t>
  </si>
  <si>
    <t>TOTOOLS004TP</t>
  </si>
  <si>
    <t>TOOT003TP00000</t>
  </si>
  <si>
    <t>TAPARIA TESTER</t>
  </si>
  <si>
    <t>TOTOOLS005TP</t>
  </si>
  <si>
    <t>TOOT004TP00000</t>
  </si>
  <si>
    <t>TAPARIA PLIER INSULATED</t>
  </si>
  <si>
    <t>TOTOOLS010TP</t>
  </si>
  <si>
    <t>TOOM001NA00000</t>
  </si>
  <si>
    <t>TC221219/5/1 DIGITAL MULTIMETER (4-1/2 DIGIT (19999 COUNT)</t>
  </si>
  <si>
    <t>TOTOOLS017NA</t>
  </si>
  <si>
    <t>TOOM006TL00000</t>
  </si>
  <si>
    <t>MEASURING TAPE</t>
  </si>
  <si>
    <t>TOTOOLS002TL</t>
  </si>
  <si>
    <t>TOOM007TL00000</t>
  </si>
  <si>
    <t>VERNIER CALIPER 0 TO 300 MM</t>
  </si>
  <si>
    <t>TOTOOLS003TL</t>
  </si>
  <si>
    <t>TOOM001ME00000</t>
  </si>
  <si>
    <t>MECO MAKE MULRTIMETER</t>
  </si>
  <si>
    <t>TOTOOLS001ME</t>
  </si>
  <si>
    <t>TOOT008NA00000</t>
  </si>
  <si>
    <t>TOTOOLS006NA</t>
  </si>
  <si>
    <t>TOOT009NA00000</t>
  </si>
  <si>
    <t>TOTOOLS007NA</t>
  </si>
  <si>
    <t>TOOA001HI00000</t>
  </si>
  <si>
    <t xml:space="preserve">Safety shoes </t>
  </si>
  <si>
    <t>TOTOOLS011HI</t>
  </si>
  <si>
    <t>TOOA002UN00000</t>
  </si>
  <si>
    <t>Safety Helmet</t>
  </si>
  <si>
    <t>TOTOOLS012UN</t>
  </si>
  <si>
    <t>TOOA003ST00000</t>
  </si>
  <si>
    <t>SAFETY GOOGLES</t>
  </si>
  <si>
    <t>TOTOOLS013ST</t>
  </si>
  <si>
    <t>TOOT009ST00000</t>
  </si>
  <si>
    <t>Crimping Tool Smarat -16</t>
  </si>
  <si>
    <t>TOTOOLS018ST</t>
  </si>
  <si>
    <t>TOOT011TP00000</t>
  </si>
  <si>
    <t>ALLEN KEY SET</t>
  </si>
  <si>
    <t>TOTOOLS019TP</t>
  </si>
  <si>
    <t>TOOT008NA00001</t>
  </si>
  <si>
    <t>6.5 mm Bit (For Hammer)</t>
  </si>
  <si>
    <t>TOTOOLS020NA</t>
  </si>
  <si>
    <t>TOOT008NA00002</t>
  </si>
  <si>
    <t>10 mm Bit (For Hammer)</t>
  </si>
  <si>
    <t>TOTOOLS021NA</t>
  </si>
  <si>
    <t>TOOT008NA00003</t>
  </si>
  <si>
    <t>11.5 mm Bit (For Hammer)</t>
  </si>
  <si>
    <t>TOTOOLS022NA</t>
  </si>
  <si>
    <t>TOOM012NA00000</t>
  </si>
  <si>
    <t>Megger</t>
  </si>
  <si>
    <t>TOTOOLS023NA</t>
  </si>
  <si>
    <t>TOOM013NA00000</t>
  </si>
  <si>
    <t>Noice meter</t>
  </si>
  <si>
    <t>TOTOOLS024NA</t>
  </si>
  <si>
    <t>TOOM014NA00000</t>
  </si>
  <si>
    <t>Temperature meter</t>
  </si>
  <si>
    <t>TOTOOLS025NA</t>
  </si>
  <si>
    <t>TOOT005TP00000</t>
  </si>
  <si>
    <t>WIRE STRIPPER TAPARIA</t>
  </si>
  <si>
    <t>TOTOOLS016TP</t>
  </si>
  <si>
    <t>TOOT005NA00000</t>
  </si>
  <si>
    <t>WIRE STRIPPER STANDARD</t>
  </si>
  <si>
    <t>TOTOOLS008NA</t>
  </si>
  <si>
    <t>MISA001SC00000</t>
  </si>
  <si>
    <t>Unique Code</t>
  </si>
  <si>
    <t>PLC SYSTEM FOR BANGALORE PROJECT-CUSTOMISED SET CPU, IO MODULES ETC.</t>
  </si>
  <si>
    <t>MISPLCSYSTEMSC</t>
  </si>
  <si>
    <t>MISA002SC00000</t>
  </si>
  <si>
    <t>HR BK OHT 1 PLC PANEL</t>
  </si>
  <si>
    <t>MISHRBKOHT1SC</t>
  </si>
  <si>
    <t>MISA003SC00000</t>
  </si>
  <si>
    <t>HR BK OHT 2 PLC PANEL</t>
  </si>
  <si>
    <t>MISHRBKOHT2SC</t>
  </si>
  <si>
    <t>MISA004SC00000</t>
  </si>
  <si>
    <t>MIMIC PANEL NORNA ZONE</t>
  </si>
  <si>
    <t>MISMIMICSC</t>
  </si>
  <si>
    <t>MISA005SC00000</t>
  </si>
  <si>
    <t>PLC CONTROL PANEL-3 FOR SOUNA ZONE</t>
  </si>
  <si>
    <t>MISUNIQUECODE002SC</t>
  </si>
  <si>
    <t>MISA006SC00000</t>
  </si>
  <si>
    <t>PLC CONTROL PANEL-4 FOR SOUNA ZONE</t>
  </si>
  <si>
    <t>MISPLCPANEL4SA</t>
  </si>
  <si>
    <t>MISA007SC00000</t>
  </si>
  <si>
    <t>PLC CONTROL PANEL-5 FOR SOUNA ZONE</t>
  </si>
  <si>
    <t>MISPLCPANEL5SA</t>
  </si>
  <si>
    <t>MISA008SC00000</t>
  </si>
  <si>
    <t>MIMIC+PLC CONTROL PANLE FOR SOUNA ZONE-1</t>
  </si>
  <si>
    <t>MISPLCMIMICPANEL1SA</t>
  </si>
  <si>
    <t>MISA009SC00000</t>
  </si>
  <si>
    <t>MIMIC+PLC CONTROL PANLE FOR SOUNA ZONE-2</t>
  </si>
  <si>
    <t>MISPLCMIMICPANEL2SA</t>
  </si>
  <si>
    <t>MISB001SA00000</t>
  </si>
  <si>
    <t>TW WINA 15 KW SOFT STARTER, APR AND 3 NOS. ACT PANEL</t>
  </si>
  <si>
    <t>MISUNIQUECODE003SA</t>
  </si>
  <si>
    <t>MISB002SA00000</t>
  </si>
  <si>
    <t>ZPS PANEL WINA 3 NOS. 42 KW SOFT STARTER, APR AND 4 NOS. ACT. PANEL</t>
  </si>
  <si>
    <t>MISUNIQUECODE004SA</t>
  </si>
  <si>
    <t>MISB010SA00000</t>
  </si>
  <si>
    <t>6 CHANNEL PSU PANEL FOR AFIC</t>
  </si>
  <si>
    <t>MIS6CHNLPSUPANELSA</t>
  </si>
  <si>
    <t>MISB011SA00000</t>
  </si>
  <si>
    <t>8 CHANNEL PSU PANEL FOR AFIC</t>
  </si>
  <si>
    <t>MIS8CHNLPSUPANELSA</t>
  </si>
  <si>
    <t>MISB003SA00000</t>
  </si>
  <si>
    <t>ZPS PANEL WINA 3 NOS. 22 KW SOFT STARTER, APR AND 4 NOS. ACT. PANEL</t>
  </si>
  <si>
    <t>MISZPS3NO22KWSOFTSA</t>
  </si>
  <si>
    <t>MISB004SA00000</t>
  </si>
  <si>
    <t>ZPS PANEL WINA 3 NOS. 15 KW SOFT STARTER, APR AND 3 NOS. ACT. PANEL</t>
  </si>
  <si>
    <t>MISZPS3NO15KWSOFTSA</t>
  </si>
  <si>
    <t>MISB012NA00000</t>
  </si>
  <si>
    <t>RTU Panel wiNA EM Meter</t>
  </si>
  <si>
    <t>MISRTUPANELEMMTRSA</t>
  </si>
  <si>
    <t>MISB013NA00000</t>
  </si>
  <si>
    <t>Energy meter panel For TCL</t>
  </si>
  <si>
    <t>MISEMPNLTCLNA</t>
  </si>
  <si>
    <t>MISC014BA00000</t>
  </si>
  <si>
    <t>WOODEN BOX FOR EXPORT</t>
  </si>
  <si>
    <t>MISPACKWOODENBOXBA</t>
  </si>
  <si>
    <t>MISD001SA00000</t>
  </si>
  <si>
    <t>ADDTIONAL MATERIAL IN PANEL</t>
  </si>
  <si>
    <t>MISADDITONALMATSA</t>
  </si>
  <si>
    <t>MISD002SA00000</t>
  </si>
  <si>
    <t>TRAFOLITE TAG</t>
  </si>
  <si>
    <t>MISTRAFSA</t>
  </si>
  <si>
    <t>MISD003SA00000</t>
  </si>
  <si>
    <t>MISSHORTSA</t>
  </si>
  <si>
    <t>MISA004SC00100</t>
  </si>
  <si>
    <t>MISA005SC00200</t>
  </si>
  <si>
    <t>TM3DQ8TG, MODULE OUTPNP SPRG</t>
  </si>
  <si>
    <t>MISA007SC00400</t>
  </si>
  <si>
    <t>24 CHANNEL MIX MODULE, PART NO: TM3DMM24R</t>
  </si>
  <si>
    <t>TM3DMM24R</t>
  </si>
  <si>
    <t>MISA007SC00500</t>
  </si>
  <si>
    <t>TM3DI8G , 24 CHANNEL MIX MODULE</t>
  </si>
  <si>
    <t>TM3DI8GSC</t>
  </si>
  <si>
    <t>MISA005SA00000</t>
  </si>
  <si>
    <t>PLC CONTROL PANEL-1 FOR SOUNA ZONE</t>
  </si>
  <si>
    <t>MISPLCPANEL1SA</t>
  </si>
  <si>
    <t>MISA006SA00000</t>
  </si>
  <si>
    <t>PLC CONTROL PANEL-2 FOR SOUNA ZONE</t>
  </si>
  <si>
    <t>MISPLCPANEL2SA</t>
  </si>
  <si>
    <t>MISA007SA00000</t>
  </si>
  <si>
    <t>PLC CONTROL PANEL-6 FOR NORNA ZONE</t>
  </si>
  <si>
    <t>MISPLCPANEL6SA</t>
  </si>
  <si>
    <t>MISA008SA00000</t>
  </si>
  <si>
    <t>PLC CONTROL PANEL-7 FOR NORNA ZONE</t>
  </si>
  <si>
    <t>MISPLCPANEL7SA</t>
  </si>
  <si>
    <t>MISA009SA00000</t>
  </si>
  <si>
    <t>PLC CONTROL PANEL-8 FOR NORNA ZONE</t>
  </si>
  <si>
    <t>MISPLCPANEL8SA</t>
  </si>
  <si>
    <t>MISA010SA00000</t>
  </si>
  <si>
    <t>PLC CONTROL PANEL-9 FOR NORNAZONE</t>
  </si>
  <si>
    <t>MISPLCPANEL9SA</t>
  </si>
  <si>
    <t>MISA000SC00600</t>
  </si>
  <si>
    <t>TM3DI16G, 32 CHANNEL DIGITAL INPUT MODULE</t>
  </si>
  <si>
    <t>MISA000SC00700</t>
  </si>
  <si>
    <t>TM3DI32K, 8 CHANNEL DIGITAL INPUT MODULE</t>
  </si>
  <si>
    <t>MISA000SC00800</t>
  </si>
  <si>
    <t>TM3DM24RG , (16DI/8DO), 24 MIX MODULE</t>
  </si>
  <si>
    <t>MISA000SC01000</t>
  </si>
  <si>
    <t>EXTENSION, FREE WIRE- TWDFCW30K</t>
  </si>
  <si>
    <t>MISD009SC01100</t>
  </si>
  <si>
    <t>220V AC COIL FOR CONTACTOR SCHNEIDER MAKE</t>
  </si>
  <si>
    <t>MISACCOILCONTRACTORSC</t>
  </si>
  <si>
    <t>MISD010LT00000</t>
  </si>
  <si>
    <t>ROTARY HANDEL FOR MCCB L&amp;T MAKE</t>
  </si>
  <si>
    <t>MISROTARYHANDLELT</t>
  </si>
  <si>
    <t>MISB011NS00000</t>
  </si>
  <si>
    <t>CONTROL PANEL-8 36LT CDRS PH (42)</t>
  </si>
  <si>
    <t>MISCNTRLPANEL8CDRSNS</t>
  </si>
  <si>
    <t>MISB012NS00000</t>
  </si>
  <si>
    <t>CONTROL PANEL -5 NAD MAIN PH(39)</t>
  </si>
  <si>
    <t>MISCNTRLPNL5NADNS</t>
  </si>
  <si>
    <t>MISB013NS00000</t>
  </si>
  <si>
    <t>CONTROL PANEL -13 CHUNABHATTI NEW PH (47A)</t>
  </si>
  <si>
    <t>MISCNTRLPNL13NS</t>
  </si>
  <si>
    <t>MISB014NS00000</t>
  </si>
  <si>
    <t>CONTROL PANEL -14 QUERY PH (47B)</t>
  </si>
  <si>
    <t>MISCNTRLPNL14NS</t>
  </si>
  <si>
    <t>MISB015NS00000</t>
  </si>
  <si>
    <t>CONTROL PANEL -9 RENU PH (43)</t>
  </si>
  <si>
    <t>MISCNTRLPNL9NS</t>
  </si>
  <si>
    <t>MISB016NS00000</t>
  </si>
  <si>
    <t>CONTROL PANEL -10 MAP SAILORS PH (44)</t>
  </si>
  <si>
    <t>MISCNTRLPNL10NS</t>
  </si>
  <si>
    <t>MISB017NS00000</t>
  </si>
  <si>
    <t>CONTROL PANEL -6 150RL  PH (40)</t>
  </si>
  <si>
    <t>MISCNTRLPNL06NS</t>
  </si>
  <si>
    <t>MISB018NS00000</t>
  </si>
  <si>
    <t>CONTROL PANEL -1 TUNIR  PH (36)</t>
  </si>
  <si>
    <t>MISCNTRLPNL01NS</t>
  </si>
  <si>
    <t>MISB019NS00000</t>
  </si>
  <si>
    <t>CONTROL PANEL -2 STATION MES (37A)</t>
  </si>
  <si>
    <t>MISCNTRLPNL02NS</t>
  </si>
  <si>
    <t>MISB020NS00000</t>
  </si>
  <si>
    <t>CONTROL PANEL -3 300 RL PH (37B)</t>
  </si>
  <si>
    <t>MISCNTRLPNL03NS</t>
  </si>
  <si>
    <t>MISB021NS00000</t>
  </si>
  <si>
    <t>CONTROL PANEL -4 MANGERA PH (38)</t>
  </si>
  <si>
    <t>MISCNTRLPNL04NS</t>
  </si>
  <si>
    <t>MISB022NS00000</t>
  </si>
  <si>
    <t>CONTROL PANEL -11 OLD CHUNABHATTI (45)</t>
  </si>
  <si>
    <t>MISCNTRLPNL11NS</t>
  </si>
  <si>
    <t>MISB023NS00000</t>
  </si>
  <si>
    <t>CONTROL PANEL -12 84 LEADING (46)</t>
  </si>
  <si>
    <t>MISCNTRLPNL12NS</t>
  </si>
  <si>
    <t>MISB024NS00000</t>
  </si>
  <si>
    <t>CONTROL PANEL -7 NOFRA PH (41)</t>
  </si>
  <si>
    <t>MISCNTRLPNL7NS</t>
  </si>
  <si>
    <t>MISA025MI00000</t>
  </si>
  <si>
    <t>MITSUBISHI PLC SYSTEM-150 RL</t>
  </si>
  <si>
    <t>MISMITSUPLC150RLMI</t>
  </si>
  <si>
    <t>MISA026MI00000</t>
  </si>
  <si>
    <t>MITSUBISHI PLC SYSTEM-NAD MAIN</t>
  </si>
  <si>
    <t>MISMITSUPLCNADMAINLMI</t>
  </si>
  <si>
    <t>MISA027MI00000</t>
  </si>
  <si>
    <t>MITSUBISHI PLC SYSTEM- MANGERA</t>
  </si>
  <si>
    <t>MISMITSUPLCMANGEMI</t>
  </si>
  <si>
    <t>MISA028MI00000</t>
  </si>
  <si>
    <t>MITSUBISHI PLC SYSTEM- STATION MES</t>
  </si>
  <si>
    <t>MISMITSUPLCMESMI</t>
  </si>
  <si>
    <t>MISA029MI00000</t>
  </si>
  <si>
    <t>MITSUBISHI PLC SYSTEM- TUNIR</t>
  </si>
  <si>
    <t>MISMITSUPLCTUNIRMI</t>
  </si>
  <si>
    <t>MISA030MI01200</t>
  </si>
  <si>
    <t xml:space="preserve">FX5U-64MT/ESS-BS PLC </t>
  </si>
  <si>
    <t>MISMITSUPLCFX5U64MTMI</t>
  </si>
  <si>
    <t>MISA011MI01300</t>
  </si>
  <si>
    <t>FX3U-32BL</t>
  </si>
  <si>
    <t>MODF000TE00005</t>
  </si>
  <si>
    <t>COMPACT DIN RAIL KIT  MOUNTING STANDARD:35MM DIN RAIL</t>
  </si>
  <si>
    <t>MISCOMPACTDINRAILTE</t>
  </si>
  <si>
    <t>MISF001CH00000</t>
  </si>
  <si>
    <t>SODIYAM HYPOCHLORIDE FOR CHLORINE TESTING AT SAKAR IV LAB</t>
  </si>
  <si>
    <t>MISSODIUMHYPOCHLORCH</t>
  </si>
  <si>
    <t>MISF002CH00000</t>
  </si>
  <si>
    <t>DISTILLED WATER FOR TURBIDITY TESTING AT SAKAR IV LAB</t>
  </si>
  <si>
    <t>MISDISTILLEDWATERCH</t>
  </si>
  <si>
    <t>MISF003CH00000</t>
  </si>
  <si>
    <t>MAGNETIC STIRRER WINA HOTPLATE 2 LTR</t>
  </si>
  <si>
    <t>MISMAGNETICSTIRRERCH</t>
  </si>
  <si>
    <t>MISF004CH00000</t>
  </si>
  <si>
    <t>MAGNET PTFE</t>
  </si>
  <si>
    <t>MISMAGNETPFECH</t>
  </si>
  <si>
    <t>MISF005DP00000</t>
  </si>
  <si>
    <t>MISGRADPIPETTE10MLDP</t>
  </si>
  <si>
    <t>MISF006DP00000</t>
  </si>
  <si>
    <t>MISCONICAL250MLDP</t>
  </si>
  <si>
    <t>MISF007DP00000</t>
  </si>
  <si>
    <t>MISCONICAL500MLDP</t>
  </si>
  <si>
    <t>MISF008DP00000</t>
  </si>
  <si>
    <t>MISCONICAL1000MLDP</t>
  </si>
  <si>
    <t>MISF009DP00000</t>
  </si>
  <si>
    <t>MISBEAKER500MLDP</t>
  </si>
  <si>
    <t>MISF010DP00000</t>
  </si>
  <si>
    <t>MISBEAKER1000MLDP</t>
  </si>
  <si>
    <t>MISF011SH00000</t>
  </si>
  <si>
    <t>SENSOR TESTING ADOPTER FOR HPT</t>
  </si>
  <si>
    <t>MISSENSORTESTINGSH</t>
  </si>
  <si>
    <t>MISF012CH00000</t>
  </si>
  <si>
    <t>MIS4000NTUSOLUTIONCH</t>
  </si>
  <si>
    <t>MISG101PB00000</t>
  </si>
  <si>
    <t>PREELAM BOARD WOODEM</t>
  </si>
  <si>
    <t>MISPREELAMBOARDWOODEMPB</t>
  </si>
  <si>
    <t>MISH001SP00000</t>
  </si>
  <si>
    <t>TROLLY FOR LEVEL SENSOR TESTING WINA STAND AND TRANSPORTAION</t>
  </si>
  <si>
    <t>MISTROLLEYSP</t>
  </si>
  <si>
    <t>MISF013KR00000</t>
  </si>
  <si>
    <t>RO WATER PUMP WINA PU WHITE PIPE FOR LAB TESTING AT SAKAR</t>
  </si>
  <si>
    <t>MISROWATERPUMPPUKE</t>
  </si>
  <si>
    <t>MISI001MS01400</t>
  </si>
  <si>
    <t>MISPROCESSINDICATORMS</t>
  </si>
  <si>
    <t>MISE001SR00000</t>
  </si>
  <si>
    <t>12V40WATT SOLAR PANEL</t>
  </si>
  <si>
    <t>MIS12V40WATTSR</t>
  </si>
  <si>
    <t>MISJ001AZ01500</t>
  </si>
  <si>
    <t>AIR TEMP,WIND SPEED,SOLAR RADIATION,RAIN GAUGE,AIR PRESSURE -WEANAER SENSOR</t>
  </si>
  <si>
    <t>MISWEATHERSTATIONAZ</t>
  </si>
  <si>
    <t>MISK001JA01600</t>
  </si>
  <si>
    <t xml:space="preserve">SOLID SHAFT ENCODER </t>
  </si>
  <si>
    <t>MISSOLIDSOFTENCODJA</t>
  </si>
  <si>
    <t>MISD012BE00000</t>
  </si>
  <si>
    <t>BE/SR O RING 67X7</t>
  </si>
  <si>
    <t>MISBESRORINGBE</t>
  </si>
  <si>
    <t>MISL013MI01700</t>
  </si>
  <si>
    <t>MISD014MI01800</t>
  </si>
  <si>
    <t>SW1DNDING-GXW3-E , PLC SOFTWARE</t>
  </si>
  <si>
    <t>MISM001EN01900</t>
  </si>
  <si>
    <t>MISELECTWEIGH100KGEN</t>
  </si>
  <si>
    <t>MISN001XY02001</t>
  </si>
  <si>
    <t xml:space="preserve">SL-1500 - 20 m - XYLEM SONETEK MAKE  ADVM- WTIH 10 METER CABLE </t>
  </si>
  <si>
    <t>MISXYLEMSL1500XY</t>
  </si>
  <si>
    <t>MISN001XY02101</t>
  </si>
  <si>
    <t>SL-500 - 20-120 m - XYLEM SONETEK MAKE ADVM WINA 10 METER CABLE</t>
  </si>
  <si>
    <t>MISXYLEMSL0500XY</t>
  </si>
  <si>
    <t>MISE003MT00000</t>
  </si>
  <si>
    <t>100 WATT SOLAR PLATE MICROTEK WINA 12 V/40AH OKAYA BATTERY</t>
  </si>
  <si>
    <t>MIS100WSOLARMT</t>
  </si>
  <si>
    <t>MISB015PT00000</t>
  </si>
  <si>
    <t>ZPS PANEL WINA 3 NOS. 62 KW SOFT STARTER, APR AND 5 NOS. ACT. PANEL</t>
  </si>
  <si>
    <t>MISZPS62KWSOFTPT</t>
  </si>
  <si>
    <t>MISH003KI00000</t>
  </si>
  <si>
    <t>MISALUMFABADVMKI</t>
  </si>
  <si>
    <t>MISH004KI00000</t>
  </si>
  <si>
    <t>DAM GATE DESIGN FABRICATION STRUCTURE</t>
  </si>
  <si>
    <t>MISDAMGATESTRUCKI</t>
  </si>
  <si>
    <t>MISP042MT00000</t>
  </si>
  <si>
    <t>Microtek 12V/40AH Battery</t>
  </si>
  <si>
    <t>MISMICROTEK12V40AHMT</t>
  </si>
  <si>
    <t>MISA041MI02200</t>
  </si>
  <si>
    <t>16 Channel Transistor output (source) extension block (DI module)</t>
  </si>
  <si>
    <t>MIS16CHOUTPUTMI</t>
  </si>
  <si>
    <t>MISP043MT00000</t>
  </si>
  <si>
    <t>MISMICROTEK12V75AHMT</t>
  </si>
  <si>
    <t>MISD001HG02300</t>
  </si>
  <si>
    <t>Automatic changeover (switch) AND Current Limiter</t>
  </si>
  <si>
    <t>MISAUTOCHANGEEL</t>
  </si>
  <si>
    <t>MISO000MT00000</t>
  </si>
  <si>
    <t>Microtek Solar Inverter</t>
  </si>
  <si>
    <t>MISMICROTEKSOLARMT</t>
  </si>
  <si>
    <t>MISH005RS00000</t>
  </si>
  <si>
    <t xml:space="preserve">PRE FABRICATED CABIN  6 X 6 X 8 FT </t>
  </si>
  <si>
    <t>MISFABRICATED6X6X8RS</t>
  </si>
  <si>
    <t>MISP051EX00000</t>
  </si>
  <si>
    <t>12V/18 AH BATTERY EXIDE MAKE</t>
  </si>
  <si>
    <t>MIS12V18AHBATTERYEX</t>
  </si>
  <si>
    <t>MISH006NA00000</t>
  </si>
  <si>
    <t>MISMSPLATECAMERAJBNA</t>
  </si>
  <si>
    <t>MISD001EL00000</t>
  </si>
  <si>
    <t>EMI filter, 20A (reduce electromagnetic interference)</t>
  </si>
  <si>
    <t>MISEMIFILTER20AEL</t>
  </si>
  <si>
    <t>MIS0004LU50000</t>
  </si>
  <si>
    <t>SOLAR CHARGER 10AMP</t>
  </si>
  <si>
    <t>MISSOLAR10AMPLU</t>
  </si>
  <si>
    <t>MISI002MS01400</t>
  </si>
  <si>
    <t>ess</t>
  </si>
  <si>
    <t>MISPROCESSINDICATOR1MS</t>
  </si>
  <si>
    <t>MISV004NA00000</t>
  </si>
  <si>
    <t>ISOLATION TRANSFORMER 2KVA</t>
  </si>
  <si>
    <t>MISISOTRF2KVANA</t>
  </si>
  <si>
    <t>MISR065NA00000</t>
  </si>
  <si>
    <t>Mobile Phone</t>
  </si>
  <si>
    <t>MISMOBILEPHONENA</t>
  </si>
  <si>
    <t>MISV005NA00000</t>
  </si>
  <si>
    <t>MISISOLATIONXMERNA</t>
  </si>
  <si>
    <t>MISX000NA00000</t>
  </si>
  <si>
    <t>Street Light Pole with Installation accessories</t>
  </si>
  <si>
    <t>MISSTREETLIGHTPOLENA</t>
  </si>
  <si>
    <t>MISZ00100000</t>
  </si>
  <si>
    <t>MIS1.5SQMMST</t>
  </si>
  <si>
    <t>MISD016NA00003</t>
  </si>
  <si>
    <t>MISGIACCNIPPNA</t>
  </si>
  <si>
    <t>MISI001MS02400</t>
  </si>
  <si>
    <t>Signal Isolator indicator (4-20mA Input 1nos. and 4-20mA output 2 nos.</t>
  </si>
  <si>
    <t>MISR099HP00000</t>
  </si>
  <si>
    <t xml:space="preserve"> Intel Core i7, latest Generation or Higher , Keyboad , 21"LED and 42" LED  monitor</t>
  </si>
  <si>
    <t>MISI7HP21LEDHP</t>
  </si>
  <si>
    <t>MISR000NA00000</t>
  </si>
  <si>
    <t>VMS Software, HDD 1TB, NVR, POE switch, DVR rack and camera and switch mounting box.</t>
  </si>
  <si>
    <t>MISVMSHDD1TBNVRNA</t>
  </si>
  <si>
    <t>MISA125CI00000</t>
  </si>
  <si>
    <t xml:space="preserve">PLC based  Automation Panel suitable for control and monitoring for Sankar Vihar Pump House </t>
  </si>
  <si>
    <t>MISPLACAUTOSANKARCI</t>
  </si>
  <si>
    <t>MISA126CI00000</t>
  </si>
  <si>
    <t xml:space="preserve">PLC based  Automation Panel suitable for control and monitoring for OLD VRC Pump House </t>
  </si>
  <si>
    <t>MISPLACAUTOOLDVRCCI</t>
  </si>
  <si>
    <t>MISA127CI00000</t>
  </si>
  <si>
    <t xml:space="preserve">PLC based  Automation Panel suitable for control and monitoring for NEW VRC Pump House </t>
  </si>
  <si>
    <t>MISPLACAUTONEWVRCCI</t>
  </si>
  <si>
    <t>MISA128CI00000</t>
  </si>
  <si>
    <t xml:space="preserve">PLC based  Automation Panel suitable for control and monitoring for Yoginder Pump House </t>
  </si>
  <si>
    <t>MISPLACAUTOYOGINDERCI</t>
  </si>
  <si>
    <t>MISA129CI00000</t>
  </si>
  <si>
    <t xml:space="preserve">PLC based  Automation Panel suitable for control and monitoring for Anuj Vihar Pump House </t>
  </si>
  <si>
    <t>MISPLACAUTOANUJCI</t>
  </si>
  <si>
    <t>MISA130CI00000</t>
  </si>
  <si>
    <t xml:space="preserve">PLC based  Automation Panel suitable for control and monitoring for Vikram Vihar Pump House </t>
  </si>
  <si>
    <t>MISPLACAUTOVIKRAMCI</t>
  </si>
  <si>
    <t>MISA131CI00000</t>
  </si>
  <si>
    <t xml:space="preserve">PLC based  Automation Panel suitable for control and monitoring for Nodal Point-1 Pump House </t>
  </si>
  <si>
    <t>MISPLACAUTONODALPTCI</t>
  </si>
  <si>
    <t>MISR001NA00000</t>
  </si>
  <si>
    <t xml:space="preserve">INTEL XEON Processor / Latest,DDR4 DIMMs at up to 2400 MT/s 12 DIMM: 128 GB, 4*1.2TB Raid  with  Server rack mounting </t>
  </si>
  <si>
    <t>MISINTELXEONRACKNA</t>
  </si>
  <si>
    <t>MISQ025NG00000</t>
  </si>
  <si>
    <t xml:space="preserve">WTP Filter Bed panel , RTU, SPD, ARR with 3 phase valve operation for 3 nos. and 5 nos. valve provision. </t>
  </si>
  <si>
    <t>MISWTPFILTERRTUSPDARR3PHNG</t>
  </si>
  <si>
    <t>MIST002PO00000</t>
  </si>
  <si>
    <t>MIS1SQ1.5SQ3C4C4SQMMPO</t>
  </si>
  <si>
    <t>MISD017NA00000</t>
  </si>
  <si>
    <t>MISINSTALLTIONNA</t>
  </si>
  <si>
    <t>MISA200NA00000</t>
  </si>
  <si>
    <t xml:space="preserve">RTU with panel with UPS compatible WTP panel </t>
  </si>
  <si>
    <t>MISRTUPANELUPSCOMPNA</t>
  </si>
  <si>
    <t>MISD207NA00000</t>
  </si>
  <si>
    <t>Split AC 1.5 Ton  (air conditioner)  with stabilizer</t>
  </si>
  <si>
    <t>MISSPLITAC1.5TONNA</t>
  </si>
  <si>
    <t>MISB026KR00000</t>
  </si>
  <si>
    <t>Compact panel 1) ULT (0-10Mtr)(2) PT 0-16 Bar -05 nos. (3) EM- 8 Nos. (4) Copper cable 2C, 6C and 10 c x 1.5, sq mm etc. (Lot)</t>
  </si>
  <si>
    <t>MISSPARESOLARKR</t>
  </si>
  <si>
    <t>MISA017NA00000</t>
  </si>
  <si>
    <t xml:space="preserve">400 RL PLC PANLE outdoor type (for 9 Nos AT Valve and 1 Nos. ULT ) </t>
  </si>
  <si>
    <t>MIS400RLPLCPNELNA</t>
  </si>
  <si>
    <t>MISAC000CI00000</t>
  </si>
  <si>
    <t>MISRTU1KEMACRELAYCI</t>
  </si>
  <si>
    <t>MISO004LU00000</t>
  </si>
  <si>
    <t>Solar battery charger , 10A@12V/24V DC</t>
  </si>
  <si>
    <t>MISSOLAR10AMP12/24DCLU</t>
  </si>
  <si>
    <t>MISA000CI00000</t>
  </si>
  <si>
    <t>4204 Flow meter panel</t>
  </si>
  <si>
    <t>MISFLOWMTRCI</t>
  </si>
  <si>
    <t>MISA027KR00000</t>
  </si>
  <si>
    <t xml:space="preserve">5268 LCC Kapadvanj </t>
  </si>
  <si>
    <t>MISLCCKAPADKR</t>
  </si>
  <si>
    <t>MISS000BL00000</t>
  </si>
  <si>
    <t>Cyber Security Audit (Web Scada Software Cert in Audit)</t>
  </si>
  <si>
    <t>MISWEBSCADACERTBL</t>
  </si>
  <si>
    <t>MISA210SC02600</t>
  </si>
  <si>
    <t>PLC for Intake well- 4203</t>
  </si>
  <si>
    <t>MISPLCINTAKESC</t>
  </si>
  <si>
    <t>MISA211SC02600</t>
  </si>
  <si>
    <t>PLC for CWPH- 4203</t>
  </si>
  <si>
    <t>MISPLCCWPHSC</t>
  </si>
  <si>
    <t>MISA212SC02600</t>
  </si>
  <si>
    <t>PLC for Filter House-1 - 4203</t>
  </si>
  <si>
    <t>MISPLCFILTERHOU1SC</t>
  </si>
  <si>
    <t>MISA213SC02600</t>
  </si>
  <si>
    <t>PLC Panel  Filterl House-2 - 4203</t>
  </si>
  <si>
    <t>MISPLCFILTERHOU2SC</t>
  </si>
  <si>
    <t>MISA214SC02600</t>
  </si>
  <si>
    <t>PLC Panel  Filterl House-3 - 4203</t>
  </si>
  <si>
    <t>MISPLCFILTERHOU3SC</t>
  </si>
  <si>
    <t>MISA215SC02600</t>
  </si>
  <si>
    <t>PLC Panel Filterl House-4 - 4203</t>
  </si>
  <si>
    <t>MISPLCFILTERHOU4SC</t>
  </si>
  <si>
    <t>MISA216SC02600</t>
  </si>
  <si>
    <t>PLC for chemical house - 4203</t>
  </si>
  <si>
    <t>MISPLCCHEMICALSC</t>
  </si>
  <si>
    <t>MISA217SC02600</t>
  </si>
  <si>
    <t>PLC for chlorination- 4203</t>
  </si>
  <si>
    <t>MISPLCCHLORINESC</t>
  </si>
  <si>
    <t>MISA218SC02600</t>
  </si>
  <si>
    <t>PLC for DG set - 4203</t>
  </si>
  <si>
    <t>MISPLCDGSETSC</t>
  </si>
  <si>
    <t>MISD018NA00000</t>
  </si>
  <si>
    <t>MISSIMPLEXADAPTNA</t>
  </si>
  <si>
    <t>MISD019NA00000</t>
  </si>
  <si>
    <t>MISADAPTERPANELNA</t>
  </si>
  <si>
    <t>MISD208CI00000</t>
  </si>
  <si>
    <t>VIBit Wi-Fi VIBit Tr-Axial Vibration, temp and audio sensor</t>
  </si>
  <si>
    <t>MISVIBITTRIXCI</t>
  </si>
  <si>
    <t>MISI003MS00000</t>
  </si>
  <si>
    <t>Transducer AC to DC</t>
  </si>
  <si>
    <t>MISTRANSDUCERMS</t>
  </si>
  <si>
    <t>MISD020RI00000</t>
  </si>
  <si>
    <t>RD6018W DC Power Supply Variable Adjustable Module Buck Converter Voltmeter Multimeter 60V 18A 1080W- RD6018- RS2723</t>
  </si>
  <si>
    <t>MISPOWERSUPPLYVARIABLERI</t>
  </si>
  <si>
    <t>MISD089NG00000</t>
  </si>
  <si>
    <t>25 HP VFD, Enclosure panel with accessories</t>
  </si>
  <si>
    <t>MIS25HPVFDCI</t>
  </si>
  <si>
    <t>MISF014ER00000</t>
  </si>
  <si>
    <t>Amperometric Sensor Fill Solution PN 224007 125 ML</t>
  </si>
  <si>
    <t>MISSENSORFILL224007ER</t>
  </si>
  <si>
    <t>MISW001NA00000</t>
  </si>
  <si>
    <t>Old unserviceable sluice valve of size 300mm</t>
  </si>
  <si>
    <t>MISOLDUNSERVICESLUICE300NA</t>
  </si>
  <si>
    <t>MISW002NA00000</t>
  </si>
  <si>
    <t>Old unserviceable sluice valve of size 250/200mm</t>
  </si>
  <si>
    <t>MISOLDUNSERVICESLUICE250NA</t>
  </si>
  <si>
    <t>MISW003NA00000</t>
  </si>
  <si>
    <t>Old unserviceable sluice valve of size 150mm</t>
  </si>
  <si>
    <t>MISOLDUNSERVICESLUICE150NA</t>
  </si>
  <si>
    <t>MISW004NA00000</t>
  </si>
  <si>
    <t>Old unserviceable sluice valve of size 80mm</t>
  </si>
  <si>
    <t>MISOLDUNSERVICESLUICE80NA</t>
  </si>
  <si>
    <t>MISP002ST00000</t>
  </si>
  <si>
    <t>65Ah Battery tubular typer</t>
  </si>
  <si>
    <t>MISBATT65AHST</t>
  </si>
  <si>
    <t>MISE005NA00000</t>
  </si>
  <si>
    <t xml:space="preserve">10 KW Solar plate </t>
  </si>
  <si>
    <t>MIS10KWSOLARNA</t>
  </si>
  <si>
    <t>MISE006NA00000</t>
  </si>
  <si>
    <t xml:space="preserve">15 KW Solar plate </t>
  </si>
  <si>
    <t>MIS15KWSOLARNA</t>
  </si>
  <si>
    <t>MISE007NA00000</t>
  </si>
  <si>
    <t xml:space="preserve">20 KW Solar plate </t>
  </si>
  <si>
    <t>MIS20KWSOLARNA</t>
  </si>
  <si>
    <t>MISE008NA00000</t>
  </si>
  <si>
    <t xml:space="preserve">25 KW Solar plate </t>
  </si>
  <si>
    <t>MIS25KWSOLARNA</t>
  </si>
  <si>
    <t>MISE0010NA00000</t>
  </si>
  <si>
    <t xml:space="preserve">35 KW Solar plate </t>
  </si>
  <si>
    <t>MIS35KWSOLARNA</t>
  </si>
  <si>
    <t>MISE016NA00000</t>
  </si>
  <si>
    <t xml:space="preserve">60 KW Solar plate </t>
  </si>
  <si>
    <t>MIS60KWSOLARNA</t>
  </si>
  <si>
    <t>MISE017NA00000</t>
  </si>
  <si>
    <t xml:space="preserve">70 KW Solar plate </t>
  </si>
  <si>
    <t>MIS70KWSOLARNA</t>
  </si>
  <si>
    <t>MISU001NA00000</t>
  </si>
  <si>
    <t>Net Meter DLMS Compliance , Accuracy .5 x 240, 50Hz, Optic port &amp; RS 232 port</t>
  </si>
  <si>
    <t>MISNETMETERNA</t>
  </si>
  <si>
    <t>MISI001NA00000</t>
  </si>
  <si>
    <t>Process Indicator input one output two 4 to 20mA  , Power Supply 230 V AC operated, Accuracy +-1% of FSD</t>
  </si>
  <si>
    <t>MISPROCINDICATORNA</t>
  </si>
  <si>
    <t>MISD021NA00000</t>
  </si>
  <si>
    <t>8-Channel Scanner</t>
  </si>
  <si>
    <t>MIS8CHSCANNNA</t>
  </si>
  <si>
    <t>MISD022NA00000</t>
  </si>
  <si>
    <t>16 Channel Annunciator</t>
  </si>
  <si>
    <t>MIS16CHANNUCNA</t>
  </si>
  <si>
    <t>MISE002NA00000</t>
  </si>
  <si>
    <t>Solar Panel 12V/80W</t>
  </si>
  <si>
    <t>MISSOLARPNL12VNA</t>
  </si>
  <si>
    <t>UPSB101LU00101</t>
  </si>
  <si>
    <t>LUMINOUS LB1000PRO OFFLINE LUMINOUS WINA IN BUILT BATTERY</t>
  </si>
  <si>
    <t>UPSPS002LU</t>
  </si>
  <si>
    <t>UPSA101FU00205</t>
  </si>
  <si>
    <t>FUJI FINCH PW 1KVA ONLINE UPS</t>
  </si>
  <si>
    <t>UPSPS001FU</t>
  </si>
  <si>
    <t>UPSB100LU00303</t>
  </si>
  <si>
    <t>LUMINOUS SINEWAVE INVERTER ECOVOLT 750/12VDC</t>
  </si>
  <si>
    <t>UPSPS021LU</t>
  </si>
  <si>
    <t>UPSA101MI00401</t>
  </si>
  <si>
    <t>ONLINE UPS IKVA MICROTEK</t>
  </si>
  <si>
    <t>UPSPS003MI</t>
  </si>
  <si>
    <t>UPSA102LU00503</t>
  </si>
  <si>
    <t>LUMINOUS ONLINE UPS SYSTEM EXTERNAL BATTERY</t>
  </si>
  <si>
    <t>UPSPS022LU</t>
  </si>
  <si>
    <t>UPSA000ST00005</t>
  </si>
  <si>
    <t>BATTERY STAND FOR 6 NOS SMF BATTERY , M.I RACK 26*6 WINA TOP</t>
  </si>
  <si>
    <t>UPSPS023ST</t>
  </si>
  <si>
    <t>UPSB100IB00601</t>
  </si>
  <si>
    <t>UPS I BALL MAKE 600 VA</t>
  </si>
  <si>
    <t>UPSPS004IB</t>
  </si>
  <si>
    <t>UPSA101BP00001</t>
  </si>
  <si>
    <t>UPS BPE 1 KVA ONLINE</t>
  </si>
  <si>
    <t>UPSPS005BP</t>
  </si>
  <si>
    <t>UPSA103HI00604</t>
  </si>
  <si>
    <t>UPS 3 KVA ONLINE WINA INBUILT TRANSFORMER +EXTERNAL BATTERY WINA LINK &amp; RACK -</t>
  </si>
  <si>
    <t>UPSPS006HI</t>
  </si>
  <si>
    <t>UPSA103MI00704</t>
  </si>
  <si>
    <t>UPS 3 KVA ONLINE WINA INBUILT TRANSFORMER +EXTERNAL BATTERY WINA LINK &amp; RACK</t>
  </si>
  <si>
    <t>UPSPS007MI</t>
  </si>
  <si>
    <t>UPSD410KR00806</t>
  </si>
  <si>
    <t>DG SET 10 KVA KOEL IGREEN WINA INBUILT STARTER PANEL</t>
  </si>
  <si>
    <t>UPSPS008KR</t>
  </si>
  <si>
    <t>UPSB101FS00901</t>
  </si>
  <si>
    <t>UPS 1 KVA FSP MAKE FP1000 VA</t>
  </si>
  <si>
    <t>UPSPS009FS</t>
  </si>
  <si>
    <t>UPSA101FU00003</t>
  </si>
  <si>
    <t>1 KVA ONLINE UPS SINGLE PHASE</t>
  </si>
  <si>
    <t>UPSPS010FS</t>
  </si>
  <si>
    <t>UPSA103NA00000</t>
  </si>
  <si>
    <t>UPS 3 KVA ONLINE  inbult battery</t>
  </si>
  <si>
    <t>UPSPS017NA</t>
  </si>
  <si>
    <t>UPSD411KR01006</t>
  </si>
  <si>
    <t>DG SET 50 KVA KOEL IGREEN WITH INBUILT STARTER PANEL</t>
  </si>
  <si>
    <t>UPSPS019KR</t>
  </si>
  <si>
    <t>MOVF004AN00000</t>
  </si>
  <si>
    <t>Valve Actuator</t>
  </si>
  <si>
    <t>MOTORISED BRASS BALL VALVE 1" NAREADED</t>
  </si>
  <si>
    <t>VAL25MMGIPIPE</t>
  </si>
  <si>
    <t>MOVJ002MA00102</t>
  </si>
  <si>
    <t>MULTI TURN ACTUATOR 80 MM CLASS 300 M120/020/C</t>
  </si>
  <si>
    <t>ACTVAL80MMMULTIMA</t>
  </si>
  <si>
    <t>MOVA102ST00000</t>
  </si>
  <si>
    <t>15 MM DIA. CI BALL VALVE</t>
  </si>
  <si>
    <t>ACTBALLVAL15MMST</t>
  </si>
  <si>
    <t>MOVJOO3MA00202</t>
  </si>
  <si>
    <t>ELECTRICALLY OPERATED VASLVES, MODEL:QT-10, WINA 100MM VALVE WINA EXTENDED PIPE</t>
  </si>
  <si>
    <t>ACTVALELECMA</t>
  </si>
  <si>
    <t>MOVC001MA00300</t>
  </si>
  <si>
    <t>Motorised Butterfly valve wiNA Actuator 50 mm</t>
  </si>
  <si>
    <t>ACTVAL050MMMB</t>
  </si>
  <si>
    <t>MOVC002MA00300</t>
  </si>
  <si>
    <t>Motorised Butterfly valve wiNA Actuator 80 mm</t>
  </si>
  <si>
    <t>ACTVAL080MMMTMA</t>
  </si>
  <si>
    <t>MOVC003MA00300</t>
  </si>
  <si>
    <t>Motorised Butterfly valve wiNA Actuator 100 mm</t>
  </si>
  <si>
    <t>ACTVAL100MMMT</t>
  </si>
  <si>
    <t>MOVC004MA00300</t>
  </si>
  <si>
    <t>Motorised Butterfly valve wiNA Actuator 125 mm</t>
  </si>
  <si>
    <t>ACTVAL125MMMT</t>
  </si>
  <si>
    <t>MOVC005MA00400</t>
  </si>
  <si>
    <t>Motorised Butterfly valve wiNA Actuator 150 mm</t>
  </si>
  <si>
    <t>ACTVAL150MMMT</t>
  </si>
  <si>
    <t>MOVC006MA00400</t>
  </si>
  <si>
    <t>Motorised Butterfly valve wiNA Actuator 200 mm</t>
  </si>
  <si>
    <t>ACTVAL200MMMT</t>
  </si>
  <si>
    <t>MOVC007MA00400</t>
  </si>
  <si>
    <t>Motorised Butterfly valve wiNA Actuator 250 mm</t>
  </si>
  <si>
    <t>ACTVAL250MMMT</t>
  </si>
  <si>
    <t>MOVJ002MA00502</t>
  </si>
  <si>
    <t>Multiturn actuator M120/020/C class 600 - 80 mm</t>
  </si>
  <si>
    <t>ACTVAL080MMM120MT</t>
  </si>
  <si>
    <t>MOVJ010MA00502</t>
  </si>
  <si>
    <t>Multiturn actuator M120/020/C class 600 - 65 mm</t>
  </si>
  <si>
    <t>ACTVAL065MMMT</t>
  </si>
  <si>
    <t>MOVC005ZD00000</t>
  </si>
  <si>
    <t>150DN Electric Butterfly Valve</t>
  </si>
  <si>
    <t>ACTVALELEC150MMZD</t>
  </si>
  <si>
    <t>MOVC005AR00000</t>
  </si>
  <si>
    <t>ACTVALELEC150MMAR</t>
  </si>
  <si>
    <t>MOVK001MA00000</t>
  </si>
  <si>
    <t>EXTSHAFT80MMMA</t>
  </si>
  <si>
    <t>MOVK002MA00000</t>
  </si>
  <si>
    <t>EXTSHAFT1000MMMA</t>
  </si>
  <si>
    <t>MOVK003MA00000</t>
  </si>
  <si>
    <t>EXTSHAFT150MMMA</t>
  </si>
  <si>
    <t>MOVK004MA00000</t>
  </si>
  <si>
    <t>EXTENDED SHAFT WINA MS POWDER COATED PIPE AND COUPLER 500 MM LONG FOR BFV 100 MM</t>
  </si>
  <si>
    <t>EXTSHAFT100MMMA</t>
  </si>
  <si>
    <t>MOVK005MA00000</t>
  </si>
  <si>
    <t>SPARE FOR ELECTRICAL ACTUATOR HANDWHEEL WINA SHAFT EXTENSION</t>
  </si>
  <si>
    <t>EXTSHAFTHANDWHEL</t>
  </si>
  <si>
    <t>MOVC407ST00000</t>
  </si>
  <si>
    <t xml:space="preserve">BUTTERFLY VALVE 250MM PN 10 TO OPERATED ACTAUTOR M QT-30 WINA SUITABLE HARDWARE </t>
  </si>
  <si>
    <t>ACTVALBUTT250MMMA</t>
  </si>
  <si>
    <t>MOVB003MA00600</t>
  </si>
  <si>
    <t>ELECTRICAL ACTUATOR FOR SLUICE VALVE MULTITURN</t>
  </si>
  <si>
    <t>ACTELECSLUICSMT</t>
  </si>
  <si>
    <t>MOVJ003MA01400</t>
  </si>
  <si>
    <t>MOTORISED ACTUATOR WINAOUT VALVE 100 MM -M120/020/E</t>
  </si>
  <si>
    <t>ACTVAL100MMMO</t>
  </si>
  <si>
    <t>MOVJ005MA01400</t>
  </si>
  <si>
    <t>MOTORISED ACTUATOR WINAOUT VALVE 150 MM -M120/020/E</t>
  </si>
  <si>
    <t>ACTVAL150MMMO</t>
  </si>
  <si>
    <t>MOVB109MA00000</t>
  </si>
  <si>
    <t>SLUICE VALVE CIDF 100 MM</t>
  </si>
  <si>
    <t>VAL100MMSLUIC</t>
  </si>
  <si>
    <t>MOVB111MA00000</t>
  </si>
  <si>
    <t>SLUICE VALVE CIDF 150 MM</t>
  </si>
  <si>
    <t>VAL150MMSLUIC</t>
  </si>
  <si>
    <t>MOVJ006MA01600</t>
  </si>
  <si>
    <t>MOTORISED ACTUATOR WINAOUT VALVE 200 MM -M200/020/E</t>
  </si>
  <si>
    <t>ACTVAL200MM20MO</t>
  </si>
  <si>
    <t>MOVJ007MA01700</t>
  </si>
  <si>
    <t>MOTORISED ACTUATOR WINAOUT VALVE 250 MM -M150/060/MGT 60/E</t>
  </si>
  <si>
    <t>ACTVAL250MM60MO</t>
  </si>
  <si>
    <t>MOVJ008MA01800</t>
  </si>
  <si>
    <t>MOTORISED ACTUATOR WINAOUT VALVE 300 MM-M150/060/MSR 75/E</t>
  </si>
  <si>
    <t>ACTVAL300MM75MO</t>
  </si>
  <si>
    <t>MOVJ008MA01900</t>
  </si>
  <si>
    <t>MOTORISED ACTUATOR WINAOUT VALVE 300 MM-M150/060/MGT 105/E</t>
  </si>
  <si>
    <t>ACTVAL300MM105MO</t>
  </si>
  <si>
    <t>MOVJ009MA01800</t>
  </si>
  <si>
    <t>MOTORISED ACTUATOR WINAOUT VALVE 350 MM -M150/060/MSR 75/E</t>
  </si>
  <si>
    <t>ACTVAL350MM75MO</t>
  </si>
  <si>
    <t>MOVA007MA00300</t>
  </si>
  <si>
    <t xml:space="preserve">Electric operated Actuator with ball valve , size 50mm </t>
  </si>
  <si>
    <t>ACTVALELEBALL50MMMA</t>
  </si>
  <si>
    <t>MOVK502MA00000</t>
  </si>
  <si>
    <t>MARSH MULTITURN MOTOR QT-10</t>
  </si>
  <si>
    <t>ACTMULTIQT10MA</t>
  </si>
  <si>
    <t>MOVK503MA00000</t>
  </si>
  <si>
    <t>MARSH MULTITURN MOTOR QT-20</t>
  </si>
  <si>
    <t>ACTMULTIQT20MA</t>
  </si>
  <si>
    <t>MOVK008MA00000</t>
  </si>
  <si>
    <t>BRACKET FOR THREE PHASE ACTUATOR WITH DIRECT MOUNT</t>
  </si>
  <si>
    <t>ACTVALBRAC3PHSDIR</t>
  </si>
  <si>
    <t>MOVK009MA00000</t>
  </si>
  <si>
    <t>BRACKET FOR THREE PHASE ACTUATOR WITH EXTENDED SHAFT MOUNT</t>
  </si>
  <si>
    <t>ACTVALBRAC3PHSEXT</t>
  </si>
  <si>
    <t>MOVC002ST00000</t>
  </si>
  <si>
    <t>MOTORISED BUTTERFLY VALVE FOR 80 MM DIA. WITH PN10</t>
  </si>
  <si>
    <t>ACTVAL80MMPN10ST</t>
  </si>
  <si>
    <t>MOVC003ST00000</t>
  </si>
  <si>
    <t>MOTORISED BUTTERFLY VALVE FOR 100 MM DIA. WITH PN10</t>
  </si>
  <si>
    <t>ACTVAL100MMPN10ST</t>
  </si>
  <si>
    <t>MOVC005ST00000</t>
  </si>
  <si>
    <t>MOTORISED BUTTERFLY VALVE FOR 150 MM DIA. WITH PN10</t>
  </si>
  <si>
    <t>ACTVAL150MMPN10ST</t>
  </si>
  <si>
    <t>MOVF109CA00000</t>
  </si>
  <si>
    <t>care Pnuematic valve</t>
  </si>
  <si>
    <t>ACTVALPNUE100MMCA</t>
  </si>
  <si>
    <t>MOVC008MA02100</t>
  </si>
  <si>
    <t>300 mm Actuator With Butterfly  Valve</t>
  </si>
  <si>
    <t>ACTVAL300MMBUTTERMA</t>
  </si>
  <si>
    <t>MOVI001CA02304</t>
  </si>
  <si>
    <t>40MM flow control valve</t>
  </si>
  <si>
    <t>ACTFLWCONTRL40MMCA</t>
  </si>
  <si>
    <t>MOVI002CA02304</t>
  </si>
  <si>
    <t>50MM flow control valve</t>
  </si>
  <si>
    <t>ACTFLWCONTRL50MMCA</t>
  </si>
  <si>
    <t>MOVI003CA02304</t>
  </si>
  <si>
    <t>80MM flow control valve</t>
  </si>
  <si>
    <t>ACTFLWCONTRL80MMCA</t>
  </si>
  <si>
    <t>MOVI004CA02304</t>
  </si>
  <si>
    <t>100MM flow control valve</t>
  </si>
  <si>
    <t>ACTFLWCONTRL100MMCA</t>
  </si>
  <si>
    <t>MOVI006CA02304</t>
  </si>
  <si>
    <t>150MM flow control valve</t>
  </si>
  <si>
    <t>ACTFLWCONTRL150MMCA</t>
  </si>
  <si>
    <t>MOVI007CA02304</t>
  </si>
  <si>
    <t>200MM flow control valve</t>
  </si>
  <si>
    <t>ACTFLWCONTRL200MMCA</t>
  </si>
  <si>
    <t>MOVI008CA02304</t>
  </si>
  <si>
    <t>250MM flow control valve</t>
  </si>
  <si>
    <t>ACTFLWCONTRL250MMCA</t>
  </si>
  <si>
    <t>MOVI009CA02304</t>
  </si>
  <si>
    <t>300MM flow control valve</t>
  </si>
  <si>
    <t>ACTFLWCONTRL300MMCA</t>
  </si>
  <si>
    <t>MOVI011CA02304</t>
  </si>
  <si>
    <t>400MM flow control valve</t>
  </si>
  <si>
    <t>ACTFLWCONTRL400MMCA</t>
  </si>
  <si>
    <t>MOVI013CA02304</t>
  </si>
  <si>
    <t>600MM flow control valve</t>
  </si>
  <si>
    <t>ACTFLWCONTRL600MMCA</t>
  </si>
  <si>
    <t>MOVI015CA02304</t>
  </si>
  <si>
    <t>900 MM flow control valve</t>
  </si>
  <si>
    <t>ACTFLWCONTRL900MMCA</t>
  </si>
  <si>
    <t>MOVB012CA02202</t>
  </si>
  <si>
    <t>600mm Sluice valve with actuator and fitting accessoies</t>
  </si>
  <si>
    <t>ACTSLUVAL600MMCA</t>
  </si>
  <si>
    <t>MOVB014CA02202</t>
  </si>
  <si>
    <t>900mm Sluice valve with actuator and fitting accessoies</t>
  </si>
  <si>
    <t>ACTSLUVAL900MMCA</t>
  </si>
  <si>
    <t>MOVB015CA02202</t>
  </si>
  <si>
    <t>1200mm Sluice valve with actuator and fitting accessoies</t>
  </si>
  <si>
    <t>ACTSLUVAL1200MMCA</t>
  </si>
  <si>
    <t xml:space="preserve">MOVC005NA00000	</t>
  </si>
  <si>
    <t xml:space="preserve">Motorised Butterfly valve with Actuator 150 mm	</t>
  </si>
  <si>
    <t>ACTMOT150MMCA</t>
  </si>
  <si>
    <t>MOVC003NA00000</t>
  </si>
  <si>
    <t xml:space="preserve">Motorised Butterfly valve with Actuator 100 mm	</t>
  </si>
  <si>
    <t>ACTVAL100MMMBGEN</t>
  </si>
  <si>
    <t>MOVB006CA00000</t>
  </si>
  <si>
    <t>200mm Modulating Sluice valve with actuator</t>
  </si>
  <si>
    <t>ACTVAL200MMMOD</t>
  </si>
  <si>
    <t>MOVM005CA00000</t>
  </si>
  <si>
    <t xml:space="preserve">150 mm Modulating Flow control device valve  </t>
  </si>
  <si>
    <t>ACTVAL150MMMOD</t>
  </si>
  <si>
    <t>MOVO007NA00000</t>
  </si>
  <si>
    <t>200MM Tamper Proof Air Valve</t>
  </si>
  <si>
    <t>ACTVAL200MMTAMPERST</t>
  </si>
  <si>
    <t>MOVC005TN00000</t>
  </si>
  <si>
    <t>150DN Wafer Type Butterfly Valve</t>
  </si>
  <si>
    <t>ACTVALELEC150MMTN</t>
  </si>
  <si>
    <t>MOVC005ZB00000</t>
  </si>
  <si>
    <t>150mm Electric Butterfly Valve</t>
  </si>
  <si>
    <t>ACTVALELEC150MMZB</t>
  </si>
  <si>
    <t>MOVC005NA00000</t>
  </si>
  <si>
    <t>Flow Control Vlve DN-150</t>
  </si>
  <si>
    <t>ACTVALCONTRL150MMNA</t>
  </si>
  <si>
    <t>MOVC003BO00000</t>
  </si>
  <si>
    <t xml:space="preserve">100mm Electrics Butterfly Valve </t>
  </si>
  <si>
    <t>AVTVAL100MMBO</t>
  </si>
  <si>
    <t>MOVC002NA00000</t>
  </si>
  <si>
    <t>Flow Control Valve DN80</t>
  </si>
  <si>
    <t>ACTVALCNTRL080MMNA</t>
  </si>
  <si>
    <t>MOVC006NA00000</t>
  </si>
  <si>
    <t>Flow Control Valve DN200</t>
  </si>
  <si>
    <t>ACTVALCNTRL200MMNA</t>
  </si>
  <si>
    <t>MOVC007NA00000</t>
  </si>
  <si>
    <t>Flow Control Valve DN250</t>
  </si>
  <si>
    <t>ACTVALCNTRL250MMNA</t>
  </si>
  <si>
    <t>MOVC008NA00000</t>
  </si>
  <si>
    <t>Flow Control Valve DN300</t>
  </si>
  <si>
    <t>ACTVALCNTRL300MMNA</t>
  </si>
  <si>
    <t>MOVC005QI00000</t>
  </si>
  <si>
    <t>Wafer type Butterfly Valve with Electrical actuator 150MM</t>
  </si>
  <si>
    <t>ACTVALBUTTELEC150MMQI</t>
  </si>
  <si>
    <t>WQACLT000BC001</t>
  </si>
  <si>
    <t>Water Quality</t>
  </si>
  <si>
    <t>CHLORINE SENSOR WINA TRANSMITTER</t>
  </si>
  <si>
    <t>WQAWATERQUAL001NA</t>
  </si>
  <si>
    <t>WQACDO000TO000</t>
  </si>
  <si>
    <t>CHLORINE DOSER TOSHCON MAKE</t>
  </si>
  <si>
    <t>WQAWATERQUAL002NA</t>
  </si>
  <si>
    <t>WQACDO001ED002</t>
  </si>
  <si>
    <t>CHLORINE DOSING PUMP NEO 6 LPH</t>
  </si>
  <si>
    <t>WQAWATERQUAL003NA</t>
  </si>
  <si>
    <t>WQACLT001NN003</t>
  </si>
  <si>
    <t>CHLORINE SENSOR &amp; TRANSMITTER  0 TO 20 mg/l</t>
  </si>
  <si>
    <t>WQAWATERQUAL004NA</t>
  </si>
  <si>
    <t>WQACLT001SH003</t>
  </si>
  <si>
    <t>WQAWATERQUAL007NA</t>
  </si>
  <si>
    <t>WQAPHS000NN005</t>
  </si>
  <si>
    <t>pH SENSOR &amp; TRANSMITTER</t>
  </si>
  <si>
    <t>WQAWATERQUAL008NA</t>
  </si>
  <si>
    <t>WQACTA001NN000</t>
  </si>
  <si>
    <t>CHLORINE SENSOR &amp; TRANSMITTER  0 TO 20 mg/l,TURBIDITY SENSOR &amp; TRANSMITTER 0 TO 400 NTU</t>
  </si>
  <si>
    <t>WQAWATERQUAL009NA</t>
  </si>
  <si>
    <t>WQAFLC000NA000</t>
  </si>
  <si>
    <t>TURBIDITY SENSOR FLOW CELL</t>
  </si>
  <si>
    <t>WQAWATERQUAL010NA</t>
  </si>
  <si>
    <t>WQACTK000NA000</t>
  </si>
  <si>
    <t>COMBINE CODE FOR CHLORINE DOSER +TANK</t>
  </si>
  <si>
    <t>WQAWATERQUAL011NA</t>
  </si>
  <si>
    <t>WQACNT000NN000</t>
  </si>
  <si>
    <t>WQAWATERQUAL012NA</t>
  </si>
  <si>
    <t>WQACLS001NN000</t>
  </si>
  <si>
    <t>CHLORINE SENSOR  WITHOUT TRANSMITTER</t>
  </si>
  <si>
    <t>WQAWATERQUAL024NA</t>
  </si>
  <si>
    <t>WQATUT001NN004</t>
  </si>
  <si>
    <t>TURBIDITY SENSOR &amp; TRANSMITTER 0 TO 400 NTU</t>
  </si>
  <si>
    <t>WQAWATERQUAL005NA</t>
  </si>
  <si>
    <t>WQATUT001SH004</t>
  </si>
  <si>
    <t>WQAWATERQUAL006NA</t>
  </si>
  <si>
    <t>WQAO001NN00501</t>
  </si>
  <si>
    <t>pH sensor with in built transmitter and Flow Cell with 4-20 mA output and RS-485 Output with IP68 Rating, PPS/ABS/PVC Body</t>
  </si>
  <si>
    <t>WQAWATERQUAL019NA</t>
  </si>
  <si>
    <t>WQAP000CI00600</t>
  </si>
  <si>
    <t>total Dissolved   solids   monitoring   Sensor</t>
  </si>
  <si>
    <t>WQAWATERQUAL025NA</t>
  </si>
  <si>
    <t>WQAB002NA00400</t>
  </si>
  <si>
    <t>TURBIDITY SENSOR &amp; TRANSMITTER 0 TO 4000 NTU</t>
  </si>
  <si>
    <t>WQAWATERQUAL020NA</t>
  </si>
  <si>
    <t>WQAMPT000NA000</t>
  </si>
  <si>
    <t>Multiparameter water quality transmitter with PH + TDS + Turbidity + DO sensor</t>
  </si>
  <si>
    <t>WQAWATERQUAL021NA</t>
  </si>
  <si>
    <t>WQAMPT001NA000</t>
  </si>
  <si>
    <t>Multiparameter water quality transmitter with PH + TDS + Turbidity + DO sensor + Residual chlorine sensor</t>
  </si>
  <si>
    <t>WQAWATERQUAL022NA</t>
  </si>
  <si>
    <t>WQAMPT002NA000</t>
  </si>
  <si>
    <t>Multiparameter water quality transmitter with PH + TDS + Turbidity + Residual chlorine sensor</t>
  </si>
  <si>
    <t>WQAWATERQUAL023NA</t>
  </si>
  <si>
    <t>WQAM001NA00000</t>
  </si>
  <si>
    <t xml:space="preserve">TDS Digital Meter for water quality tetsing  </t>
  </si>
  <si>
    <t>WQAWATERQUAL026NA</t>
  </si>
  <si>
    <t>WQAC001NA00000</t>
  </si>
  <si>
    <t xml:space="preserve">Sensor probe cleaning solution </t>
  </si>
  <si>
    <t>WQAWATERQUAL027NA</t>
  </si>
  <si>
    <t>WQACDO001VT000</t>
  </si>
  <si>
    <t>Electronic Dosing Pump VA-01 6LPH 4Kg PP</t>
  </si>
  <si>
    <t>WQAELECDOSINVA01VT</t>
  </si>
  <si>
    <t>WQACDO001ED101</t>
  </si>
  <si>
    <t>Chlorine Dosing System -M-Without Tank</t>
  </si>
  <si>
    <t>WQACHLRDOSTANKED</t>
  </si>
  <si>
    <t>WQAF001NN00000</t>
  </si>
  <si>
    <t>Digital Turbidity sensor Measuring range: 0-400NTU</t>
  </si>
  <si>
    <t>WQADIGTURBNN</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</si>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</sst>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Times New Roman"/>
      <family val="1"/>
    </font>
    <font>
      <sz val="11"/>
      <name val="Times New Roman"/>
      <family val="1"/>
    </font>
  </fonts>
  <fills count="3">
    <fill>
      <patternFill patternType="none"/>
    </fill>
    <fill>
      <patternFill patternType="gray125"/>
    </fill>
    <fill>
      <patternFill patternType="solid">
        <fgColor rgb="FFFFC000"/>
        <bgColor rgb="FF000000"/>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0" fillId="0" borderId="0" xfId="0" applyAlignment="1">
      <alignment wrapText="1"/>
    </xf>
    <xf numFmtId="0" fontId="0" fillId="0" borderId="0" xfId="0" applyAlignment="1">
      <alignment horizontal="left" vertical="top"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center" wrapText="1"/>
    </xf>
    <xf numFmtId="0" fontId="0" fillId="0" borderId="0" xfId="0" applyAlignment="1">
      <alignment horizontal="left" wrapText="1"/>
    </xf>
    <xf numFmtId="0" fontId="2" fillId="2" borderId="0" xfId="0" applyFont="1" applyFill="1"/>
    <xf numFmtId="0" fontId="0" fillId="0" borderId="0" xfId="0" quotePrefix="1" applyAlignment="1">
      <alignment horizontal="center"/>
    </xf>
    <xf numFmtId="0" fontId="1" fillId="0" borderId="0" xfId="0" applyFont="1" applyAlignment="1">
      <alignment horizontal="center" vertical="top" wrapText="1"/>
    </xf>
    <xf numFmtId="0" fontId="0" fillId="0" borderId="1" xfId="0" applyBorder="1" applyAlignment="1">
      <alignment wrapText="1"/>
    </xf>
    <xf numFmtId="0" fontId="3" fillId="0" borderId="2" xfId="0" applyFont="1" applyBorder="1" applyAlignment="1">
      <alignment wrapText="1"/>
    </xf>
    <xf numFmtId="0" fontId="3" fillId="0" borderId="3" xfId="0" applyFont="1" applyBorder="1" applyAlignment="1">
      <alignment wrapText="1"/>
    </xf>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Amber%20Laptop%20Data\for%20material%20management\po%20reprot%20and%20master%20sheet\ITEM%20MASTER%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Catagery Sheets"/>
      <sheetName val="PLC"/>
      <sheetName val="HMI"/>
      <sheetName val="UPS"/>
      <sheetName val="CAB"/>
      <sheetName val="PRESSURE TRANSMITTER"/>
      <sheetName val="PRESSURE GAUGE"/>
      <sheetName val="Flow Meter"/>
      <sheetName val="LEVEL SENSOR"/>
      <sheetName val="WATER QUALITY ANALYSER &amp; SENSOR"/>
      <sheetName val="ELECTRICAL ACCESSORIES"/>
      <sheetName val="MODEM"/>
      <sheetName val="PANEL PARTS"/>
      <sheetName val="IT ACCESSORIES"/>
      <sheetName val="SERVICE"/>
      <sheetName val="O&amp;G ACCESSORIES"/>
      <sheetName val="VALVE ACTUATOR"/>
      <sheetName val="PANEL"/>
      <sheetName val="PLUMBING ACCESSORIES"/>
      <sheetName val="CIMCON Products"/>
      <sheetName val="IT SOFTWARES"/>
      <sheetName val="Tools"/>
      <sheetName val="CIVIL"/>
      <sheetName val="ONE TIME USE CODE"/>
      <sheetName val="Stationary"/>
      <sheetName val="AMR"/>
      <sheetName val="Packing Material"/>
      <sheetName val="GUIDE LINE"/>
      <sheetName val="Sheet1"/>
    </sheetNames>
    <sheetDataSet>
      <sheetData sheetId="0">
        <row r="256">
          <cell r="B256" t="str">
            <v>MISB011NS00000</v>
          </cell>
          <cell r="C256" t="str">
            <v>CONTROL PANEL-8 36LT CDRS</v>
          </cell>
          <cell r="D256" t="str">
            <v>CONTROL PANEL-8 36LT CDRS PH (42)</v>
          </cell>
          <cell r="E256" t="str">
            <v>NUTRON SYSTEM</v>
          </cell>
        </row>
        <row r="257">
          <cell r="B257"/>
          <cell r="C257"/>
          <cell r="D257"/>
          <cell r="E257"/>
        </row>
        <row r="258">
          <cell r="B258" t="str">
            <v>PPAO007CG01000</v>
          </cell>
          <cell r="C258" t="str">
            <v>VFD CG MAKE 20/25 HP</v>
          </cell>
          <cell r="D258" t="str">
            <v>VFD CG MAKE 20/25 HP</v>
          </cell>
          <cell r="E258" t="str">
            <v xml:space="preserve">CROMPTON </v>
          </cell>
          <cell r="F258"/>
        </row>
        <row r="259">
          <cell r="B259" t="str">
            <v>PPAO008CG01100</v>
          </cell>
          <cell r="C259" t="str">
            <v>VFD CG MAKE 30/35 HP</v>
          </cell>
          <cell r="D259" t="str">
            <v>VFD CG MAKE 30/35 HP</v>
          </cell>
          <cell r="E259" t="str">
            <v>CROMPTON</v>
          </cell>
          <cell r="F259"/>
        </row>
        <row r="260">
          <cell r="B260" t="str">
            <v>ITAD003LN01100</v>
          </cell>
          <cell r="C260" t="str">
            <v>lENOVO DESKTOP I3 12NA GEN 4GB RAM, 1TB HDD,KBD,MOUSE</v>
          </cell>
          <cell r="D260" t="str">
            <v>lENOVO DESKTOP I3 12NA GEN 4GB RAM, 1TB HDD,KBD,MOUSE</v>
          </cell>
          <cell r="E260" t="str">
            <v>LENOVO</v>
          </cell>
          <cell r="F260"/>
        </row>
        <row r="261">
          <cell r="B261" t="str">
            <v>ITAP001HP01200</v>
          </cell>
          <cell r="C261" t="str">
            <v>HP DJ 2332 PRINTER</v>
          </cell>
          <cell r="D261" t="str">
            <v>HP DJ 2332 PRINTER</v>
          </cell>
          <cell r="E261" t="str">
            <v>HP</v>
          </cell>
          <cell r="F261"/>
        </row>
        <row r="262">
          <cell r="B262" t="str">
            <v>EFMB001EL00000</v>
          </cell>
          <cell r="C262" t="str">
            <v>50 MM FLOW METER</v>
          </cell>
          <cell r="D262" t="str">
            <v xml:space="preserve">BATTERY OPERATED FLOW METER </v>
          </cell>
          <cell r="E262" t="str">
            <v>ELECTRONET</v>
          </cell>
          <cell r="F262"/>
        </row>
        <row r="263">
          <cell r="B263" t="str">
            <v>EFMB002EL00000</v>
          </cell>
          <cell r="C263" t="str">
            <v>65 MM FLOW METER</v>
          </cell>
          <cell r="D263" t="str">
            <v xml:space="preserve">BATTERY OPERATED FLOW METER </v>
          </cell>
          <cell r="E263" t="str">
            <v>ELECTRONET</v>
          </cell>
          <cell r="F263"/>
        </row>
        <row r="264">
          <cell r="B264" t="str">
            <v>EFMB003EL00000</v>
          </cell>
          <cell r="C264" t="str">
            <v>80 MM FLOW METER</v>
          </cell>
          <cell r="D264" t="str">
            <v xml:space="preserve">BATTERY OPERATED FLOW METER </v>
          </cell>
          <cell r="E264" t="str">
            <v>ELECTRONET</v>
          </cell>
          <cell r="F264"/>
        </row>
        <row r="265">
          <cell r="B265" t="str">
            <v>EFMB004EL00000</v>
          </cell>
          <cell r="C265" t="str">
            <v>100 MM FLOW METER</v>
          </cell>
          <cell r="D265" t="str">
            <v xml:space="preserve">BATTERY OPERATED FLOW METER </v>
          </cell>
          <cell r="E265" t="str">
            <v>ELECTRONET</v>
          </cell>
          <cell r="F265"/>
        </row>
        <row r="266">
          <cell r="B266" t="str">
            <v>EFMB005EL00000</v>
          </cell>
          <cell r="C266" t="str">
            <v>125 MM FLOW METER</v>
          </cell>
          <cell r="D266" t="str">
            <v xml:space="preserve">BATTERY OPERATED FLOW METER </v>
          </cell>
          <cell r="E266" t="str">
            <v>ELECTRONET</v>
          </cell>
          <cell r="F266"/>
        </row>
        <row r="267">
          <cell r="B267" t="str">
            <v>EFMB006EL00000</v>
          </cell>
          <cell r="C267" t="str">
            <v>150 MM FLOW METER</v>
          </cell>
          <cell r="D267" t="str">
            <v xml:space="preserve">BATTERY OPERATED FLOW METER </v>
          </cell>
          <cell r="E267" t="str">
            <v>ELECTRONET</v>
          </cell>
          <cell r="F267"/>
        </row>
        <row r="268">
          <cell r="B268" t="str">
            <v>EFMB007EL00000</v>
          </cell>
          <cell r="C268" t="str">
            <v>200 MM FLOW METER</v>
          </cell>
          <cell r="D268" t="str">
            <v xml:space="preserve">BATTERY OPERATED FLOW METER </v>
          </cell>
          <cell r="E268" t="str">
            <v>ELECTRONET</v>
          </cell>
          <cell r="F268"/>
        </row>
        <row r="269">
          <cell r="B269" t="str">
            <v>EFMB008EL00000</v>
          </cell>
          <cell r="C269" t="str">
            <v>250 MM FLOW METER</v>
          </cell>
          <cell r="D269" t="str">
            <v xml:space="preserve">BATTERY OPERATED FLOW METER </v>
          </cell>
          <cell r="E269" t="str">
            <v>ELECTRONET</v>
          </cell>
          <cell r="F269"/>
        </row>
        <row r="270">
          <cell r="B270" t="str">
            <v>EFMB009EL00000</v>
          </cell>
          <cell r="C270" t="str">
            <v>300 MM FLOW METER</v>
          </cell>
          <cell r="D270" t="str">
            <v xml:space="preserve">BATTERY OPERATED FLOW METER </v>
          </cell>
          <cell r="E270" t="str">
            <v>ELECTRONET</v>
          </cell>
          <cell r="F270"/>
        </row>
        <row r="271">
          <cell r="B271" t="str">
            <v>EFMB010EL00000</v>
          </cell>
          <cell r="C271" t="str">
            <v>350 MM FLOW METER</v>
          </cell>
          <cell r="D271" t="str">
            <v xml:space="preserve">BATTERY OPERATED FLOW METER </v>
          </cell>
          <cell r="E271" t="str">
            <v>ELECTRONET</v>
          </cell>
          <cell r="F271"/>
        </row>
        <row r="272">
          <cell r="B272" t="str">
            <v>EFMR006SB00103</v>
          </cell>
          <cell r="C272" t="str">
            <v>150 MM DIA. ELECTROMAGNETIC FLOW METER</v>
          </cell>
          <cell r="D272" t="str">
            <v>ELECTROMAGNETIC FLOW METER WINA REMOTE TRANSMITTER WINA DISPLAY 100MM WINA 20 METER CABLE,  ELECTRODE SS316 L, BODY: CI, HARD RUBBER</v>
          </cell>
          <cell r="E272" t="str">
            <v>SBEM</v>
          </cell>
          <cell r="F272" t="str">
            <v>151MFM</v>
          </cell>
        </row>
        <row r="273">
          <cell r="B273" t="str">
            <v>EFMR007SB00103</v>
          </cell>
          <cell r="C273" t="str">
            <v>200 MM DIA. ELECTROMAGNETIC FLOW METER</v>
          </cell>
          <cell r="D273" t="str">
            <v>ELECTROMAGNETIC FLOW METER WINA REMOTE TRANSMITTER WINA DISPLAY 100MM WINA 20 METER CABLE,  ELECTRODE SS316 L, BODY: CI, HARD RUBBER</v>
          </cell>
          <cell r="E273" t="str">
            <v>SBEM</v>
          </cell>
          <cell r="F273" t="str">
            <v>151MFM</v>
          </cell>
        </row>
        <row r="274">
          <cell r="B274" t="str">
            <v>WQACDO001ED002</v>
          </cell>
          <cell r="C274" t="str">
            <v>CHLORINE DOSER EDOSE MAKE NEO 6 LPH</v>
          </cell>
          <cell r="D274" t="str">
            <v>CHLORINE DOSING PUMP NEO 6 LPH</v>
          </cell>
          <cell r="E274" t="str">
            <v>EDOSE</v>
          </cell>
          <cell r="F274" t="str">
            <v>NEO 6 LPH</v>
          </cell>
        </row>
        <row r="275">
          <cell r="B275" t="str">
            <v>LVLF003EL00600</v>
          </cell>
          <cell r="C275" t="str">
            <v>BATTERY OPERATED 0 TO 8 MTR LEVEL SENSOR</v>
          </cell>
          <cell r="D275" t="str">
            <v>BATTERY OPERATED 0 TO 8 MTR LEVEL SENSOR</v>
          </cell>
          <cell r="E275" t="str">
            <v>ELECTRONET</v>
          </cell>
          <cell r="F275" t="str">
            <v>ULT 200 B</v>
          </cell>
        </row>
        <row r="276">
          <cell r="B276" t="str">
            <v>PRTA010BA00402</v>
          </cell>
          <cell r="C276" t="str">
            <v xml:space="preserve">0 TO 10 bAR </v>
          </cell>
          <cell r="D276" t="str">
            <v>BAUMER MAKE 0 TO 10 BAR PRESSURE TRANSMITTER</v>
          </cell>
          <cell r="E276" t="str">
            <v>BAUMER</v>
          </cell>
          <cell r="F276" t="str">
            <v>CTX 323B22</v>
          </cell>
        </row>
        <row r="277">
          <cell r="B277" t="str">
            <v>PRTA025BA00502</v>
          </cell>
          <cell r="C277" t="str">
            <v>0 TO 25 BAR</v>
          </cell>
          <cell r="D277" t="str">
            <v>BAUMER MAKE 0 TO 25 BAR PRESSURE TRANSMITTER</v>
          </cell>
          <cell r="E277" t="str">
            <v>BAUMER</v>
          </cell>
          <cell r="F277" t="str">
            <v>CTX 323B26</v>
          </cell>
        </row>
        <row r="278">
          <cell r="B278" t="str">
            <v>PRTA100BA00602</v>
          </cell>
          <cell r="C278" t="str">
            <v>0 TO 100 BAR</v>
          </cell>
          <cell r="D278" t="str">
            <v>BAUMER MAKE 0 TO 100 BAR PRESSURE TRANSMITTER</v>
          </cell>
          <cell r="E278" t="str">
            <v>BAUMER</v>
          </cell>
          <cell r="F278" t="str">
            <v>CTX 323B31</v>
          </cell>
        </row>
        <row r="279">
          <cell r="B279" t="str">
            <v>SERA001DH41070</v>
          </cell>
          <cell r="C279" t="str">
            <v>PROJECT 4107 FREIGHT CHARGE</v>
          </cell>
          <cell r="D279" t="str">
            <v>FREIGHT CHARGES FOR PROJECT 4104</v>
          </cell>
          <cell r="E279"/>
          <cell r="F279"/>
        </row>
        <row r="280">
          <cell r="B280" t="str">
            <v>SERA001TR40970</v>
          </cell>
          <cell r="C280" t="str">
            <v>PROJECT 4097 FREIGHT CHARGE</v>
          </cell>
          <cell r="D280" t="str">
            <v>FREIGHT CHARGES FOR PROJECT 4097</v>
          </cell>
          <cell r="E280"/>
          <cell r="F280"/>
        </row>
        <row r="281">
          <cell r="B281" t="str">
            <v>PLAM302WE00012</v>
          </cell>
          <cell r="C281" t="str">
            <v>MS FORGED SOCKET 1/2" INSIDE NAREADED</v>
          </cell>
          <cell r="D281" t="str">
            <v>MS FORGED SOCKET 1/2" INSIDE NAREADED</v>
          </cell>
          <cell r="E281" t="str">
            <v>WELLWORNA</v>
          </cell>
          <cell r="F281"/>
        </row>
        <row r="282">
          <cell r="B282" t="str">
            <v>PLAS001WE00011</v>
          </cell>
          <cell r="C282" t="str">
            <v>PU MALE ADAPTOR 1/2X10 MM</v>
          </cell>
          <cell r="D282" t="str">
            <v>PU MALE ADAPTOR 1/2X10 MM</v>
          </cell>
          <cell r="E282" t="str">
            <v>WELLWORNA</v>
          </cell>
          <cell r="F282"/>
        </row>
        <row r="283">
          <cell r="B283" t="str">
            <v>PLAS002WE00011</v>
          </cell>
          <cell r="C283" t="str">
            <v>PU MALE ADAPTOR 1/4X10 MM</v>
          </cell>
          <cell r="D283" t="str">
            <v>PU MALE ADAPTOR 1/4X10 MM</v>
          </cell>
          <cell r="E283" t="str">
            <v>WELLWORNA</v>
          </cell>
          <cell r="F283"/>
        </row>
        <row r="284">
          <cell r="B284" t="str">
            <v>PLAS101WE00011</v>
          </cell>
          <cell r="C284" t="str">
            <v>PU REDUCING UNION 10X6 MM</v>
          </cell>
          <cell r="D284" t="str">
            <v>PU REDUCING UNION 10X6 MM</v>
          </cell>
          <cell r="E284" t="str">
            <v>WELLWORNA</v>
          </cell>
          <cell r="F284"/>
        </row>
        <row r="285">
          <cell r="B285" t="str">
            <v>PLAS201WE00000</v>
          </cell>
          <cell r="C285" t="str">
            <v>PU PIPE 10X6 MM</v>
          </cell>
          <cell r="D285" t="str">
            <v>PU PIPE 10X6 MM</v>
          </cell>
          <cell r="E285" t="str">
            <v>WELLWORNA</v>
          </cell>
          <cell r="F285"/>
        </row>
        <row r="286">
          <cell r="B286" t="str">
            <v>PLAT001WE00011</v>
          </cell>
          <cell r="C286" t="str">
            <v>BRASS CP MINI MXF BALL VALVE BSP 1/2"</v>
          </cell>
          <cell r="D286" t="str">
            <v>BRASS CP MINI MXF BALL VALVE BSP 1/2"</v>
          </cell>
          <cell r="E286" t="str">
            <v>WELLWORNA</v>
          </cell>
          <cell r="F286"/>
        </row>
        <row r="287">
          <cell r="B287" t="str">
            <v>PLAT002WE00011</v>
          </cell>
          <cell r="C287" t="str">
            <v>BRASS MALE FEMALE BUSHING 1X1/2</v>
          </cell>
          <cell r="D287" t="str">
            <v>BRASS MALE FEMALE BUSHING 1X1/2</v>
          </cell>
          <cell r="E287" t="str">
            <v>WELLWORNA</v>
          </cell>
          <cell r="F287"/>
        </row>
        <row r="288">
          <cell r="B288" t="str">
            <v>SERF002TE40730</v>
          </cell>
          <cell r="C288" t="str">
            <v>PROJECT 4073 LADDER REPAIRING</v>
          </cell>
          <cell r="D288" t="str">
            <v>PROJECT 4073 LADDER REPAIRING</v>
          </cell>
          <cell r="E288"/>
          <cell r="F288"/>
        </row>
        <row r="289">
          <cell r="B289" t="str">
            <v>SERF002NA40730</v>
          </cell>
          <cell r="C289" t="str">
            <v>PROJECT 4073 TEMP SENSOR SOCKET MANUFACTURING</v>
          </cell>
          <cell r="D289" t="str">
            <v>PROJECT 4073 TEMP SENSOR SOCKET MANUFACTURING</v>
          </cell>
          <cell r="E289"/>
          <cell r="F289"/>
        </row>
        <row r="290">
          <cell r="B290" t="str">
            <v>SERB002VI40800</v>
          </cell>
          <cell r="C290" t="str">
            <v>PROJECT 4080 INSTALLATION LABOIUR WORK</v>
          </cell>
          <cell r="D290" t="str">
            <v>PROJECT 4080 INSTALLATION LABOIUR WORK</v>
          </cell>
          <cell r="E290"/>
          <cell r="F290"/>
        </row>
        <row r="291">
          <cell r="B291" t="str">
            <v>LVLA002DS00005</v>
          </cell>
          <cell r="C291" t="str">
            <v>CABLE FLOAT SWITCH 2 METER</v>
          </cell>
          <cell r="D291" t="str">
            <v>CABLE TYPE FLOAT SWITCH 2 METER LENGNA PP TYPE</v>
          </cell>
          <cell r="E291" t="str">
            <v>DAVISON</v>
          </cell>
          <cell r="F291"/>
        </row>
        <row r="292">
          <cell r="B292" t="str">
            <v>LVLA003DS00005</v>
          </cell>
          <cell r="C292" t="str">
            <v>CABLE FLOAT SWITCH 3 METER</v>
          </cell>
          <cell r="D292" t="str">
            <v>CABLE TYPE FLOAT SWITCH 3 METER LENGNA PP TYPE</v>
          </cell>
          <cell r="E292" t="str">
            <v>DAVISON</v>
          </cell>
          <cell r="F292"/>
        </row>
        <row r="293">
          <cell r="B293" t="str">
            <v>PLCO001SE00402</v>
          </cell>
          <cell r="C293" t="str">
            <v>DI/DO MIX MODULE</v>
          </cell>
          <cell r="D293" t="str">
            <v xml:space="preserve">4DI/4DO MIX MODULE RS 485 BASE </v>
          </cell>
          <cell r="E293" t="str">
            <v>SELEC</v>
          </cell>
          <cell r="F293" t="str">
            <v>FL-SC-DI04-RO04</v>
          </cell>
        </row>
        <row r="294">
          <cell r="B294" t="str">
            <v>EFMR001SB00103</v>
          </cell>
          <cell r="C294" t="str">
            <v>ContROL PANEL</v>
          </cell>
          <cell r="D294" t="str">
            <v>ELECTROMAGNETIC FLOW METER WINA REMOTE TRANSMITTER WINA DISPLAY 100MM WINA 20 METER CABLE,  ELECTRODE SS316 L, BODY: CI, HARD RUBBER</v>
          </cell>
          <cell r="E294" t="str">
            <v>SBEM</v>
          </cell>
          <cell r="F294" t="str">
            <v>151 MFM</v>
          </cell>
        </row>
        <row r="295">
          <cell r="B295" t="str">
            <v>EFMR002SB00103</v>
          </cell>
          <cell r="C295" t="str">
            <v>65 MM DIA. ELECTROMAGNETIC FLOW METER</v>
          </cell>
          <cell r="D295" t="str">
            <v>ELECTROMAGNETIC FLOW METER WINA REMOTE TRANSMITTER WINA DISPLAY 100MM WINA 20 METER CABLE,  ELECTRODE SS316 L, BODY: CI, HARD RUBBER</v>
          </cell>
          <cell r="E295" t="str">
            <v>SBEM</v>
          </cell>
          <cell r="F295" t="str">
            <v>151 MFM</v>
          </cell>
        </row>
        <row r="296">
          <cell r="B296" t="str">
            <v>EFMR003SB00103</v>
          </cell>
          <cell r="C296" t="str">
            <v>80 MM DIA. ELECTROMAGNETIC FLOW METER</v>
          </cell>
          <cell r="D296" t="str">
            <v>ELECTROMAGNETIC FLOW METER WINA REMOTE TRANSMITTER WINA DISPLAY 100MM WINA 20 METER CABLE,  ELECTRODE SS316 L, BODY: CI, HARD RUBBER</v>
          </cell>
          <cell r="E296" t="str">
            <v>SBEM</v>
          </cell>
          <cell r="F296" t="str">
            <v>151 MFM</v>
          </cell>
        </row>
        <row r="297">
          <cell r="B297" t="str">
            <v>ITAB102DL01300</v>
          </cell>
          <cell r="C297" t="str">
            <v>WEB SMART SWITCH 8 PORT</v>
          </cell>
          <cell r="D297" t="str">
            <v>8 PORT WEB SMART SWITCH D-LINK</v>
          </cell>
          <cell r="E297" t="str">
            <v>D-LINK</v>
          </cell>
          <cell r="F297" t="str">
            <v>DGS-1210-10</v>
          </cell>
        </row>
        <row r="298">
          <cell r="B298" t="str">
            <v>MOVK001MA00000</v>
          </cell>
          <cell r="C298" t="str">
            <v>EXTENDED SHAFT MS POWDER COATED 500 MM LONG FOR BFV 80 MM</v>
          </cell>
          <cell r="D298" t="str">
            <v>EXTENDED SHAFT MS POWDER COATED 500 MM LONG FOR BFV 80 MM</v>
          </cell>
          <cell r="E298" t="str">
            <v>MARSH</v>
          </cell>
        </row>
        <row r="299">
          <cell r="B299" t="str">
            <v>MOVK002MA00000</v>
          </cell>
          <cell r="C299" t="str">
            <v>EXTENDED SHAFT MS POWDER COATED 1000 MM LONG FOR BFV 100 MM</v>
          </cell>
          <cell r="D299" t="str">
            <v>EXTENDED SHAFT MS POWDER COATED 1000 MM LONG FOR BFV 100 MM</v>
          </cell>
          <cell r="E299" t="str">
            <v>MARSH</v>
          </cell>
        </row>
        <row r="300">
          <cell r="B300" t="str">
            <v>MOVK003MA00000</v>
          </cell>
          <cell r="C300" t="str">
            <v>EXTENDED SHAFT MS POWDER COATED 500 MM LONG FOR BFV 150 MM</v>
          </cell>
          <cell r="D300" t="str">
            <v>EXTENDED SHAFT MS POWDER COATED 500 MM LONG FOR BFV 150 MM</v>
          </cell>
          <cell r="E300" t="str">
            <v>MARSH</v>
          </cell>
        </row>
        <row r="301">
          <cell r="B301" t="str">
            <v>MOVK004MA00000</v>
          </cell>
          <cell r="C301" t="str">
            <v>EXTENDED SHAFT WINA MS POWDER COATED PIPE AND COUPLER 500 MM LONG FOR BFV 100 MM</v>
          </cell>
          <cell r="D301" t="str">
            <v>EXTENDED SHAFT WINA MS POWDER COATED PIPE AND COUPLER 500 MM LONG FOR BFV 100 MM</v>
          </cell>
          <cell r="E301" t="str">
            <v>MARSH</v>
          </cell>
        </row>
        <row r="302">
          <cell r="B302" t="str">
            <v>PLAA001ST00000</v>
          </cell>
          <cell r="C302" t="str">
            <v>G.I.pipe 2" (61mm OD)</v>
          </cell>
          <cell r="D302" t="str">
            <v>G.I.pipe 2" (61mm OD)</v>
          </cell>
          <cell r="E302" t="str">
            <v>Standard</v>
          </cell>
          <cell r="F302"/>
        </row>
        <row r="303">
          <cell r="B303" t="str">
            <v>CABO001FI00008</v>
          </cell>
          <cell r="C303" t="str">
            <v>FO CABLE 6F SM ARMOURED</v>
          </cell>
          <cell r="D303" t="str">
            <v>SINGLE MODE FIBER OPTIC 6 F ARMORED CABLE</v>
          </cell>
          <cell r="E303" t="str">
            <v>FINOLEX</v>
          </cell>
        </row>
        <row r="304">
          <cell r="B304" t="str">
            <v>PNLQ001NE00700</v>
          </cell>
          <cell r="C304" t="str">
            <v>FAFRICATED BOX</v>
          </cell>
          <cell r="D304" t="str">
            <v xml:space="preserve">MS FABRICATED BOX OF 305W*450+25H*300MM </v>
          </cell>
          <cell r="E304" t="str">
            <v>NEXT-GEN POWER CONTROL</v>
          </cell>
        </row>
        <row r="305">
          <cell r="B305" t="str">
            <v>MISB012NS00000</v>
          </cell>
          <cell r="C305" t="str">
            <v>CONTROL PANEL</v>
          </cell>
          <cell r="D305" t="str">
            <v>CONTROL PANEL -5 NAD MAIN PH(39)</v>
          </cell>
          <cell r="E305" t="str">
            <v>NUTRON</v>
          </cell>
        </row>
        <row r="306">
          <cell r="B306" t="str">
            <v>MISB013NS00000</v>
          </cell>
          <cell r="C306" t="str">
            <v>CONTROL PANEL</v>
          </cell>
          <cell r="D306" t="str">
            <v>CONTROL PANEL -13 CHUNABHATTI NEW PH (47A)</v>
          </cell>
          <cell r="E306" t="str">
            <v>NUTRON</v>
          </cell>
        </row>
        <row r="307">
          <cell r="B307" t="str">
            <v>MISB014NS00000</v>
          </cell>
          <cell r="C307" t="str">
            <v>CONTROL PANEL</v>
          </cell>
          <cell r="D307" t="str">
            <v>CONTROL PANEL -14 QUERY PH (47B)</v>
          </cell>
          <cell r="E307" t="str">
            <v>NUTRON</v>
          </cell>
        </row>
        <row r="308">
          <cell r="B308" t="str">
            <v>SERD003NU52390</v>
          </cell>
          <cell r="C308" t="str">
            <v>FREIGHT PACKING MATERIAL</v>
          </cell>
          <cell r="D308" t="str">
            <v>FREIGHT PACKING MATERIAL (USED  FOR PANEL PACKING)</v>
          </cell>
          <cell r="E308" t="str">
            <v>NUTRON</v>
          </cell>
        </row>
        <row r="309">
          <cell r="B309" t="str">
            <v>MISB015NS00000</v>
          </cell>
          <cell r="C309" t="str">
            <v>CONTROL PANEL</v>
          </cell>
          <cell r="D309" t="str">
            <v>CONTROL PANEL -9 RENU PH (43)</v>
          </cell>
          <cell r="E309" t="str">
            <v>NUTRON</v>
          </cell>
        </row>
        <row r="310">
          <cell r="B310" t="str">
            <v>MISB016NS00000</v>
          </cell>
          <cell r="C310" t="str">
            <v>CONTROL PANEL</v>
          </cell>
          <cell r="D310" t="str">
            <v>CONTROL PANEL -10 MAP SAILORS PH (44)</v>
          </cell>
          <cell r="E310" t="str">
            <v>NUTRON</v>
          </cell>
        </row>
        <row r="311">
          <cell r="B311" t="str">
            <v>STAA001IE00000</v>
          </cell>
          <cell r="C311" t="str">
            <v>lable</v>
          </cell>
          <cell r="D311" t="str">
            <v>Lable</v>
          </cell>
          <cell r="E311" t="str">
            <v>INTRAACTION</v>
          </cell>
        </row>
        <row r="312">
          <cell r="B312" t="str">
            <v>STAA001IE00500</v>
          </cell>
          <cell r="C312" t="str">
            <v>lable 52*25MM</v>
          </cell>
          <cell r="D312" t="str">
            <v>Lable 52*25MM</v>
          </cell>
          <cell r="E312" t="str">
            <v>INTRAACTION</v>
          </cell>
        </row>
        <row r="313">
          <cell r="B313" t="str">
            <v>MISB017NS00000</v>
          </cell>
          <cell r="C313" t="str">
            <v>CONTROL PANEL</v>
          </cell>
          <cell r="D313" t="str">
            <v>CONTROL PANEL -6 150RL  PH (40)</v>
          </cell>
          <cell r="E313" t="str">
            <v>NUTRON</v>
          </cell>
        </row>
        <row r="314">
          <cell r="B314" t="str">
            <v>MISB018NS00000</v>
          </cell>
          <cell r="C314" t="str">
            <v>CONTROL PANEL</v>
          </cell>
          <cell r="D314" t="str">
            <v>CONTROL PANEL -1 TUNIR  PH (36)</v>
          </cell>
          <cell r="E314" t="str">
            <v>NUTRON</v>
          </cell>
        </row>
        <row r="315">
          <cell r="B315" t="str">
            <v>MISB019NS00000</v>
          </cell>
          <cell r="C315" t="str">
            <v>CONTROL PANEL</v>
          </cell>
          <cell r="D315" t="str">
            <v>CONTROL PANEL -2 STATION MES (37A)</v>
          </cell>
          <cell r="E315" t="str">
            <v>NUTRON</v>
          </cell>
        </row>
        <row r="316">
          <cell r="B316" t="str">
            <v>MISB020NS00000</v>
          </cell>
          <cell r="C316" t="str">
            <v>CONTROL PANEL</v>
          </cell>
          <cell r="D316" t="str">
            <v>CONTROL PANEL -3 300 RL PH (37B)</v>
          </cell>
          <cell r="E316" t="str">
            <v>NUTRON</v>
          </cell>
        </row>
        <row r="317">
          <cell r="B317" t="str">
            <v>MISB021NS00000</v>
          </cell>
          <cell r="C317" t="str">
            <v>CONTROL PANEL</v>
          </cell>
          <cell r="D317" t="str">
            <v>CONTROL PANEL -4 MANGERA PH (38)</v>
          </cell>
          <cell r="E317" t="str">
            <v>NUTRON</v>
          </cell>
        </row>
        <row r="318">
          <cell r="B318" t="str">
            <v>MISB022NS00000</v>
          </cell>
          <cell r="C318" t="str">
            <v>CONTROL PANEL</v>
          </cell>
          <cell r="D318" t="str">
            <v>CONTROL PANEL -11 OLD CHUNABHATTI (45)</v>
          </cell>
          <cell r="E318" t="str">
            <v>NUTRON</v>
          </cell>
        </row>
        <row r="319">
          <cell r="B319" t="str">
            <v>MISB023NS00000</v>
          </cell>
          <cell r="C319" t="str">
            <v>CONTROL PANEL</v>
          </cell>
          <cell r="D319" t="str">
            <v>CONTROL PANEL -12 84 LEADING (46)</v>
          </cell>
          <cell r="E319" t="str">
            <v>NUTRON</v>
          </cell>
        </row>
        <row r="320">
          <cell r="B320" t="str">
            <v>MISB024NS00000</v>
          </cell>
          <cell r="C320" t="str">
            <v>CONTROL PANEL</v>
          </cell>
          <cell r="D320" t="str">
            <v>CONTROL PANEL -7 NOFRA PH (41)</v>
          </cell>
          <cell r="E320" t="str">
            <v>NUTRON</v>
          </cell>
        </row>
        <row r="321">
          <cell r="B321" t="str">
            <v>ELAB017AE00000</v>
          </cell>
          <cell r="C321" t="str">
            <v>LUGS 4-6 RING TYPE INSU</v>
          </cell>
          <cell r="D321" t="str">
            <v xml:space="preserve">COPPER LUGS 4-6 RING TYPE PVC INSULATED </v>
          </cell>
          <cell r="E321" t="str">
            <v>ADISHWAR</v>
          </cell>
        </row>
        <row r="322">
          <cell r="B322" t="str">
            <v>ELAB007AE00000</v>
          </cell>
          <cell r="C322" t="str">
            <v>LUGS END SLEEVE 1.5 MM</v>
          </cell>
          <cell r="D322" t="str">
            <v>COPPER LUGS END SLEEVE 1.5 SQ. MM PVC INSULATED</v>
          </cell>
          <cell r="E322" t="str">
            <v>ADISHWAR</v>
          </cell>
        </row>
        <row r="323">
          <cell r="B323" t="str">
            <v>ELAB002AE00000</v>
          </cell>
          <cell r="C323" t="str">
            <v>LUGS END SLEEVE 0.5 MM</v>
          </cell>
          <cell r="D323" t="str">
            <v>COPPER LUGS END SLEEVE 0.5 SQ. MM PVC INSULATED</v>
          </cell>
          <cell r="E323" t="str">
            <v>ADISHWAR</v>
          </cell>
        </row>
        <row r="324">
          <cell r="B324" t="str">
            <v>HMIA007MI00303</v>
          </cell>
          <cell r="C324" t="str">
            <v>HMI MITSUBISHI</v>
          </cell>
          <cell r="D324" t="str">
            <v>GS2107</v>
          </cell>
          <cell r="E324" t="str">
            <v>MITSUBISHI</v>
          </cell>
          <cell r="F324"/>
        </row>
        <row r="325">
          <cell r="B325" t="str">
            <v>ELAD003RE00000</v>
          </cell>
          <cell r="C325" t="str">
            <v>19 MM S.C. GLAND</v>
          </cell>
          <cell r="D325" t="str">
            <v>19 MM S.C. CABLE GLAND</v>
          </cell>
          <cell r="E325" t="str">
            <v>RAJ ELECTRO</v>
          </cell>
        </row>
        <row r="326">
          <cell r="B326" t="str">
            <v>TOOT002NA00000</v>
          </cell>
          <cell r="C326" t="str">
            <v>SCREW DRIVER</v>
          </cell>
          <cell r="D326" t="str">
            <v>SCREW DRIVER</v>
          </cell>
          <cell r="E326"/>
        </row>
        <row r="327">
          <cell r="B327" t="str">
            <v>PLAG002ST00000</v>
          </cell>
          <cell r="C327" t="str">
            <v>MS PIPE</v>
          </cell>
          <cell r="D327" t="str">
            <v xml:space="preserve">100MM  LINE SIZE MS PIPE </v>
          </cell>
          <cell r="E327"/>
        </row>
        <row r="328">
          <cell r="B328" t="str">
            <v>PACE004BP00000</v>
          </cell>
          <cell r="C328" t="str">
            <v>WOODEN BOX 20*18*16</v>
          </cell>
          <cell r="D328" t="str">
            <v>WOODEN BOX 20*18*16</v>
          </cell>
          <cell r="E328" t="str">
            <v>BALAJI PALLET</v>
          </cell>
        </row>
        <row r="329">
          <cell r="B329" t="str">
            <v>PACE005BP00000</v>
          </cell>
          <cell r="C329" t="str">
            <v>WOODEN BOX 19*14*14</v>
          </cell>
          <cell r="D329" t="str">
            <v>WOODEN BOX 19*14*14</v>
          </cell>
          <cell r="E329" t="str">
            <v>BALAJI PALLET</v>
          </cell>
        </row>
        <row r="330">
          <cell r="B330" t="str">
            <v>PACE006BP00000</v>
          </cell>
          <cell r="C330" t="str">
            <v>WOODEN BOX 18*13*23</v>
          </cell>
          <cell r="D330" t="str">
            <v>WOODEN BOX 18*13*23</v>
          </cell>
          <cell r="E330" t="str">
            <v>BALAJI PALLET</v>
          </cell>
        </row>
        <row r="331">
          <cell r="B331" t="str">
            <v>PNLQ002KR00000</v>
          </cell>
          <cell r="C331" t="str">
            <v>UPS+BATTERY BOX WINA 5 INCH STAND</v>
          </cell>
          <cell r="D331" t="str">
            <v xml:space="preserve">UPS+BATTERY ENCLOSURE BOX WINA 5 INCH STAND FOR </v>
          </cell>
          <cell r="E331"/>
        </row>
        <row r="332">
          <cell r="B332" t="str">
            <v>PPAP000ST00000</v>
          </cell>
          <cell r="C332" t="str">
            <v>PANEL LOCK</v>
          </cell>
          <cell r="D332" t="str">
            <v>PANEL LOCK SINGLE KEY TYPE PANEL LOCK</v>
          </cell>
          <cell r="E332"/>
        </row>
        <row r="333">
          <cell r="B333" t="str">
            <v>SERA005PA52380</v>
          </cell>
          <cell r="C333" t="str">
            <v xml:space="preserve">TRANSPORATION CHARGES </v>
          </cell>
          <cell r="D333" t="str">
            <v xml:space="preserve">TRANSPORATION CHARGES  SUPPLY OFODHAV TO ELLISHBRIDGE </v>
          </cell>
        </row>
        <row r="334">
          <cell r="B334" t="str">
            <v>ELAE003ST00004</v>
          </cell>
          <cell r="C334" t="str">
            <v>1.5 SQ.MM FERRULES L.M</v>
          </cell>
          <cell r="D334" t="str">
            <v>1.5 SQ.MM RUBBER FERRULES L.M</v>
          </cell>
        </row>
        <row r="335">
          <cell r="B335" t="str">
            <v>PLAB002FE00000</v>
          </cell>
          <cell r="C335" t="str">
            <v>CPVC PIPE SDR 11-20(3/4)"</v>
          </cell>
          <cell r="D335" t="str">
            <v xml:space="preserve">CPVC PIPE SDR 11-20(3/4)" 5 MTR </v>
          </cell>
          <cell r="E335" t="str">
            <v>FINOLEX</v>
          </cell>
        </row>
        <row r="336">
          <cell r="B336" t="str">
            <v>PLAB607FE00000</v>
          </cell>
          <cell r="C336" t="str">
            <v>CPVC TEE 20(3/4)" FF</v>
          </cell>
          <cell r="D336" t="str">
            <v xml:space="preserve">CPVC TEE 20(3/4)" FF </v>
          </cell>
          <cell r="E336" t="str">
            <v>FINOLEX</v>
          </cell>
        </row>
        <row r="337">
          <cell r="B337" t="str">
            <v>PLAB203FE00000</v>
          </cell>
          <cell r="C337" t="str">
            <v>CPVC ELBOW 20(3/4)" FF</v>
          </cell>
          <cell r="D337" t="str">
            <v>CPVC ELBOW 20(3/4)" FF</v>
          </cell>
          <cell r="E337" t="str">
            <v>FINOLEX</v>
          </cell>
        </row>
        <row r="338">
          <cell r="B338" t="str">
            <v>PLAB003FE00000</v>
          </cell>
          <cell r="C338" t="str">
            <v>CPVC COUPLER 20(3/4)" FF</v>
          </cell>
          <cell r="D338" t="str">
            <v>CPVC COUPLER 20(3/4)" FF</v>
          </cell>
          <cell r="E338" t="str">
            <v>FINOLEX</v>
          </cell>
        </row>
        <row r="339">
          <cell r="B339" t="str">
            <v>PLAB002FE00000</v>
          </cell>
          <cell r="C339" t="str">
            <v>CPVC SOLVENT CEMENT MED</v>
          </cell>
          <cell r="D339" t="str">
            <v>CPVC SOLVENT CEMENT MED 59 ML FF</v>
          </cell>
          <cell r="E339" t="str">
            <v>FINOLEX</v>
          </cell>
        </row>
        <row r="340">
          <cell r="B340" t="str">
            <v>PLAC001AP00000</v>
          </cell>
          <cell r="C340" t="str">
            <v>AP APCO GLS ENML BLACK COLOR</v>
          </cell>
          <cell r="D340" t="str">
            <v>AP APCO GLS ENML BLACK 1 LETER COLOR</v>
          </cell>
          <cell r="E340" t="str">
            <v xml:space="preserve">ASIAN </v>
          </cell>
        </row>
        <row r="341">
          <cell r="B341" t="str">
            <v>PLAC003ST00000</v>
          </cell>
          <cell r="C341" t="str">
            <v>ENAMEL NAINNER 1 LTR</v>
          </cell>
          <cell r="D341" t="str">
            <v>ENAMEL NAINNER 1 LTR</v>
          </cell>
          <cell r="E341" t="str">
            <v>STANDART</v>
          </cell>
        </row>
        <row r="342">
          <cell r="B342" t="str">
            <v>PLAC004ST00000</v>
          </cell>
          <cell r="C342" t="str">
            <v>ASIAN PAINTSTOO BRUSH10</v>
          </cell>
          <cell r="D342" t="str">
            <v>ASIAN PAINTSTOO BRUSH10</v>
          </cell>
          <cell r="E342" t="str">
            <v>STANDART</v>
          </cell>
        </row>
        <row r="343">
          <cell r="B343" t="str">
            <v>MOVK005MA00000</v>
          </cell>
          <cell r="C343" t="str">
            <v xml:space="preserve">ACTUATOR HANDWHEEL </v>
          </cell>
          <cell r="D343" t="str">
            <v>SPARE FOR ELECTRICAL ACTUATOR HANDWHEEL WINA SHAFT EXTENSION</v>
          </cell>
          <cell r="E343" t="str">
            <v>MARSH</v>
          </cell>
        </row>
        <row r="344">
          <cell r="B344" t="str">
            <v>MISA025MI00000</v>
          </cell>
          <cell r="C344" t="str">
            <v>MITSUBISHI PLC SYSTEM</v>
          </cell>
          <cell r="D344" t="str">
            <v>MITSUBISHI PLC SYSTEM-150 RL</v>
          </cell>
          <cell r="E344" t="str">
            <v>MITSUBISHI</v>
          </cell>
        </row>
        <row r="345">
          <cell r="B345" t="str">
            <v>MISA026MI00000</v>
          </cell>
          <cell r="C345" t="str">
            <v>MITSUBISHI PLC SYSTEM</v>
          </cell>
          <cell r="D345" t="str">
            <v>MITSUBISHI PLC SYSTEM-NAD MAIN</v>
          </cell>
          <cell r="E345" t="str">
            <v>MITSUBISHI</v>
          </cell>
        </row>
        <row r="346">
          <cell r="B346" t="str">
            <v>MISA027MI00000</v>
          </cell>
          <cell r="C346" t="str">
            <v>MITSUBISHI PLC SYSTEM</v>
          </cell>
          <cell r="D346" t="str">
            <v>MITSUBISHI PLC SYSTEM- MANGERA</v>
          </cell>
          <cell r="E346" t="str">
            <v>MITSUBISHI</v>
          </cell>
        </row>
        <row r="347">
          <cell r="B347" t="str">
            <v>MISA028MI00000</v>
          </cell>
          <cell r="C347" t="str">
            <v>MITSUBISHI PLC SYSTEM</v>
          </cell>
          <cell r="D347" t="str">
            <v>MITSUBISHI PLC SYSTEM- STATION MES</v>
          </cell>
          <cell r="E347" t="str">
            <v>MITSUBISHI</v>
          </cell>
        </row>
        <row r="348">
          <cell r="B348" t="str">
            <v>MISA029MI00000</v>
          </cell>
          <cell r="C348" t="str">
            <v>MITSUBISHI PLC SYSTEM</v>
          </cell>
          <cell r="D348" t="str">
            <v>MITSUBISHI PLC SYSTEM- TUNIR</v>
          </cell>
          <cell r="E348" t="str">
            <v>MITSUBISHI</v>
          </cell>
        </row>
        <row r="349">
          <cell r="B349" t="str">
            <v>PNLF023KR00101</v>
          </cell>
          <cell r="C349" t="str">
            <v>40 HP X 1 STAR DELTA PANEL WINA MINI RTU</v>
          </cell>
          <cell r="D349"/>
          <cell r="E349" t="str">
            <v>KRISHANT</v>
          </cell>
        </row>
        <row r="350">
          <cell r="B350" t="str">
            <v>PNLF008KR00100</v>
          </cell>
          <cell r="C350" t="str">
            <v>12.5 HP X 2 STAR DELTA PANEL WINA MINI RTU</v>
          </cell>
          <cell r="D350"/>
          <cell r="E350" t="str">
            <v>KRISHANT</v>
          </cell>
        </row>
        <row r="351">
          <cell r="B351" t="str">
            <v>PNLF020KR00100</v>
          </cell>
          <cell r="C351" t="str">
            <v>30 HPX 2 STAR DELTA PANEL WINA MINI RTU</v>
          </cell>
          <cell r="D351"/>
          <cell r="E351" t="str">
            <v>KRISHANT</v>
          </cell>
        </row>
        <row r="352">
          <cell r="B352" t="str">
            <v>STAA003NA00600</v>
          </cell>
          <cell r="C352" t="str">
            <v>CIMCON-66A STICKER</v>
          </cell>
          <cell r="D352" t="str">
            <v>CIMCON-66A LABEL STICKER</v>
          </cell>
          <cell r="E352"/>
        </row>
        <row r="353">
          <cell r="B353" t="str">
            <v>STAA003NA00700</v>
          </cell>
          <cell r="C353" t="str">
            <v>CIMCON-66B STICKER</v>
          </cell>
          <cell r="D353" t="str">
            <v>CIMCON-66A LABEL STICKER</v>
          </cell>
          <cell r="E353"/>
        </row>
        <row r="354">
          <cell r="B354" t="str">
            <v>ITAB042TL00000</v>
          </cell>
          <cell r="C354" t="str">
            <v>TP LINK 8 PORT SWITCH</v>
          </cell>
          <cell r="D354" t="str">
            <v>TP-LINK 8 PORT 10/100 SWITCH</v>
          </cell>
          <cell r="E354" t="str">
            <v>TPLINK</v>
          </cell>
        </row>
        <row r="355">
          <cell r="B355" t="str">
            <v>TOOT002TP00000</v>
          </cell>
          <cell r="C355" t="str">
            <v>TAPARIA SCREW DRIVER</v>
          </cell>
          <cell r="D355" t="str">
            <v>TAPARIA SCREW DRIVER DETECHEBLE</v>
          </cell>
          <cell r="E355" t="str">
            <v>TAPARIA</v>
          </cell>
        </row>
        <row r="356">
          <cell r="B356" t="str">
            <v>TOOT003TP00000</v>
          </cell>
          <cell r="C356" t="str">
            <v>TAPARIA TESTER</v>
          </cell>
          <cell r="D356" t="str">
            <v>TAPARIA TESTER</v>
          </cell>
          <cell r="E356" t="str">
            <v>TAPARIA</v>
          </cell>
        </row>
        <row r="357">
          <cell r="B357" t="str">
            <v>TOOT004TP00000</v>
          </cell>
          <cell r="C357" t="str">
            <v>TAPARIA PLIER INSULATED</v>
          </cell>
          <cell r="D357" t="str">
            <v>TAPARIA PLIER INSULATED</v>
          </cell>
          <cell r="E357" t="str">
            <v>TAPARIA</v>
          </cell>
        </row>
        <row r="358">
          <cell r="B358" t="str">
            <v>TOOT005TP00000</v>
          </cell>
          <cell r="C358" t="str">
            <v>WIRE STRIPPER</v>
          </cell>
          <cell r="D358" t="str">
            <v>WIRE STRIPPER</v>
          </cell>
          <cell r="E358" t="str">
            <v>TAPARIA</v>
          </cell>
        </row>
        <row r="359">
          <cell r="B359" t="str">
            <v>ELAD003ST0000</v>
          </cell>
          <cell r="C359" t="str">
            <v>GLAND BRASS</v>
          </cell>
          <cell r="D359" t="str">
            <v>GLAND BRASS 19 MM SC</v>
          </cell>
        </row>
        <row r="360">
          <cell r="B360" t="str">
            <v>ELAQ001SC0000</v>
          </cell>
          <cell r="C360" t="str">
            <v xml:space="preserve">PUSH BUTTON SELECTOR </v>
          </cell>
          <cell r="D360" t="str">
            <v xml:space="preserve">PUSH BUTTON 2 POSITION  SELECTOR SWITCH </v>
          </cell>
          <cell r="E360" t="str">
            <v>SCHNEIDER</v>
          </cell>
        </row>
        <row r="361">
          <cell r="B361" t="str">
            <v>ITAV002HP01500</v>
          </cell>
          <cell r="C361" t="str">
            <v>HP WIRELESS COMBO</v>
          </cell>
          <cell r="D361" t="str">
            <v xml:space="preserve">HP WIRELESS COMBO 330 KEYBOARD </v>
          </cell>
          <cell r="E361" t="str">
            <v>HP</v>
          </cell>
        </row>
        <row r="362">
          <cell r="B362" t="str">
            <v>MISA030MI01200</v>
          </cell>
          <cell r="C362" t="str">
            <v>FX5U-64MT/ESS-BS</v>
          </cell>
          <cell r="D362" t="str">
            <v xml:space="preserve">FX5U-64MT/ESS-BS PLC </v>
          </cell>
          <cell r="E362" t="str">
            <v>MITSUBISHI</v>
          </cell>
        </row>
        <row r="363">
          <cell r="B363" t="str">
            <v>STAC001SB00800</v>
          </cell>
          <cell r="C363" t="str">
            <v>ACRYLIC BOARD</v>
          </cell>
          <cell r="D363" t="str">
            <v>ACRYLIC NAME BOARD PRINT 2400X1200MM SIZE</v>
          </cell>
        </row>
        <row r="364">
          <cell r="B364" t="str">
            <v>MISA011MI01300</v>
          </cell>
          <cell r="C364" t="str">
            <v>FX3U-32BL BATTERY</v>
          </cell>
          <cell r="D364" t="str">
            <v>FX3U-32BL BATTERY</v>
          </cell>
          <cell r="E364" t="str">
            <v>MITSUBISHI</v>
          </cell>
        </row>
        <row r="365">
          <cell r="B365" t="str">
            <v>PLAN702ST00000</v>
          </cell>
          <cell r="C365" t="str">
            <v>GI UNION 20MM</v>
          </cell>
          <cell r="D365" t="str">
            <v>GI UNION 20MM</v>
          </cell>
        </row>
        <row r="366">
          <cell r="B366" t="str">
            <v>PLAN103ST00000</v>
          </cell>
          <cell r="C366" t="str">
            <v>GI BARREL NIPPLE 3/4"X4"</v>
          </cell>
          <cell r="D366" t="str">
            <v>GI BARREL NIPPLE 3/4"X4"</v>
          </cell>
        </row>
        <row r="367">
          <cell r="B367" t="str">
            <v>PLAN503ST00000</v>
          </cell>
          <cell r="C367" t="str">
            <v>GI TEE 20MM</v>
          </cell>
          <cell r="D367" t="str">
            <v>GI TEE 20MM</v>
          </cell>
        </row>
        <row r="368">
          <cell r="B368" t="str">
            <v>PLAN203ST00000</v>
          </cell>
          <cell r="C368" t="str">
            <v>GI ELBOW 20MM</v>
          </cell>
          <cell r="D368" t="str">
            <v>GI ELBOW 20MM</v>
          </cell>
        </row>
        <row r="369">
          <cell r="B369" t="str">
            <v>PLAN804ST00000</v>
          </cell>
          <cell r="C369" t="str">
            <v>GI BUSHING 3/4"X1"</v>
          </cell>
          <cell r="D369" t="str">
            <v>GI BUSHING 3/4"X1"</v>
          </cell>
        </row>
        <row r="370">
          <cell r="B370" t="str">
            <v>PLAN701ST00000</v>
          </cell>
          <cell r="C370" t="str">
            <v>GI UNION 12.5MM</v>
          </cell>
          <cell r="D370" t="str">
            <v>GI UNION 12.5MM</v>
          </cell>
        </row>
        <row r="371">
          <cell r="B371" t="str">
            <v>PLAN502ST00000</v>
          </cell>
          <cell r="C371" t="str">
            <v>GI TEE 1/2"</v>
          </cell>
          <cell r="D371" t="str">
            <v>GI TEE 1/2"</v>
          </cell>
        </row>
        <row r="372">
          <cell r="B372" t="str">
            <v>PLAN202ST00000</v>
          </cell>
          <cell r="C372" t="str">
            <v>GI ELBOW 1/2"</v>
          </cell>
          <cell r="D372" t="str">
            <v>GI ELBOW 1/2"</v>
          </cell>
        </row>
        <row r="373">
          <cell r="B373" t="str">
            <v>PLAN109ST00000</v>
          </cell>
          <cell r="C373" t="str">
            <v>GI BARREL NIPPLE 1/2"X4"</v>
          </cell>
          <cell r="D373" t="str">
            <v>GI BARREL NIPPLE 1/2"X4"</v>
          </cell>
        </row>
        <row r="374">
          <cell r="B374" t="str">
            <v>PLAN102ST00000</v>
          </cell>
          <cell r="C374" t="str">
            <v>GI BARREL NIPPLE 1/2"X2"</v>
          </cell>
          <cell r="D374" t="str">
            <v>GI BARREL NIPPLE 1/2"X2"</v>
          </cell>
        </row>
        <row r="375">
          <cell r="B375" t="str">
            <v>PLAN801ST00000</v>
          </cell>
          <cell r="C375" t="str">
            <v>GI BUSHING 1/2"X1"</v>
          </cell>
          <cell r="D375" t="str">
            <v>GI BUSHING 1/2"X1"</v>
          </cell>
        </row>
        <row r="376">
          <cell r="B376" t="str">
            <v>PLAN802ST00000</v>
          </cell>
          <cell r="C376" t="str">
            <v>GI BUSHING 1/2"X1/4"</v>
          </cell>
          <cell r="D376" t="str">
            <v>GI BUSHING 1/2"X1/4"</v>
          </cell>
        </row>
        <row r="377">
          <cell r="B377" t="str">
            <v>PLAM108ST00000</v>
          </cell>
          <cell r="C377" t="str">
            <v>MS BARREL NIPPLE 3/8"X4"</v>
          </cell>
          <cell r="D377" t="str">
            <v>GI BARREL NIPPLE 3/8"X4"</v>
          </cell>
        </row>
        <row r="378">
          <cell r="B378" t="str">
            <v>PLAM503ST00000</v>
          </cell>
          <cell r="C378" t="str">
            <v>MS TEE 3/8"</v>
          </cell>
          <cell r="D378" t="str">
            <v>MS TEE 3/8"</v>
          </cell>
        </row>
        <row r="379">
          <cell r="B379" t="str">
            <v>PLAM109ST00000</v>
          </cell>
          <cell r="C379" t="str">
            <v>MS BARREL NIPPLE 3/8"X3"</v>
          </cell>
          <cell r="D379" t="str">
            <v>GI BARREL NIPPLE 3/8"X3"</v>
          </cell>
        </row>
        <row r="380">
          <cell r="B380" t="str">
            <v>PLAN903ST00000</v>
          </cell>
          <cell r="C380" t="str">
            <v>GI BALL VALVE 25MM</v>
          </cell>
          <cell r="D380" t="str">
            <v>GI BALL VALVE 25MM</v>
          </cell>
        </row>
        <row r="381">
          <cell r="B381" t="str">
            <v>PLAN207ST00000</v>
          </cell>
          <cell r="C381" t="str">
            <v>GI ELBOW 50MM</v>
          </cell>
          <cell r="D381" t="str">
            <v>GI ELBOW 50MM</v>
          </cell>
        </row>
        <row r="382">
          <cell r="B382" t="str">
            <v>PLAN706ST00000</v>
          </cell>
          <cell r="C382" t="str">
            <v>GI UNION 50MM</v>
          </cell>
          <cell r="D382" t="str">
            <v>GI UNION 50MM</v>
          </cell>
        </row>
        <row r="383">
          <cell r="B383" t="str">
            <v>PLAV007ST00000</v>
          </cell>
          <cell r="C383" t="str">
            <v xml:space="preserve">CI FOOT VALVE 50MM </v>
          </cell>
          <cell r="D383" t="str">
            <v xml:space="preserve">CI FOOT VALVE 50MM </v>
          </cell>
        </row>
        <row r="384">
          <cell r="B384" t="str">
            <v>PLAN000ST00000</v>
          </cell>
          <cell r="C384" t="str">
            <v xml:space="preserve">GI WIRE </v>
          </cell>
          <cell r="D384" t="str">
            <v xml:space="preserve">GI WIRE </v>
          </cell>
        </row>
        <row r="385">
          <cell r="B385" t="str">
            <v>PLAM003ST00000</v>
          </cell>
          <cell r="C385" t="str">
            <v xml:space="preserve">MS L TYPE ANGLE 50MM*6MM </v>
          </cell>
          <cell r="D385" t="str">
            <v xml:space="preserve">MS L TYPE ANGLE 50MM*6MM </v>
          </cell>
        </row>
        <row r="386">
          <cell r="B386" t="str">
            <v>PLAM004ST00000</v>
          </cell>
          <cell r="C386" t="str">
            <v>MS PLATE 1250MM*2500MM*4MM</v>
          </cell>
          <cell r="D386" t="str">
            <v>MS PLATE 1250MM*2500MM*4MM</v>
          </cell>
        </row>
        <row r="387">
          <cell r="B387" t="str">
            <v>UPSA102LU00503</v>
          </cell>
          <cell r="C387" t="str">
            <v>LUMINOUS ONLINE UPS</v>
          </cell>
          <cell r="D387" t="str">
            <v>LUMINOUS ONLINE UPS SYSTEM EXTERNAL BATTERY</v>
          </cell>
          <cell r="E387" t="str">
            <v>LUMINOUS</v>
          </cell>
          <cell r="F387" t="str">
            <v>LD2000</v>
          </cell>
        </row>
        <row r="388">
          <cell r="B388" t="str">
            <v>UPSA000ST00005</v>
          </cell>
          <cell r="C388" t="str">
            <v xml:space="preserve">BATTERY STAND </v>
          </cell>
          <cell r="D388" t="str">
            <v>BATTERY STAND FOR 6 NOS SMF BATTERY , M.I RACK 26*6 WINA TOP</v>
          </cell>
        </row>
        <row r="389">
          <cell r="B389" t="str">
            <v>PPAE005OM00000</v>
          </cell>
          <cell r="C389" t="str">
            <v>8 PIN RELAY</v>
          </cell>
          <cell r="D389" t="str">
            <v>8 PIN RELAY 240V OPERATED (FLATE PIN)</v>
          </cell>
          <cell r="E389" t="str">
            <v>OMRON</v>
          </cell>
          <cell r="F389" t="str">
            <v>MY2N GS</v>
          </cell>
        </row>
        <row r="390">
          <cell r="B390" t="str">
            <v>PNLS006ST00000</v>
          </cell>
          <cell r="C390" t="str">
            <v>PVC JUNCTION BOX</v>
          </cell>
          <cell r="D390" t="str">
            <v xml:space="preserve">PVC JUNCTION BOX 255 X 200 X 80 MM </v>
          </cell>
        </row>
        <row r="391">
          <cell r="B391" t="str">
            <v>PLAT003AN00000</v>
          </cell>
          <cell r="C391" t="str">
            <v>BRASS NRV</v>
          </cell>
          <cell r="D391" t="str">
            <v>BRASS NRV 1/2" VERTICAL DRP</v>
          </cell>
          <cell r="E391" t="str">
            <v>ANTRIKSH</v>
          </cell>
        </row>
        <row r="392">
          <cell r="B392" t="str">
            <v>PLAV200ST00000</v>
          </cell>
          <cell r="C392" t="str">
            <v xml:space="preserve">CI COVER </v>
          </cell>
          <cell r="D392" t="str">
            <v xml:space="preserve">CI EARNA PIT COVER SIZE 12" X 12"  </v>
          </cell>
        </row>
        <row r="393">
          <cell r="B393" t="str">
            <v>MOVC407ST00000</v>
          </cell>
          <cell r="C393" t="str">
            <v>BUTTERFLY VALVE 250MM PN 10</v>
          </cell>
          <cell r="D393" t="str">
            <v xml:space="preserve">BUTTERFLY VALVE 250MM PN 10 TO OPERATED ACTAUTOR M QT-30 WINA SUITABLE HARDWARE </v>
          </cell>
          <cell r="E393" t="str">
            <v>MARSH</v>
          </cell>
        </row>
        <row r="394">
          <cell r="B394" t="str">
            <v>TOOM001NA00000</v>
          </cell>
          <cell r="C394" t="str">
            <v>DIGITAL MULTIMETER</v>
          </cell>
          <cell r="D394" t="str">
            <v>TC221219/5/1 DIGITAL MULTIMETER (4-1/2 DIGIT (19999 COUNT)</v>
          </cell>
        </row>
        <row r="395">
          <cell r="B395" t="str">
            <v>CABO002FI00008</v>
          </cell>
          <cell r="C395" t="str">
            <v>12F SM ARMOURED FIBER CABLE</v>
          </cell>
          <cell r="D395" t="str">
            <v>12F SM ARMOURED FIBER CABLE</v>
          </cell>
          <cell r="E395" t="str">
            <v>FINOLEX</v>
          </cell>
        </row>
        <row r="396">
          <cell r="B396" t="str">
            <v>SERB000DE52380</v>
          </cell>
          <cell r="C396" t="str">
            <v>INSTALLATION WORK</v>
          </cell>
          <cell r="D396" t="str">
            <v xml:space="preserve">INSTALLATION WORK AT BANGALORE SITE </v>
          </cell>
          <cell r="E396" t="str">
            <v>DEV ELECTRICAL</v>
          </cell>
        </row>
        <row r="397">
          <cell r="B397" t="str">
            <v>SERB000DE52390</v>
          </cell>
          <cell r="C397" t="str">
            <v>INSTALLATION WORK</v>
          </cell>
          <cell r="D397" t="str">
            <v xml:space="preserve">INSTALLATION WORK AT KARANJA SITE </v>
          </cell>
          <cell r="E397" t="str">
            <v>DEV ELECTRICAL</v>
          </cell>
        </row>
        <row r="398">
          <cell r="B398" t="str">
            <v>PLAT004ST00000</v>
          </cell>
          <cell r="C398" t="str">
            <v>3/4 X 1/2 BRASS FTA COVER</v>
          </cell>
          <cell r="D398" t="str">
            <v>3/4 X 1/2 BRASS FTA COVER</v>
          </cell>
        </row>
        <row r="399">
          <cell r="B399" t="str">
            <v>PLAH005ST00000</v>
          </cell>
          <cell r="C399" t="str">
            <v>MS BOLT 16MM x 8" LONG</v>
          </cell>
          <cell r="D399" t="str">
            <v>MS BOLT 16MM x 8" LONG</v>
          </cell>
        </row>
        <row r="400">
          <cell r="B400" t="str">
            <v>PLAH005ST00000</v>
          </cell>
          <cell r="C400" t="str">
            <v>M.S. BOLT 16 MM x 8" LONG</v>
          </cell>
          <cell r="D400" t="str">
            <v>M.S. BOLT 16 MM x 8" LONG</v>
          </cell>
        </row>
        <row r="401">
          <cell r="B401" t="str">
            <v>PLAM103ST00000</v>
          </cell>
          <cell r="C401" t="str">
            <v>M.S. HEX NIPPLE 3/4"</v>
          </cell>
          <cell r="D401" t="str">
            <v>M.S. HEX NIPPLE 3/4"</v>
          </cell>
        </row>
        <row r="402">
          <cell r="B402" t="str">
            <v>PLAM300ST00000</v>
          </cell>
          <cell r="C402" t="str">
            <v>M.S. REDUCER 3/4" TO 1/4"</v>
          </cell>
          <cell r="D402" t="str">
            <v>M.S. REDUCER 3/4" TO 1/4"</v>
          </cell>
        </row>
        <row r="403">
          <cell r="B403" t="str">
            <v>PLAM110ST00000</v>
          </cell>
          <cell r="C403" t="str">
            <v>M.S. BARREL NIPPLE 1/4" x 2"</v>
          </cell>
          <cell r="D403" t="str">
            <v>M.S. BARREL NIPPLE 1/4" x 2"</v>
          </cell>
        </row>
        <row r="404">
          <cell r="B404" t="str">
            <v>PLAM05ST00000</v>
          </cell>
          <cell r="C404" t="str">
            <v>M.S. L TYPE ANGLE 25 x 3 MM</v>
          </cell>
          <cell r="D404" t="str">
            <v>M.S. L TYPE ANGLE 25 x 3 MM</v>
          </cell>
        </row>
        <row r="405">
          <cell r="B405" t="str">
            <v>PLAS001ST00000</v>
          </cell>
          <cell r="C405" t="str">
            <v>5/15A SOCKET ROUND PIN PDU WINA CABLE</v>
          </cell>
          <cell r="D405" t="str">
            <v>5/15A 6 NOS. SOCKET ROUND PIN PDU WINA 2.5 MTR CABLE</v>
          </cell>
        </row>
        <row r="406">
          <cell r="B406" t="str">
            <v>PACB007ST00000</v>
          </cell>
          <cell r="C406" t="str">
            <v>500*310*230 MM 7 PLY BOX</v>
          </cell>
          <cell r="D406" t="str">
            <v>500*310*230 MM 7 PLY BOX</v>
          </cell>
        </row>
        <row r="407">
          <cell r="B407" t="str">
            <v>MODF000TE00005</v>
          </cell>
          <cell r="C407" t="str">
            <v>COMPACT DIN RAIL KIT (088-00270)</v>
          </cell>
          <cell r="D407" t="str">
            <v>COMPACT DIN RAIL KIT  MOUNTING STANDARD:35MM DIN RAIL</v>
          </cell>
        </row>
        <row r="408">
          <cell r="B408" t="str">
            <v>ITAB103DL01600</v>
          </cell>
          <cell r="C408" t="str">
            <v xml:space="preserve">SWITCH 5 PORT </v>
          </cell>
          <cell r="D408" t="str">
            <v xml:space="preserve">LAN SWITCH 5 PORT </v>
          </cell>
          <cell r="E408" t="str">
            <v>D-LINK</v>
          </cell>
          <cell r="F408" t="str">
            <v>DES-1005C</v>
          </cell>
        </row>
        <row r="409">
          <cell r="B409" t="str">
            <v>ITAS005FI00000</v>
          </cell>
          <cell r="C409" t="str">
            <v>CABINET FINTERS</v>
          </cell>
          <cell r="D409" t="str">
            <v>COMPUTER CABINET FINTERS</v>
          </cell>
        </row>
        <row r="410">
          <cell r="B410" t="str">
            <v>ITAP006IN00000</v>
          </cell>
          <cell r="C410" t="str">
            <v xml:space="preserve">INTEL CORE I5 10NA GENERATION </v>
          </cell>
          <cell r="D410" t="str">
            <v>INTEL CORE I5 10NA GENERATION PROCESSOR</v>
          </cell>
        </row>
        <row r="411">
          <cell r="B411" t="str">
            <v>ITAT007ST00000</v>
          </cell>
          <cell r="C411" t="str">
            <v>CORSAIR 16GB DDR4 RAM</v>
          </cell>
          <cell r="D411" t="str">
            <v>CORSAIR 16GB DDR4 RAM</v>
          </cell>
        </row>
        <row r="412">
          <cell r="B412" t="str">
            <v>ITAT008ST00000</v>
          </cell>
          <cell r="C412" t="str">
            <v>T-GEFORCE GTE730  4GB DDR3</v>
          </cell>
          <cell r="D412" t="str">
            <v>T-GEFORCE GTE730  4GB DDR3</v>
          </cell>
        </row>
        <row r="413">
          <cell r="B413" t="str">
            <v>ITAW004ST00000</v>
          </cell>
          <cell r="C413" t="str">
            <v>MONAERBOARD</v>
          </cell>
          <cell r="D413" t="str">
            <v>MONAERBOARD</v>
          </cell>
        </row>
        <row r="414">
          <cell r="B414" t="str">
            <v>ITAX009ST00000</v>
          </cell>
          <cell r="C414" t="str">
            <v>MONAERBOARD</v>
          </cell>
          <cell r="D414" t="str">
            <v>MONAERBOARD</v>
          </cell>
        </row>
        <row r="415">
          <cell r="B415" t="str">
            <v>EFMF004FT00000</v>
          </cell>
          <cell r="C415" t="str">
            <v>FULL BORE FLOW METER</v>
          </cell>
          <cell r="E415" t="str">
            <v>FLOWTECH</v>
          </cell>
        </row>
        <row r="416">
          <cell r="B416" t="str">
            <v>PNLF003KR00000</v>
          </cell>
          <cell r="C416" t="str">
            <v>7.5 HP STAR DELTA PANEL</v>
          </cell>
          <cell r="D416" t="str">
            <v>20 HP STAR DELTA PANEL</v>
          </cell>
          <cell r="E416" t="str">
            <v>KRISHANT</v>
          </cell>
          <cell r="F416"/>
        </row>
        <row r="417">
          <cell r="B417" t="str">
            <v>ELAB019VS00000</v>
          </cell>
          <cell r="C417" t="str">
            <v>25 SQ MM RING TYPE M-6 MM HOLE ALUMINUM</v>
          </cell>
          <cell r="D417" t="str">
            <v>25 SQ MM RING TYPE M-6 MM HOLE ALUMINUM</v>
          </cell>
          <cell r="E417" t="str">
            <v>VIDHYUT SALES CORPORATION</v>
          </cell>
          <cell r="F417"/>
        </row>
        <row r="418">
          <cell r="B418" t="str">
            <v>ELAB020VS00000</v>
          </cell>
          <cell r="C418" t="str">
            <v>35 SQ MM RING TYPE M-6 MM HOLE ALLUMINUM</v>
          </cell>
          <cell r="D418" t="str">
            <v>35 SQ MM RING TYPE M-6 MM HOLE ALLUMINUM</v>
          </cell>
          <cell r="E418" t="str">
            <v>VIDHYUT SALES CORPORATION</v>
          </cell>
          <cell r="F418"/>
        </row>
        <row r="419">
          <cell r="B419" t="str">
            <v>ELAB021VS00000</v>
          </cell>
          <cell r="C419" t="str">
            <v>50 SQ MM RING TYPE M-10 MM HOLE ALLUMINUM</v>
          </cell>
          <cell r="D419" t="str">
            <v>50 SQ MM RING TYPE M-10 MM HOLE ALLUMINUM</v>
          </cell>
          <cell r="E419" t="str">
            <v>VIDHYUT SALES CORPORATION</v>
          </cell>
          <cell r="F419"/>
        </row>
        <row r="420">
          <cell r="B420" t="str">
            <v>ELAB022VS00000</v>
          </cell>
          <cell r="C420" t="str">
            <v>2.5 SQ MM COPPER FORK TYPE INSU-LUGS</v>
          </cell>
          <cell r="D420" t="str">
            <v>2.5 SQ MM COPPER FORK TYPE INSU-LUGS</v>
          </cell>
          <cell r="E420" t="str">
            <v>VIDHYUT SALES CORPORATION</v>
          </cell>
          <cell r="F420"/>
        </row>
        <row r="421">
          <cell r="B421" t="str">
            <v>WQACLT001NN003</v>
          </cell>
          <cell r="C421" t="str">
            <v>CHLORINE SENSOR &amp; TRANSMITTER  0 TO 20 mg/l</v>
          </cell>
          <cell r="D421" t="str">
            <v>CHLORINE SENSOR &amp; TRANSMITTER  0 TO 20 mg/l</v>
          </cell>
          <cell r="E421" t="str">
            <v>NANING NOBO INST.CO LTD</v>
          </cell>
          <cell r="F421" t="str">
            <v>iCL-10</v>
          </cell>
        </row>
        <row r="422">
          <cell r="B422" t="str">
            <v>WQATUT001NN004</v>
          </cell>
          <cell r="C422" t="str">
            <v>TURBIDITY SENSOR &amp; TRANSMITTER 0 TO 400 NTU</v>
          </cell>
          <cell r="D422" t="str">
            <v>TURBIDITY SENSOR &amp; TRANSMITTER 0 TO 400 NTU</v>
          </cell>
          <cell r="E422" t="str">
            <v>NANING NOBO INST.CO LTD</v>
          </cell>
          <cell r="F422" t="str">
            <v>iTU-10</v>
          </cell>
        </row>
        <row r="423">
          <cell r="B423" t="str">
            <v>PNLU001NA00400</v>
          </cell>
          <cell r="C423" t="str">
            <v>3 TO 5 HP TW VFD + ACT VFD + SOLAR PDB -JJM</v>
          </cell>
          <cell r="D423" t="str">
            <v>3 TO 5 HP TW VFD + ACT VFD + SOLAR PDB -JJM</v>
          </cell>
          <cell r="E423" t="str">
            <v>THEMIS AUTOMATION</v>
          </cell>
          <cell r="F423"/>
        </row>
        <row r="424">
          <cell r="B424" t="str">
            <v>PNLU002NA00400</v>
          </cell>
          <cell r="C424" t="str">
            <v>7.5 HP TW VFD + ACT VFD + SOLAR PDB -JJM</v>
          </cell>
          <cell r="D424" t="str">
            <v>7.5 HP TW VFD + ACT VFD + SOLAR PDB -JJM</v>
          </cell>
          <cell r="E424" t="str">
            <v>THEMIS AUTOMATION</v>
          </cell>
          <cell r="F424"/>
        </row>
        <row r="425">
          <cell r="B425" t="str">
            <v>PNLU003NA00400</v>
          </cell>
          <cell r="C425" t="str">
            <v>10 HP TW VFD + ACT VFD + SOLAR PDB -JJM</v>
          </cell>
          <cell r="D425" t="str">
            <v>10 HP TW VFD + ACT VFD + SOLAR PDB -JJM</v>
          </cell>
          <cell r="E425" t="str">
            <v>THEMIS AUTOMATION</v>
          </cell>
          <cell r="F425"/>
        </row>
        <row r="426">
          <cell r="B426" t="str">
            <v>PNLU004NA00400</v>
          </cell>
          <cell r="C426" t="str">
            <v>12.5 HP TW VFD + ACT VFD + SOLAR PDB -JJM</v>
          </cell>
          <cell r="D426" t="str">
            <v>12.5 HP TW VFD + ACT VFD + SOLAR PDB -JJM</v>
          </cell>
          <cell r="E426" t="str">
            <v>THEMIS AUTOMATION</v>
          </cell>
          <cell r="F426"/>
        </row>
        <row r="427">
          <cell r="B427" t="str">
            <v>PNLU005NA00400</v>
          </cell>
          <cell r="C427" t="str">
            <v>15 HP TW VFD + ACT VFD + SOLAR PDB -JJM</v>
          </cell>
          <cell r="D427" t="str">
            <v>15 HP TW VFD + ACT VFD + SOLAR PDB -JJM</v>
          </cell>
          <cell r="E427" t="str">
            <v>THEMIS AUTOMATION</v>
          </cell>
          <cell r="F427"/>
        </row>
        <row r="428">
          <cell r="B428" t="str">
            <v>PNLU006NA00400</v>
          </cell>
          <cell r="C428" t="str">
            <v>17.5 HP TW VFD + ACT VFD + SOLAR PDB -JJM</v>
          </cell>
          <cell r="D428" t="str">
            <v>17.5 HP TW VFD + ACT VFD + SOLAR PDB -JJM</v>
          </cell>
          <cell r="E428" t="str">
            <v>THEMIS AUTOMATION</v>
          </cell>
          <cell r="F428"/>
        </row>
        <row r="429">
          <cell r="B429" t="str">
            <v>PNLU007NA00400</v>
          </cell>
          <cell r="C429" t="str">
            <v>20 HP TW VFD + ACT VFD + SOLAR PDB -JJM</v>
          </cell>
          <cell r="D429" t="str">
            <v>20 HP TW VFD + ACT VFD + SOLAR PDB -JJM</v>
          </cell>
          <cell r="E429" t="str">
            <v>THEMIS AUTOMATION</v>
          </cell>
          <cell r="F429"/>
        </row>
        <row r="430">
          <cell r="B430" t="str">
            <v>PNLU008NA00400</v>
          </cell>
          <cell r="C430" t="str">
            <v>25 HP TW VFD + ACT VFD + SOLAR PDB -JJM</v>
          </cell>
          <cell r="D430" t="str">
            <v>25 HP TW VFD + ACT VFD + SOLAR PDB -JJM</v>
          </cell>
          <cell r="E430" t="str">
            <v>THEMIS AUTOMATION</v>
          </cell>
          <cell r="F430"/>
        </row>
        <row r="431">
          <cell r="B431" t="str">
            <v>PNLU009NA00400</v>
          </cell>
          <cell r="C431" t="str">
            <v>30 HP TW VFD + ACT VFD + SOLAR PDB -JJM</v>
          </cell>
          <cell r="D431" t="str">
            <v>30 HP TW VFD + ACT VFD + SOLAR PDB -JJM</v>
          </cell>
          <cell r="E431" t="str">
            <v>THEMIS AUTOMATION</v>
          </cell>
          <cell r="F431"/>
        </row>
        <row r="432">
          <cell r="B432" t="str">
            <v>PNLU010NA00400</v>
          </cell>
          <cell r="C432" t="str">
            <v>35 HP TW VFD + ACT VFD + SOLAR PDB -JJM</v>
          </cell>
          <cell r="D432" t="str">
            <v>35 HP TW VFD + ACT VFD + SOLAR PDB -JJM</v>
          </cell>
          <cell r="E432" t="str">
            <v>THEMIS AUTOMATION</v>
          </cell>
          <cell r="F432"/>
        </row>
        <row r="433">
          <cell r="B433" t="str">
            <v>PNLU011NA00400</v>
          </cell>
          <cell r="C433" t="str">
            <v>40 HP TW VFD + ACT VFD + SOLAR PDB -JJM</v>
          </cell>
          <cell r="D433" t="str">
            <v>40 HP TW VFD + ACT VFD + SOLAR PDB -JJM</v>
          </cell>
          <cell r="E433" t="str">
            <v>THEMIS AUTOMATION</v>
          </cell>
          <cell r="F433"/>
        </row>
        <row r="434">
          <cell r="B434" t="str">
            <v>PNLV001KP00801</v>
          </cell>
          <cell r="C434" t="str">
            <v>iCL + iTU TRANSMITTER ACRYLIC PANEL-JJM</v>
          </cell>
          <cell r="D434" t="str">
            <v>iCL + iTU TRANSMITTER ACRYLIC PANEL-JJM</v>
          </cell>
          <cell r="E434" t="str">
            <v>KAIVAL PRODUCTS</v>
          </cell>
          <cell r="F434"/>
        </row>
        <row r="435">
          <cell r="B435" t="str">
            <v>STAA003PA01200</v>
          </cell>
          <cell r="C435" t="str">
            <v>65*13 MM PT LABEL - JJM</v>
          </cell>
          <cell r="D435" t="str">
            <v>65*13 MM PT LABEL - JJM</v>
          </cell>
          <cell r="E435" t="str">
            <v>PARVANAI LABELS</v>
          </cell>
          <cell r="F435"/>
        </row>
        <row r="436">
          <cell r="B436" t="str">
            <v>STAA004PA01300</v>
          </cell>
          <cell r="C436" t="str">
            <v>45*25 MM HPT LABEL -JJM</v>
          </cell>
          <cell r="D436" t="str">
            <v>45*25 MM HPT LABEL -JJM</v>
          </cell>
          <cell r="E436" t="str">
            <v>PARVANAI LABELS</v>
          </cell>
          <cell r="F436"/>
        </row>
        <row r="437">
          <cell r="B437" t="str">
            <v>PNLV002KP00101</v>
          </cell>
          <cell r="C437" t="str">
            <v>RTU 1000 ACRYLIC BOX PANEL</v>
          </cell>
          <cell r="D437" t="str">
            <v>RTU 1000 ACRYLIC BOX PANEL FOR TEST LAB SAKAR IV</v>
          </cell>
          <cell r="E437" t="str">
            <v>KAIVAL PRODUCT</v>
          </cell>
          <cell r="F437"/>
        </row>
        <row r="438">
          <cell r="B438" t="str">
            <v>UPSB100IB00601</v>
          </cell>
          <cell r="C438" t="str">
            <v>UPS IBALL NIRANTAR 622 - OFFLINE 1 PHASE 600 VA</v>
          </cell>
          <cell r="D438" t="str">
            <v>UPS I BALL MAKE 600 VA</v>
          </cell>
          <cell r="E438" t="str">
            <v>IBALL</v>
          </cell>
          <cell r="F438" t="str">
            <v>iBALL NIRANTAR 622</v>
          </cell>
        </row>
        <row r="439">
          <cell r="B439" t="str">
            <v>HMIA007UN00403</v>
          </cell>
          <cell r="C439" t="str">
            <v xml:space="preserve">HMI 7 " UNIMAT </v>
          </cell>
          <cell r="D439" t="str">
            <v>HMI 7" UNIMAT WINA ENAERNET PORT</v>
          </cell>
          <cell r="E439" t="str">
            <v>UNIMAT</v>
          </cell>
          <cell r="F439" t="str">
            <v>UH407E,UH-407-4EU01-0AA0 WINA ENAERNET</v>
          </cell>
        </row>
        <row r="440">
          <cell r="B440" t="str">
            <v>SERE001PQ81040</v>
          </cell>
          <cell r="C440" t="str">
            <v>PROJECT 8104 PNC PT CERIFICATION -JJM</v>
          </cell>
          <cell r="D440" t="str">
            <v>PRESSURE TRANSMITTER CERTIFICATION</v>
          </cell>
          <cell r="E440" t="str">
            <v>PQS CERTIFCATION</v>
          </cell>
          <cell r="F440"/>
        </row>
        <row r="441">
          <cell r="B441" t="str">
            <v>SERE101PQ81040</v>
          </cell>
          <cell r="C441" t="str">
            <v>PROJECT 8104 HYDRO STATIC LEVEL TRANSMITTER CERTIFICATION-JJM</v>
          </cell>
          <cell r="D441" t="str">
            <v>HYDRO STATIC LEVEL TRANSMITTER CERITIFICATION</v>
          </cell>
          <cell r="E441" t="str">
            <v>PQS CERTIFCATION</v>
          </cell>
          <cell r="F441"/>
        </row>
        <row r="442">
          <cell r="B442" t="str">
            <v>SERE203PQ81040</v>
          </cell>
          <cell r="C442" t="str">
            <v>PROJECT 8104 RADAR LEVER TRANSMITTER CERTIFICATION-JJM</v>
          </cell>
          <cell r="D442" t="str">
            <v>RADAR TYPE LEVEL TRANSMITTER CERTIFICATION</v>
          </cell>
          <cell r="E442" t="str">
            <v>PQS CERTIFCATION</v>
          </cell>
          <cell r="F442"/>
        </row>
        <row r="443">
          <cell r="B443" t="str">
            <v>ELAD005VS00000</v>
          </cell>
          <cell r="C443" t="str">
            <v>PG 13.5 PVC CABLE GLAND</v>
          </cell>
          <cell r="D443" t="str">
            <v>PG 13.5 PVC CABLE GLAND</v>
          </cell>
          <cell r="E443" t="str">
            <v>VIDHYUT SALES CORPORATION</v>
          </cell>
          <cell r="F443"/>
        </row>
        <row r="444">
          <cell r="B444" t="str">
            <v>ELAC002VS00000</v>
          </cell>
          <cell r="C444" t="str">
            <v>2.5 GREY TERMINAL</v>
          </cell>
          <cell r="D444" t="str">
            <v>2.5 GREY TERMINAL BLOCK</v>
          </cell>
          <cell r="E444" t="str">
            <v>VIDHYUT SALES CORPORATION</v>
          </cell>
          <cell r="F444"/>
        </row>
        <row r="445">
          <cell r="B445" t="str">
            <v>ELAC003VS00000</v>
          </cell>
          <cell r="C445" t="str">
            <v>2.5 END PLATE</v>
          </cell>
          <cell r="D445" t="str">
            <v>2.5 END PLATE FOR TERMINAL BLOCK</v>
          </cell>
          <cell r="E445" t="str">
            <v>VIDHYUT SALES CORPORATION</v>
          </cell>
          <cell r="F445"/>
        </row>
        <row r="446">
          <cell r="B446" t="str">
            <v>ELAF001VS00200</v>
          </cell>
          <cell r="C446" t="str">
            <v>DIN RAIL MCB CHANNEL TRINITTY TOUCH MAKE</v>
          </cell>
          <cell r="D446" t="str">
            <v xml:space="preserve">DIN RAIL CHANNEL </v>
          </cell>
          <cell r="E446" t="str">
            <v>VIDHYUT SALES CORPORATION</v>
          </cell>
          <cell r="F446"/>
        </row>
        <row r="447">
          <cell r="B447" t="str">
            <v>ELAB023VS00000</v>
          </cell>
          <cell r="C447" t="str">
            <v>0.5 SQ MM END SLEEVE LUGS</v>
          </cell>
          <cell r="D447" t="str">
            <v>0.5 SQ MM END SLEEVE LUGS</v>
          </cell>
          <cell r="E447" t="str">
            <v>VIDHYUT SALES CORPORATION</v>
          </cell>
          <cell r="F447"/>
        </row>
        <row r="448">
          <cell r="B448" t="str">
            <v>CABF102PO00003</v>
          </cell>
          <cell r="C448" t="str">
            <v>CABLE 0.5 SQ MM 1 CORE POLY CAB</v>
          </cell>
          <cell r="D448" t="str">
            <v>0.5 SQ MM 1 CORE FLEXIBLE POLYCAB MAKE CABLE</v>
          </cell>
          <cell r="E448" t="str">
            <v>VIDHYUT SALES CORPORATION</v>
          </cell>
          <cell r="F448"/>
        </row>
        <row r="449">
          <cell r="B449" t="str">
            <v>LVLE050MI00703</v>
          </cell>
          <cell r="C449" t="str">
            <v xml:space="preserve">HYDROSTATIC PRESSURE TRANSMITTER 0 TO 50 MTR </v>
          </cell>
          <cell r="D449" t="str">
            <v>HYDROSTATIC PRESSURE TRANSMITTER 0 TO 50 MTR  VENTED</v>
          </cell>
          <cell r="E449" t="str">
            <v>MICROSENSOR</v>
          </cell>
          <cell r="F449" t="str">
            <v>iHLT-50-V1-E-02-N</v>
          </cell>
        </row>
        <row r="450">
          <cell r="B450" t="str">
            <v>PRTA010MI00701</v>
          </cell>
          <cell r="C450" t="str">
            <v>0 TO 10 BAR PRESSURE TRANSMITTER</v>
          </cell>
          <cell r="D450" t="str">
            <v>MICROSENSOR MAKE 0 TO 10 BAR PRESSURE TRANSMITTER WINA INBUILT DISPLAY</v>
          </cell>
          <cell r="E450" t="str">
            <v>MICROSENSOR</v>
          </cell>
          <cell r="F450" t="str">
            <v>iPT-10-E-24-C1-G-D</v>
          </cell>
        </row>
        <row r="451">
          <cell r="B451" t="str">
            <v>PRNA016SI00801</v>
          </cell>
          <cell r="C451" t="str">
            <v xml:space="preserve">0 TO 16 BAR </v>
          </cell>
          <cell r="D451" t="str">
            <v>SIEMENS MAKE 0 TO 16 BAR PRESSURE TRANSMITTER GAUGE PRESSURE HART TYPE</v>
          </cell>
          <cell r="E451" t="str">
            <v>SIEMENS</v>
          </cell>
          <cell r="F451" t="str">
            <v>7MF0300-1TE01-5AM2-Z A00+E00+H01</v>
          </cell>
        </row>
        <row r="452">
          <cell r="B452" t="str">
            <v>SERF007VR81040</v>
          </cell>
          <cell r="C452" t="str">
            <v>PROJECT 8104 -SAKAR 4 RO WATER SERVICE CHARGE</v>
          </cell>
          <cell r="D452" t="str">
            <v>RO WATER MACHINE SERVICE CHARGE AT SAKAR IV</v>
          </cell>
          <cell r="E452" t="str">
            <v>VIHAAN RO SERVICE</v>
          </cell>
          <cell r="F452"/>
        </row>
        <row r="453">
          <cell r="B453" t="str">
            <v>CABF602PO00007</v>
          </cell>
          <cell r="C453" t="str">
            <v>CABLE 1.5 SQ MM 6 CORE POLY CAB</v>
          </cell>
          <cell r="D453" t="str">
            <v>CABF602PO00007</v>
          </cell>
          <cell r="E453" t="str">
            <v>POLYCAB</v>
          </cell>
          <cell r="F453" t="str">
            <v>PARIKH SWITCHGEAR</v>
          </cell>
        </row>
        <row r="454">
          <cell r="B454" t="str">
            <v>LVLC001BE00801</v>
          </cell>
          <cell r="C454" t="str">
            <v>RADAR LEVEL TRANSMITTER 0 TO 15 MTR</v>
          </cell>
          <cell r="D454" t="str">
            <v>RADAR LEVEL TRANSMITTER 0 TO  15 MTR 2 WIRE TYPE - JJM</v>
          </cell>
          <cell r="E454" t="str">
            <v>BEIJING GALLOP HIGH &amp; NEW TECH CO LTD</v>
          </cell>
          <cell r="F454" t="str">
            <v>iRLT-15-E-11</v>
          </cell>
        </row>
        <row r="455">
          <cell r="B455" t="str">
            <v>PPAO009CI01300</v>
          </cell>
          <cell r="C455" t="str">
            <v xml:space="preserve">SOLAR VFD CIMCON MAKE 3 HP </v>
          </cell>
          <cell r="D455" t="str">
            <v>SOLAR VFD CIMCON MAKE 3 HP -JJM</v>
          </cell>
          <cell r="E455" t="str">
            <v>CIMCON</v>
          </cell>
          <cell r="F455" t="str">
            <v>FR150T-4T-4.B-H</v>
          </cell>
        </row>
        <row r="456">
          <cell r="B456" t="str">
            <v>PPAO010CI01400</v>
          </cell>
          <cell r="C456" t="str">
            <v>SOLAR VFD CIMCON MAKE  5 HP</v>
          </cell>
          <cell r="D456" t="str">
            <v>SOLAR VFD CIMCON MAKE 5 HP - JJM</v>
          </cell>
          <cell r="E456" t="str">
            <v>CIMCON</v>
          </cell>
          <cell r="F456" t="str">
            <v>iVFD-4T-2.2-CIMCON</v>
          </cell>
        </row>
        <row r="457">
          <cell r="B457" t="str">
            <v>ELAG001VS00000</v>
          </cell>
          <cell r="C457" t="str">
            <v>SPIRAL 3X8 (9 MM) BLACK</v>
          </cell>
          <cell r="D457" t="str">
            <v>SPIRAL FOR FLEXIBLE CABEL  3X8 (9 MM ) BLACK</v>
          </cell>
          <cell r="E457" t="str">
            <v>VIDHYUT SALES CORPORATION</v>
          </cell>
          <cell r="F457"/>
        </row>
        <row r="458">
          <cell r="B458" t="str">
            <v>F</v>
          </cell>
          <cell r="C458" t="str">
            <v xml:space="preserve">CREDAL 19X19 MM </v>
          </cell>
          <cell r="D458" t="str">
            <v xml:space="preserve">CREDAL STICKER FOR PANEL </v>
          </cell>
          <cell r="E458" t="str">
            <v>VIDHYUT SALES CORPORATION</v>
          </cell>
          <cell r="F458"/>
        </row>
        <row r="459">
          <cell r="B459" t="str">
            <v>ELAU101TR00000</v>
          </cell>
          <cell r="C459" t="str">
            <v>EARTHING ELECTRODE WINA BFC BAG 17.2</v>
          </cell>
          <cell r="D459" t="str">
            <v>EARTHING RODE WINA BFC BAG 17.2/3 MM</v>
          </cell>
          <cell r="E459" t="str">
            <v>TRUE POWER LIMITED</v>
          </cell>
          <cell r="F459"/>
        </row>
        <row r="460">
          <cell r="B460" t="str">
            <v>ELAU201TR00000</v>
          </cell>
          <cell r="C460" t="str">
            <v>EARTHING PIT COVER SMALL POLYPLAST</v>
          </cell>
          <cell r="D460" t="str">
            <v>EARTHING PIT COVER POLYPLAST SMALL SIZE</v>
          </cell>
          <cell r="E460" t="str">
            <v>TRUE POWER LIMITED</v>
          </cell>
          <cell r="F460"/>
        </row>
        <row r="461">
          <cell r="B461" t="str">
            <v>ITSO0040200000</v>
          </cell>
          <cell r="C461" t="str">
            <v>FIELD SENSE SUPPORT FOR SITE PERSON REPORTING</v>
          </cell>
          <cell r="D461" t="str">
            <v>FIELD SENSE SUPPORT FOR SITE PERSON REPORTING</v>
          </cell>
          <cell r="E461" t="str">
            <v>TQS</v>
          </cell>
          <cell r="F461"/>
        </row>
        <row r="462">
          <cell r="B462" t="str">
            <v>ITSO0050200000</v>
          </cell>
          <cell r="C462" t="str">
            <v>FIELD SENSE SOFTWARE FOR SITE PERSON REPORTING</v>
          </cell>
          <cell r="D462" t="str">
            <v>FIELD SENSE SOFTWARE SETUP FOR SITE PERSON REPORTING</v>
          </cell>
          <cell r="E462" t="str">
            <v>TQS</v>
          </cell>
          <cell r="F462"/>
        </row>
        <row r="463">
          <cell r="B463" t="str">
            <v>EFMF004MI00302</v>
          </cell>
          <cell r="C463" t="str">
            <v>100 MM FULL BORE FLOWTECH FLOW METER</v>
          </cell>
          <cell r="D463" t="str">
            <v>100 MM FULL BORE FLOW METER WINA 15 MTR CABLE REMOT TYPE</v>
          </cell>
          <cell r="E463" t="str">
            <v>MICROSENSOR</v>
          </cell>
          <cell r="F463" t="str">
            <v>MFE600Z-AS0-100-103-1</v>
          </cell>
        </row>
        <row r="464">
          <cell r="B464" t="str">
            <v>MISF001CH00000</v>
          </cell>
          <cell r="C464" t="str">
            <v xml:space="preserve">SODIYAM HYPOCHLORIDE </v>
          </cell>
          <cell r="D464" t="str">
            <v>SODIYAM HYPOCHLORIDE FOR CHLORINE TESTING AT SAKAR IV LAB</v>
          </cell>
          <cell r="E464" t="str">
            <v>CHEMLINK CORPORATION</v>
          </cell>
          <cell r="F464"/>
        </row>
        <row r="465">
          <cell r="B465" t="str">
            <v>MISF002CH00000</v>
          </cell>
          <cell r="C465" t="str">
            <v>DISTILLED WATER</v>
          </cell>
          <cell r="D465" t="str">
            <v>DISTILLED WATER FOR TURBIDITY TESTING AT SAKAR IV LAB</v>
          </cell>
          <cell r="E465" t="str">
            <v>CHEMLINK CORPORATION</v>
          </cell>
          <cell r="F465"/>
        </row>
        <row r="466">
          <cell r="B466" t="str">
            <v>ELAA075KS00005</v>
          </cell>
          <cell r="C466" t="str">
            <v>75 MM CABLE TIE KSS WHITE</v>
          </cell>
          <cell r="D466" t="str">
            <v>75 MM CABLE TIE KSS WHITE</v>
          </cell>
          <cell r="E466" t="str">
            <v>VIDHYUT SALES</v>
          </cell>
          <cell r="F466"/>
        </row>
        <row r="467">
          <cell r="B467" t="str">
            <v>ELAV001NO00306</v>
          </cell>
          <cell r="C467" t="str">
            <v>SOLAR LED STEET LIGHT 18W SEMI INTEGRATED</v>
          </cell>
          <cell r="D467" t="str">
            <v>SOLAR LED STEET LIGHT 18W SEMI INTEGRATED,CHARGER CONTROLLER MPPT BATTERY 12.8V/18AH  SOLAR PANEL 60W</v>
          </cell>
          <cell r="E467" t="str">
            <v>NOTION ELECTRONICS PVT LTD</v>
          </cell>
          <cell r="F467" t="str">
            <v>NE1401-18W</v>
          </cell>
        </row>
        <row r="468">
          <cell r="B468" t="str">
            <v>SERF008KV40730</v>
          </cell>
          <cell r="C468" t="str">
            <v xml:space="preserve">PROJECT 4073 PRINTER REPAIRING </v>
          </cell>
          <cell r="D468" t="str">
            <v>PRINTER REPAIRING SERVICE CHARGES</v>
          </cell>
          <cell r="E468" t="str">
            <v>KV TECHNOLOGY</v>
          </cell>
          <cell r="F468"/>
        </row>
        <row r="469">
          <cell r="B469" t="str">
            <v>ITAP002BR02100</v>
          </cell>
          <cell r="C469" t="str">
            <v>BRONAER PRINTER CARTRIDGE TN263</v>
          </cell>
          <cell r="D469" t="str">
            <v xml:space="preserve">BRONAER PRINTER CARTRIDGE COLOUR </v>
          </cell>
          <cell r="E469" t="str">
            <v>KV TECHNOLOGY</v>
          </cell>
          <cell r="F469"/>
        </row>
        <row r="470">
          <cell r="B470" t="str">
            <v>ELAD006AE00000</v>
          </cell>
          <cell r="C470" t="str">
            <v>PG 7 PVC CABLE GLAND</v>
          </cell>
          <cell r="D470" t="str">
            <v>PG 7 PVC CABLE GLAND</v>
          </cell>
          <cell r="E470" t="str">
            <v>ADISHWAR ELECTRICAL</v>
          </cell>
          <cell r="F470"/>
        </row>
        <row r="471">
          <cell r="B471" t="str">
            <v>ELAD007AE00000</v>
          </cell>
          <cell r="C471" t="str">
            <v>PG 9 PVC CABLE GLAND</v>
          </cell>
          <cell r="D471" t="str">
            <v>PG 9 PVC CABLE GLAND</v>
          </cell>
          <cell r="E471" t="str">
            <v>ADISHWAR ELECTRICAL</v>
          </cell>
          <cell r="F471"/>
        </row>
        <row r="472">
          <cell r="B472" t="str">
            <v>MISF003CH00000</v>
          </cell>
          <cell r="C472" t="str">
            <v>MAGNETIC STIRRER WINA HOTPLATE 2 LTR</v>
          </cell>
          <cell r="D472" t="str">
            <v>MAGNETIC STIRRER WINA HOTPLATE 2 LTR</v>
          </cell>
          <cell r="E472" t="str">
            <v>CHEMLINK CORPORATION</v>
          </cell>
          <cell r="F472"/>
        </row>
        <row r="473">
          <cell r="B473" t="str">
            <v>MISF004CH00000</v>
          </cell>
          <cell r="C473" t="str">
            <v>MAGNET PTFE</v>
          </cell>
          <cell r="D473" t="str">
            <v>MAGNET PTFE</v>
          </cell>
          <cell r="E473" t="str">
            <v>CHEMLINK CORPORATION</v>
          </cell>
          <cell r="F473"/>
        </row>
        <row r="474">
          <cell r="B474" t="str">
            <v>MISF005DP00000</v>
          </cell>
          <cell r="C474" t="str">
            <v>GRAD.PIPETTE 10 ML LALCO</v>
          </cell>
          <cell r="D474" t="str">
            <v>GRAD.PIPETTE 10 ML LALCO</v>
          </cell>
          <cell r="E474" t="str">
            <v>D.P LAB INSTRUMENTS</v>
          </cell>
          <cell r="F474"/>
        </row>
        <row r="475">
          <cell r="B475" t="str">
            <v>MISF006DP00000</v>
          </cell>
          <cell r="C475" t="str">
            <v>CONICAL 250 ML</v>
          </cell>
          <cell r="D475" t="str">
            <v>CONICAL 250 ML</v>
          </cell>
          <cell r="E475" t="str">
            <v>D.P LAB INSTRUMENTS</v>
          </cell>
          <cell r="F475"/>
        </row>
        <row r="476">
          <cell r="B476" t="str">
            <v>MISF007DP00000</v>
          </cell>
          <cell r="C476" t="str">
            <v>CONICAL 500 ML</v>
          </cell>
          <cell r="D476" t="str">
            <v>CONICAL 500 ML</v>
          </cell>
          <cell r="E476" t="str">
            <v>D.P LAB INSTRUMENTS</v>
          </cell>
          <cell r="F476"/>
        </row>
        <row r="477">
          <cell r="B477" t="str">
            <v>MISF008DP00000</v>
          </cell>
          <cell r="C477" t="str">
            <v>CONICAL 1000 ML</v>
          </cell>
          <cell r="D477" t="str">
            <v>CONICAL 1000 ML</v>
          </cell>
          <cell r="E477" t="str">
            <v>D.P LAB INSTRUMENTS</v>
          </cell>
          <cell r="F477"/>
        </row>
        <row r="478">
          <cell r="B478" t="str">
            <v>MISF009DP00000</v>
          </cell>
          <cell r="C478" t="str">
            <v>BEAKER 500 ML LALCO</v>
          </cell>
          <cell r="D478" t="str">
            <v>BEAKER 500 ML LALCO</v>
          </cell>
          <cell r="E478" t="str">
            <v>D.P LAB INSTRUMENTS</v>
          </cell>
          <cell r="F478"/>
        </row>
        <row r="479">
          <cell r="B479" t="str">
            <v>MISF010DP00000</v>
          </cell>
          <cell r="C479" t="str">
            <v>BEAKER 1000 ML LALCO</v>
          </cell>
          <cell r="D479" t="str">
            <v>BEAKER 1000 ML LALCO</v>
          </cell>
          <cell r="E479" t="str">
            <v>D.P LAB INSTRUMENTS</v>
          </cell>
          <cell r="F479"/>
        </row>
        <row r="480">
          <cell r="B480" t="str">
            <v>PLAS003WE00000</v>
          </cell>
          <cell r="C480" t="str">
            <v>PU CONNECTOR 1/2" 10 MM</v>
          </cell>
          <cell r="D480" t="str">
            <v>PU CONNECTOR 1/2" 10 MM</v>
          </cell>
          <cell r="E480" t="str">
            <v>WELLWORNA</v>
          </cell>
          <cell r="F480"/>
        </row>
        <row r="481">
          <cell r="B481" t="str">
            <v>PLAC109WE00011</v>
          </cell>
          <cell r="C481" t="str">
            <v>SS BAR STOCK NEEDLE VALVE -3/8"</v>
          </cell>
          <cell r="D481" t="str">
            <v>SS BAR STOCK NEEDLE VALVE-3/8"</v>
          </cell>
          <cell r="E481" t="str">
            <v>WELLWORNA</v>
          </cell>
          <cell r="F481"/>
        </row>
        <row r="482">
          <cell r="B482" t="str">
            <v>PLAC110WE00000</v>
          </cell>
          <cell r="C482" t="str">
            <v>SS 304 HEX NIPPLE BSP 1/4"</v>
          </cell>
          <cell r="D482" t="str">
            <v>SS 304 HE NUPPLE BSP 1/4"</v>
          </cell>
          <cell r="E482" t="str">
            <v>WELLWORNA</v>
          </cell>
          <cell r="F482"/>
        </row>
        <row r="483">
          <cell r="B483" t="str">
            <v>WQACLT001SH003</v>
          </cell>
          <cell r="C483" t="str">
            <v>CHLORINE SENSOR &amp; TRANSMITTER  0 TO 20 mg/l</v>
          </cell>
          <cell r="D483" t="str">
            <v>CHLORINE SENSOR &amp; TRANSMITTER  0 TO 20 mg/l</v>
          </cell>
          <cell r="E483" t="str">
            <v>SHANGHAI LANCHANG AUTO TECHNOLOGY  CO. LTD</v>
          </cell>
          <cell r="F483"/>
        </row>
        <row r="484">
          <cell r="B484" t="str">
            <v>WQATUT001SH004</v>
          </cell>
          <cell r="C484" t="str">
            <v>TURBIDITY SENSOR &amp; TRANSMITTER 0 TO 400 NTU</v>
          </cell>
          <cell r="D484" t="str">
            <v>TURBIDITY SENSOR &amp; TRANSMITTER 0 TO 400 NTU</v>
          </cell>
          <cell r="E484" t="str">
            <v>SHANGHAI LANCHANG AUTO TECHNOLOGY  CO. LTD</v>
          </cell>
          <cell r="F484"/>
        </row>
        <row r="485">
          <cell r="B485" t="str">
            <v>ITAP003BR02200</v>
          </cell>
          <cell r="C485" t="str">
            <v>BRONAER PRINTER DCP-B7535 DW</v>
          </cell>
          <cell r="D485" t="str">
            <v>BRONAER PIRNTER DCP-B7535 DW</v>
          </cell>
          <cell r="E485" t="str">
            <v>RAJAT SYSTEM SERVICES</v>
          </cell>
          <cell r="F485" t="str">
            <v>BRONAER DCP-B7535 DW</v>
          </cell>
        </row>
        <row r="486">
          <cell r="B486" t="str">
            <v>MISF011SH00000</v>
          </cell>
          <cell r="C486" t="str">
            <v>SENSOR TESTING ADOPTER</v>
          </cell>
          <cell r="D486" t="str">
            <v>SENSOR TESTING ADOPTER FOR HPT</v>
          </cell>
          <cell r="E486" t="str">
            <v>SHREEJI INSTRUMENT</v>
          </cell>
          <cell r="F486"/>
        </row>
        <row r="487">
          <cell r="B487" t="str">
            <v>MISF012CH00000</v>
          </cell>
          <cell r="C487" t="str">
            <v>4000 NTU SOLUTIION STANDARD</v>
          </cell>
          <cell r="D487" t="str">
            <v>4000 NTU SOLUTION STANDARD</v>
          </cell>
          <cell r="E487" t="str">
            <v>CHEMLINK CORPORATION</v>
          </cell>
          <cell r="F487"/>
        </row>
        <row r="488">
          <cell r="B488" t="str">
            <v>ITAZ001HI00000</v>
          </cell>
          <cell r="C488" t="str">
            <v xml:space="preserve">IP  DOM CAMERA 2 MP  4 MM </v>
          </cell>
          <cell r="D488" t="str">
            <v xml:space="preserve">IP DOM CAMERA 2 MP 4 MM </v>
          </cell>
          <cell r="E488" t="str">
            <v>HIKVISIION</v>
          </cell>
          <cell r="F488"/>
        </row>
        <row r="489">
          <cell r="B489" t="str">
            <v>ITAZ002HI00000</v>
          </cell>
          <cell r="C489" t="str">
            <v>IP BULLET CAMERA 2 MP 4 MM</v>
          </cell>
          <cell r="D489" t="str">
            <v>IP BULLET CAMERA 2 MP 4 MM</v>
          </cell>
          <cell r="E489" t="str">
            <v>HIKVISION</v>
          </cell>
          <cell r="F489"/>
        </row>
        <row r="490">
          <cell r="B490" t="str">
            <v>ITAZ101HI00000</v>
          </cell>
          <cell r="C490" t="str">
            <v>4 CH NVR -</v>
          </cell>
          <cell r="D490" t="str">
            <v>NVR 4 CH-DS-7P04NI-Q1</v>
          </cell>
          <cell r="E490" t="str">
            <v>HIKVISION</v>
          </cell>
          <cell r="F490" t="str">
            <v>DS-7P04NI-Q1</v>
          </cell>
        </row>
        <row r="491">
          <cell r="B491" t="str">
            <v>ITAZ201ST00000</v>
          </cell>
          <cell r="C491" t="str">
            <v>I TB HARD DISK WD PURPLE</v>
          </cell>
          <cell r="D491" t="str">
            <v>1 TB HARD DISK WD PURPLE</v>
          </cell>
          <cell r="E491" t="str">
            <v>STANDARD</v>
          </cell>
          <cell r="F491"/>
        </row>
        <row r="492">
          <cell r="B492" t="str">
            <v>ITAZ301ST00000</v>
          </cell>
          <cell r="C492" t="str">
            <v>POE SWITCH - 4 PORT WEB SMART</v>
          </cell>
          <cell r="D492" t="str">
            <v>POE SWITCH - 4 PORT WEB SMART</v>
          </cell>
          <cell r="E492" t="str">
            <v>STANDARD</v>
          </cell>
          <cell r="F492"/>
        </row>
        <row r="493">
          <cell r="B493" t="str">
            <v>ITAB003DL00000</v>
          </cell>
          <cell r="C493" t="str">
            <v>D-LINK CAT 6 305 MTR CABLE</v>
          </cell>
          <cell r="D493" t="str">
            <v>D-LINK CAT-6 CABLE 305 MTR</v>
          </cell>
          <cell r="E493" t="str">
            <v>D-LINK</v>
          </cell>
          <cell r="F493"/>
        </row>
        <row r="494">
          <cell r="B494" t="str">
            <v>ITAB004DL00000</v>
          </cell>
          <cell r="C494" t="str">
            <v>RJ 45 CONNECTOR</v>
          </cell>
          <cell r="D494" t="str">
            <v>RJ 45 CONNECTOR</v>
          </cell>
          <cell r="E494" t="str">
            <v>D-LINK</v>
          </cell>
          <cell r="F494"/>
        </row>
        <row r="495">
          <cell r="B495" t="str">
            <v>ITAZ004ST00000</v>
          </cell>
          <cell r="C495" t="str">
            <v>OUTDOOR JUNCTION BOX - JB</v>
          </cell>
          <cell r="D495" t="str">
            <v>OUTDOOR JUNCTION BOX-JB FOR CAMERA</v>
          </cell>
          <cell r="E495" t="str">
            <v>STANDARD</v>
          </cell>
          <cell r="F495"/>
        </row>
        <row r="496">
          <cell r="B496" t="str">
            <v>ITAY003ST00000</v>
          </cell>
          <cell r="C496" t="str">
            <v xml:space="preserve">LED 32 " MONITOR </v>
          </cell>
          <cell r="D496" t="str">
            <v>LED 32" MONITOR FOR CAMERA</v>
          </cell>
          <cell r="E496" t="str">
            <v>STANDARD</v>
          </cell>
          <cell r="F496"/>
        </row>
        <row r="497">
          <cell r="B497" t="str">
            <v>SERB000NE81040</v>
          </cell>
          <cell r="C497" t="str">
            <v>PROJECT 8104 CAMERA INSTALLATION AT PILIBHIT OFFICE</v>
          </cell>
          <cell r="D497" t="str">
            <v>PROJECT 8104 CAMERA INSTALLATION AT PILIBHIT OFFICE</v>
          </cell>
          <cell r="E497" t="str">
            <v>NEXUS INFOTECH</v>
          </cell>
          <cell r="F497"/>
        </row>
        <row r="498">
          <cell r="B498" t="str">
            <v>ITAZ202ST00000</v>
          </cell>
          <cell r="C498" t="str">
            <v>2 TB HARD DISK WD PURPLE</v>
          </cell>
          <cell r="D498" t="str">
            <v>2 TB HARD DISK WD PURPLE</v>
          </cell>
          <cell r="E498" t="str">
            <v>STANDARD</v>
          </cell>
          <cell r="F498"/>
        </row>
        <row r="499">
          <cell r="B499" t="str">
            <v>ITAZ302ST00000</v>
          </cell>
          <cell r="C499" t="str">
            <v>POE SWITCH - 8 PORT WEB SMART</v>
          </cell>
          <cell r="D499" t="str">
            <v>POE SWITCH - 8 PORT WEB SMART</v>
          </cell>
          <cell r="E499" t="str">
            <v>STANDARD</v>
          </cell>
          <cell r="F499"/>
        </row>
        <row r="500">
          <cell r="B500" t="str">
            <v>ITAY004CP00000</v>
          </cell>
          <cell r="C500" t="str">
            <v>LED 19" MONITOR</v>
          </cell>
          <cell r="D500" t="str">
            <v>LED 19 " MONITOR</v>
          </cell>
          <cell r="E500" t="str">
            <v>CP-PLUS</v>
          </cell>
          <cell r="F500"/>
        </row>
        <row r="501">
          <cell r="B501" t="str">
            <v>ITAZ401ST00000</v>
          </cell>
          <cell r="C501" t="str">
            <v>RACK 4U-TOPRACKS</v>
          </cell>
          <cell r="D501" t="str">
            <v>RACK-4U -FOR NVR TOP RACKS</v>
          </cell>
          <cell r="E501" t="str">
            <v>STANDARD</v>
          </cell>
          <cell r="F501"/>
        </row>
        <row r="502">
          <cell r="B502" t="str">
            <v>UPSA101BP00001</v>
          </cell>
          <cell r="C502" t="str">
            <v xml:space="preserve">UPS BPE 1 KVA </v>
          </cell>
          <cell r="D502" t="str">
            <v>UPS BPE 1 KVA ONLINE</v>
          </cell>
          <cell r="E502" t="str">
            <v>BPE</v>
          </cell>
          <cell r="F502"/>
        </row>
        <row r="503">
          <cell r="B503" t="str">
            <v>ITAD007HP02300</v>
          </cell>
          <cell r="C503" t="str">
            <v>HP2367IL i3/4GB/1TB/20"/WIN11</v>
          </cell>
          <cell r="D503" t="str">
            <v>HP2367IL i3/4GB/1TB/20"/WIN11 DESKTOP COMPUTER</v>
          </cell>
          <cell r="E503" t="str">
            <v>HP</v>
          </cell>
          <cell r="F503"/>
        </row>
        <row r="504">
          <cell r="B504" t="str">
            <v>SERE204TL81040</v>
          </cell>
          <cell r="C504" t="str">
            <v>VERNIER CALIPER (0 TO 300 MM (0.02 MM))</v>
          </cell>
          <cell r="D504" t="str">
            <v>CALIBRATION OF VERNIER CALIPER</v>
          </cell>
          <cell r="E504" t="str">
            <v>TESLA</v>
          </cell>
          <cell r="F504"/>
        </row>
        <row r="505">
          <cell r="B505" t="str">
            <v>SERE205TL81040</v>
          </cell>
          <cell r="C505" t="str">
            <v>MEASURING STEEL TAPE (0 TO 10.000 MM)</v>
          </cell>
          <cell r="D505" t="str">
            <v>CALIBRATION OF MEASURING STEEL TAPE</v>
          </cell>
          <cell r="E505" t="str">
            <v>TESLA</v>
          </cell>
          <cell r="F505"/>
        </row>
        <row r="506">
          <cell r="B506" t="str">
            <v>SERE206TL81040</v>
          </cell>
          <cell r="C506" t="str">
            <v>DIGITAL mV/mA CALIBRATOR (LOOP cALIBRATOR) (0 TO 24V/0 TO 22 Ma DC)</v>
          </cell>
          <cell r="D506" t="str">
            <v>CALIBRATION OF DIGITAL SOURCE FOR 4 TO 20 MA  &amp; DC VOLT</v>
          </cell>
          <cell r="E506" t="str">
            <v>TESLA</v>
          </cell>
          <cell r="F506"/>
        </row>
        <row r="507">
          <cell r="B507" t="str">
            <v>SERE207TL81040</v>
          </cell>
          <cell r="C507" t="str">
            <v>PRESSURE TRANSMITTER (0TO53 BAR(0.001 BAR)), N1N10410134441</v>
          </cell>
          <cell r="D507" t="str">
            <v>CALIBRATION OF PRESSURE TRANSMITTER</v>
          </cell>
          <cell r="E507" t="str">
            <v>TESLA</v>
          </cell>
          <cell r="F507"/>
        </row>
        <row r="508">
          <cell r="B508" t="str">
            <v>SERE208TL81040</v>
          </cell>
          <cell r="C508" t="str">
            <v>PIPETTES GRADUATED (0 TO 10 ML/0.1 ML) ,PIPETTE_10 ML-02</v>
          </cell>
          <cell r="D508" t="str">
            <v xml:space="preserve">CALIBRATION OF PIPETTES GRADUATED FOR LAB </v>
          </cell>
          <cell r="E508" t="str">
            <v>TESLA</v>
          </cell>
          <cell r="F508"/>
        </row>
        <row r="509">
          <cell r="B509" t="str">
            <v>SERE209TL81040</v>
          </cell>
          <cell r="C509" t="str">
            <v>PIPETTES GRADUATED (0 TO 10 ML/0.1 ML) ,PIPETTE_10 ML-01</v>
          </cell>
          <cell r="D509" t="str">
            <v xml:space="preserve">CALIBRATION OF PIPETTES GRADUATED FOR LAB </v>
          </cell>
          <cell r="E509" t="str">
            <v>TESLA</v>
          </cell>
          <cell r="F509"/>
        </row>
        <row r="510">
          <cell r="B510" t="str">
            <v>SERE210TL81040</v>
          </cell>
          <cell r="C510" t="str">
            <v>CONICAL FLASK (1000 ml (200-1000 ml IN STEP 200 ml) FLASK_1000 ml</v>
          </cell>
          <cell r="D510" t="str">
            <v xml:space="preserve"> CALIBRATION OF CONICAL FLASK</v>
          </cell>
          <cell r="E510" t="str">
            <v>TESLA</v>
          </cell>
          <cell r="F510"/>
        </row>
        <row r="511">
          <cell r="B511" t="str">
            <v>SERE211TL81040</v>
          </cell>
          <cell r="C511" t="str">
            <v>CONICAL FLASK (250 ml (100-250 ml IN STEP 50 ml) FLASK_250 ml</v>
          </cell>
          <cell r="D511" t="str">
            <v xml:space="preserve"> CALIBRATION OF CONICAL FLASK</v>
          </cell>
          <cell r="E511" t="str">
            <v>TESLA</v>
          </cell>
          <cell r="F511"/>
        </row>
        <row r="512">
          <cell r="B512" t="str">
            <v>SERE212TL81040</v>
          </cell>
          <cell r="C512" t="str">
            <v>CONICAL FLASK (500 ml (200-500 ml IN STEP 100 ml) FLASK_500 ml</v>
          </cell>
          <cell r="D512" t="str">
            <v xml:space="preserve"> CALIBRATION OF CONICAL FLASK</v>
          </cell>
          <cell r="E512" t="str">
            <v>TESLA</v>
          </cell>
          <cell r="F512"/>
        </row>
        <row r="513">
          <cell r="B513" t="str">
            <v>SERE213TL81040</v>
          </cell>
          <cell r="C513" t="str">
            <v>ULTRASONIC LEVEL TRANSMITTER(4-20 mA),PBD/E6170230</v>
          </cell>
          <cell r="D513" t="str">
            <v xml:space="preserve"> CALIBRATION OF ULTRASONIC LEVEL TRANSMITTER </v>
          </cell>
          <cell r="E513" t="str">
            <v>TESLA</v>
          </cell>
          <cell r="F513"/>
        </row>
        <row r="514">
          <cell r="B514" t="str">
            <v>SERE214TL81040</v>
          </cell>
          <cell r="C514" t="str">
            <v>MEASURING STEEL TAPE (0 TO 30.000 MM)MT-02</v>
          </cell>
          <cell r="D514" t="str">
            <v>CALIBRATION OF MEASURING TAPE</v>
          </cell>
          <cell r="E514" t="str">
            <v>TESLA</v>
          </cell>
          <cell r="F514"/>
        </row>
        <row r="515">
          <cell r="B515" t="str">
            <v>TOOM006TL00000</v>
          </cell>
          <cell r="C515" t="str">
            <v xml:space="preserve">MEASURING TAPE </v>
          </cell>
          <cell r="D515" t="str">
            <v>MEASURING TAPE</v>
          </cell>
          <cell r="E515" t="str">
            <v>TESLA</v>
          </cell>
          <cell r="F515"/>
        </row>
        <row r="516">
          <cell r="B516" t="str">
            <v>TOOM007TL00000</v>
          </cell>
          <cell r="C516" t="str">
            <v>VERNIER CALIPER 0 TO 300 MM</v>
          </cell>
          <cell r="D516" t="str">
            <v>VERNIER CALIPER 0 TO 300 MM</v>
          </cell>
          <cell r="E516" t="str">
            <v>TESLA</v>
          </cell>
          <cell r="F516"/>
        </row>
        <row r="517">
          <cell r="B517" t="str">
            <v>TOOM001ME00000</v>
          </cell>
          <cell r="C517" t="str">
            <v>MECO MULTIMETER MECO 45CF</v>
          </cell>
          <cell r="D517" t="str">
            <v>MECO MAKE MULRTIMETER</v>
          </cell>
          <cell r="E517" t="str">
            <v xml:space="preserve">ADISHWAR ELECTRICAL </v>
          </cell>
          <cell r="F517" t="str">
            <v>MECO 45CF</v>
          </cell>
        </row>
        <row r="518">
          <cell r="B518" t="str">
            <v>MISG101PB00000</v>
          </cell>
          <cell r="C518" t="str">
            <v>PREELAM BOARD WOODEM</v>
          </cell>
          <cell r="D518" t="str">
            <v>PREELAM BOARD WOODEM</v>
          </cell>
          <cell r="E518" t="str">
            <v>P BHARAT KUMAR &amp; MANEKLAL</v>
          </cell>
          <cell r="F518"/>
        </row>
        <row r="519">
          <cell r="B519" t="str">
            <v>PPL003SC01500</v>
          </cell>
          <cell r="C519" t="str">
            <v>ACTI 9 C60 06A /2P/ 10000 A</v>
          </cell>
          <cell r="D519" t="str">
            <v>ACTI 9 C60 06A /2P/ 10000 A</v>
          </cell>
          <cell r="E519" t="str">
            <v>SCHNEIDER</v>
          </cell>
          <cell r="F519"/>
        </row>
        <row r="520">
          <cell r="B520" t="str">
            <v>PPL004SC01500</v>
          </cell>
          <cell r="C520" t="str">
            <v>ACTI 9 C60  10A /2P/ 10000 A</v>
          </cell>
          <cell r="D520" t="str">
            <v>ACTI 9 C60  10A /2P/ 10000 A</v>
          </cell>
          <cell r="E520" t="str">
            <v>SCHNEIDER</v>
          </cell>
          <cell r="F520"/>
        </row>
        <row r="521">
          <cell r="B521" t="str">
            <v>PPL005SC01500</v>
          </cell>
          <cell r="C521" t="str">
            <v>ACTI 9 C60 16A /2P/ 10000 A</v>
          </cell>
          <cell r="D521" t="str">
            <v>ACTI 9 C60 16A /2P/ 10000 A</v>
          </cell>
          <cell r="E521" t="str">
            <v>SCHNEIDER</v>
          </cell>
          <cell r="F521"/>
        </row>
        <row r="522">
          <cell r="B522" t="str">
            <v>PPL006SC01500</v>
          </cell>
          <cell r="C522" t="str">
            <v>ACTI 9 C60 20A /2P/ 10000 A</v>
          </cell>
          <cell r="D522" t="str">
            <v>ACTI 9 C60 20A /2P/ 10000 A</v>
          </cell>
          <cell r="E522" t="str">
            <v>SCHNEIDER</v>
          </cell>
          <cell r="F522"/>
        </row>
        <row r="523">
          <cell r="B523" t="str">
            <v>PPL007SC01500</v>
          </cell>
          <cell r="C523" t="str">
            <v>ACTI 9 C60 63A /3P/ 10000 A</v>
          </cell>
          <cell r="D523" t="str">
            <v>ACTI 9 C60 63A /3P/ 10000 A</v>
          </cell>
          <cell r="E523" t="str">
            <v>SCHNEIDER</v>
          </cell>
          <cell r="F523"/>
        </row>
        <row r="524">
          <cell r="B524" t="str">
            <v>ELAB024VS00000</v>
          </cell>
          <cell r="C524" t="str">
            <v>2.5 SQ MM END SLEEVE INSU LUGS</v>
          </cell>
          <cell r="D524" t="str">
            <v>2.5 SQ MM END SLEEVE INSU LUGS</v>
          </cell>
          <cell r="E524" t="str">
            <v>VIDHYUT SALES</v>
          </cell>
          <cell r="F524"/>
        </row>
        <row r="525">
          <cell r="B525" t="str">
            <v>ELAB025VS00000</v>
          </cell>
          <cell r="C525" t="str">
            <v>1.0 SQ MM END SLEEVE INSU LUGS</v>
          </cell>
          <cell r="D525" t="str">
            <v>1.0 SQ MM END SLEEVE INSU LUGS</v>
          </cell>
          <cell r="E525" t="str">
            <v>VIDHYUT SALES CORPORATION</v>
          </cell>
          <cell r="F525"/>
        </row>
        <row r="526">
          <cell r="B526" t="str">
            <v>ELAB026VS00000</v>
          </cell>
          <cell r="C526" t="str">
            <v>10 SQ MM END SLEEVE INSU LUGS</v>
          </cell>
          <cell r="D526" t="str">
            <v>10 SQ MM END SLEEVE INSU LUGS</v>
          </cell>
          <cell r="E526" t="str">
            <v>VIDHYUT SALES CORPORATION</v>
          </cell>
          <cell r="F526"/>
        </row>
        <row r="527">
          <cell r="B527" t="str">
            <v>ELAB027VS00000</v>
          </cell>
          <cell r="C527" t="str">
            <v>16 SQ MM END SLEEVE INSU LUGS</v>
          </cell>
          <cell r="D527" t="str">
            <v>16 SQ MM END SLEEVE INSU LUGS</v>
          </cell>
          <cell r="E527" t="str">
            <v>VIDHYUT SALES CORPORATION</v>
          </cell>
          <cell r="F527"/>
        </row>
        <row r="528">
          <cell r="B528" t="str">
            <v>ELAA200VS00000</v>
          </cell>
          <cell r="C528" t="str">
            <v>200 MM 3.6 MM CABLE TIE</v>
          </cell>
          <cell r="D528" t="str">
            <v>200 MM 3.6 MM CABLE TIE</v>
          </cell>
          <cell r="E528" t="str">
            <v>VIDHYUT SALES CORPORATION</v>
          </cell>
          <cell r="F528"/>
        </row>
        <row r="529">
          <cell r="B529" t="str">
            <v>ELAB028VS00000</v>
          </cell>
          <cell r="C529" t="str">
            <v>70 SQ MM RING TYPE M-10 MM HOLE</v>
          </cell>
          <cell r="D529" t="str">
            <v>70 SQ MM RING TYPE M-10 MM HOLE</v>
          </cell>
          <cell r="E529" t="str">
            <v>VIDHYUT SALES CORPORATION</v>
          </cell>
          <cell r="F529"/>
        </row>
        <row r="530">
          <cell r="B530" t="str">
            <v>ELAD008VS00000</v>
          </cell>
          <cell r="C530" t="str">
            <v>PG-16 PVC</v>
          </cell>
          <cell r="D530" t="str">
            <v>PG-16 PVC</v>
          </cell>
          <cell r="E530" t="str">
            <v>VIDHYUT SALES CORPORATION</v>
          </cell>
          <cell r="F530"/>
        </row>
        <row r="531">
          <cell r="B531" t="str">
            <v>ELAD009VS00000</v>
          </cell>
          <cell r="C531" t="str">
            <v>PG-19 PVC</v>
          </cell>
          <cell r="D531" t="str">
            <v>PG-19 PVC</v>
          </cell>
          <cell r="E531" t="str">
            <v>VIDHYUT SALES CORPORATION</v>
          </cell>
          <cell r="F531"/>
        </row>
        <row r="532">
          <cell r="B532" t="str">
            <v>ELAD010VS00000</v>
          </cell>
          <cell r="C532" t="str">
            <v>PG-21 PVC</v>
          </cell>
          <cell r="D532" t="str">
            <v>PG-21 PVC</v>
          </cell>
          <cell r="E532" t="str">
            <v>VIDHYUT SALES CORPORATION</v>
          </cell>
          <cell r="F532"/>
        </row>
        <row r="533">
          <cell r="B533" t="str">
            <v>ELAD011VS00000</v>
          </cell>
          <cell r="C533" t="str">
            <v>PG-36 PVC</v>
          </cell>
          <cell r="D533" t="str">
            <v>PG-36 PVC</v>
          </cell>
          <cell r="E533" t="str">
            <v>VIDHYUT SALES CORPORATION</v>
          </cell>
          <cell r="F533"/>
        </row>
        <row r="534">
          <cell r="B534" t="str">
            <v>ELAD012VS00000</v>
          </cell>
          <cell r="C534" t="str">
            <v>PG-25 PVC</v>
          </cell>
          <cell r="D534" t="str">
            <v>PG-25 PVC</v>
          </cell>
          <cell r="E534" t="str">
            <v>VIDHYUT SALES CORPORATION</v>
          </cell>
          <cell r="F534"/>
        </row>
        <row r="535">
          <cell r="B535" t="str">
            <v>ELAD013VS00000</v>
          </cell>
          <cell r="C535" t="str">
            <v>PG-29 PVC</v>
          </cell>
          <cell r="D535" t="str">
            <v>PG-29 PVC</v>
          </cell>
          <cell r="E535" t="str">
            <v>VIDHYUT SALES CORPORATION</v>
          </cell>
          <cell r="F535"/>
        </row>
        <row r="536">
          <cell r="B536" t="str">
            <v>ELAD014VS00000</v>
          </cell>
          <cell r="C536" t="str">
            <v>25 MM S.C METAL</v>
          </cell>
          <cell r="D536" t="str">
            <v>25 MM S.C METAL</v>
          </cell>
          <cell r="E536" t="str">
            <v>VIDHYUT SALES CORPORATION</v>
          </cell>
          <cell r="F536"/>
        </row>
        <row r="537">
          <cell r="B537" t="str">
            <v>ELAD015VS00000</v>
          </cell>
          <cell r="C537" t="str">
            <v>32 MM S.C METAL</v>
          </cell>
          <cell r="D537" t="str">
            <v>32 MM S.C METAL</v>
          </cell>
          <cell r="E537" t="str">
            <v>VIDHYUT SALES CORPORATION</v>
          </cell>
          <cell r="F537"/>
        </row>
        <row r="538">
          <cell r="B538" t="str">
            <v>ELAD016VS00000</v>
          </cell>
          <cell r="C538" t="str">
            <v>35 MM S.C METAL</v>
          </cell>
          <cell r="D538" t="str">
            <v>35 MM S.C METAL</v>
          </cell>
          <cell r="E538" t="str">
            <v>VIDHYUT SALES CORPORATION</v>
          </cell>
          <cell r="F538"/>
        </row>
        <row r="539">
          <cell r="B539" t="str">
            <v>ELAD017VS00000</v>
          </cell>
          <cell r="C539" t="str">
            <v>38 MM S.C METAL</v>
          </cell>
          <cell r="D539" t="str">
            <v>38 MM S.C METAL</v>
          </cell>
          <cell r="E539" t="str">
            <v>VIDHYUT SALES CORPORATION</v>
          </cell>
          <cell r="F539"/>
        </row>
        <row r="540">
          <cell r="B540" t="str">
            <v>ELAH001VS00000</v>
          </cell>
          <cell r="C540" t="str">
            <v>INSULATION TAPE BLACK</v>
          </cell>
          <cell r="D540" t="str">
            <v>INSULATION TAPE BLACK</v>
          </cell>
          <cell r="E540" t="str">
            <v>VIDHYUT SALES CORPORATION</v>
          </cell>
          <cell r="F540"/>
        </row>
        <row r="541">
          <cell r="B541" t="str">
            <v>SERH001RI81040</v>
          </cell>
          <cell r="C541" t="str">
            <v xml:space="preserve">HOTEL TARIFF </v>
          </cell>
          <cell r="D541" t="str">
            <v>ROOMS TARIFF - HOTEL STAY AT RIVER VIEW HOTEL AHMEDABAD</v>
          </cell>
          <cell r="E541" t="str">
            <v>RIVER VIEW HOTEL</v>
          </cell>
          <cell r="F541"/>
        </row>
        <row r="542">
          <cell r="B542" t="str">
            <v>MISH001SP00000</v>
          </cell>
          <cell r="C542" t="str">
            <v>TROLLY FOR LEVEL SENSOR TESTING WINA STAND AND TRANSPORTAION</v>
          </cell>
          <cell r="D542" t="str">
            <v>TROLLY FOR LEVEL SENSOR TESTING WINA STAND AND TRANSPORTAION</v>
          </cell>
          <cell r="E542" t="str">
            <v>SP ENGINEERING CO</v>
          </cell>
          <cell r="F542"/>
        </row>
        <row r="543">
          <cell r="B543" t="str">
            <v>ELAB029VS00000</v>
          </cell>
          <cell r="C543" t="str">
            <v>16 SQ MM RING TYPE M-8 MM HOLE LUGS</v>
          </cell>
          <cell r="D543" t="str">
            <v>16 SQ MM RING TYPE M-8 MM HOLE LUGS</v>
          </cell>
          <cell r="E543" t="str">
            <v>VIDHYUT SALES CORPORATION</v>
          </cell>
          <cell r="F543"/>
        </row>
        <row r="544">
          <cell r="B544" t="str">
            <v>ITAX001DG00000</v>
          </cell>
          <cell r="C544" t="str">
            <v xml:space="preserve">SSD-256 GB -DGNET </v>
          </cell>
          <cell r="D544" t="str">
            <v xml:space="preserve">SSD-256 GB -DGNET </v>
          </cell>
          <cell r="E544" t="str">
            <v>NEXUS INFOTECH</v>
          </cell>
          <cell r="F544"/>
        </row>
        <row r="545">
          <cell r="B545" t="str">
            <v>MISF013KR00000</v>
          </cell>
          <cell r="C545" t="str">
            <v>RO WATER PUMP WINA PU WHITE PIPE</v>
          </cell>
          <cell r="D545" t="str">
            <v>RO WATER PUMP WINA PU WHITE PIPE FOR LAB TESTING AT SAKAR</v>
          </cell>
          <cell r="E545" t="str">
            <v>KRISHANT ELECTRICAL</v>
          </cell>
          <cell r="F545"/>
        </row>
        <row r="546">
          <cell r="B546" t="str">
            <v>PLAW001KR00000</v>
          </cell>
          <cell r="C546" t="str">
            <v>HYLAM FLANGE FOR SIEMENS AND CIMCON MAKE SENSOR AT TESTING LAB SAKAR</v>
          </cell>
          <cell r="D546" t="str">
            <v>HYLAM FLANGE FOR SIEMENS AND CIMCON MAKE SENSOR AT TESTING LAB SAKAR</v>
          </cell>
          <cell r="E546" t="str">
            <v>KRISHANT ELECTRICAL</v>
          </cell>
          <cell r="F546"/>
        </row>
        <row r="547">
          <cell r="B547" t="str">
            <v>MODM006AD00000</v>
          </cell>
          <cell r="C547" t="str">
            <v>RS 485 to RS 232 Convertr</v>
          </cell>
          <cell r="D547" t="str">
            <v>RS 485 to RS 232 Convertr</v>
          </cell>
          <cell r="E547" t="str">
            <v>ADAM</v>
          </cell>
        </row>
        <row r="548">
          <cell r="B548" t="str">
            <v>STAA005PA01400</v>
          </cell>
          <cell r="C548" t="str">
            <v>43.4*31.4 MM RLT LABEL-JJM</v>
          </cell>
          <cell r="D548" t="str">
            <v>43.4*31.4 MM RLT LABEL-JJM</v>
          </cell>
          <cell r="E548" t="str">
            <v>PARVANAI LABELS</v>
          </cell>
          <cell r="F548"/>
        </row>
        <row r="549">
          <cell r="B549" t="str">
            <v>MISI001MS01400</v>
          </cell>
          <cell r="C549" t="str">
            <v>PROCESS INDICATOR</v>
          </cell>
          <cell r="D549" t="str">
            <v>PROCESS INDICATOR</v>
          </cell>
          <cell r="E549" t="str">
            <v>MULTISPAN</v>
          </cell>
          <cell r="F549"/>
        </row>
        <row r="550">
          <cell r="B550" t="str">
            <v>STAA001IE00900</v>
          </cell>
          <cell r="C550" t="str">
            <v>CIMCON STICKER 69</v>
          </cell>
          <cell r="D550" t="str">
            <v>CIMCON STICKER 69</v>
          </cell>
          <cell r="E550" t="str">
            <v>INTRACTION</v>
          </cell>
          <cell r="F550"/>
        </row>
        <row r="551">
          <cell r="B551" t="str">
            <v>STAA001IE01000</v>
          </cell>
          <cell r="C551" t="str">
            <v>CIMCON STICKER 70</v>
          </cell>
          <cell r="D551" t="str">
            <v>CIMCON STICKER 70</v>
          </cell>
          <cell r="E551" t="str">
            <v>INTRACTION</v>
          </cell>
          <cell r="F551"/>
        </row>
        <row r="552">
          <cell r="B552" t="str">
            <v>MISE001SR00000</v>
          </cell>
          <cell r="C552" t="str">
            <v>12V40WATT SOLAR PANEL</v>
          </cell>
          <cell r="D552" t="str">
            <v>12V40WATT SOLAR PANEL</v>
          </cell>
          <cell r="E552" t="str">
            <v>SIMPLERAY</v>
          </cell>
          <cell r="F552"/>
        </row>
        <row r="553">
          <cell r="B553" t="str">
            <v>PNLW001SA00000</v>
          </cell>
          <cell r="C553" t="str">
            <v>ACTUATOR PANEL WINA ISOLATION TRANSFORMER</v>
          </cell>
          <cell r="D553" t="str">
            <v>ACTUATOR PANEL WINA ISOLATION TRANSFORMER</v>
          </cell>
          <cell r="E553" t="str">
            <v>SAFETEK</v>
          </cell>
          <cell r="F553"/>
        </row>
        <row r="554">
          <cell r="B554" t="str">
            <v>MOVB003MA00600</v>
          </cell>
          <cell r="C554" t="str">
            <v>ELECTRICAL ACTUATOR FOR SLUICE VALVE MULTITURN</v>
          </cell>
          <cell r="D554" t="str">
            <v>ELECTRICAL ACTUATOR FOR SLUICE VALVE MULTITURN</v>
          </cell>
          <cell r="E554" t="str">
            <v>SAFETEK</v>
          </cell>
          <cell r="F554"/>
        </row>
        <row r="555">
          <cell r="B555" t="str">
            <v>ITAP004HP02300</v>
          </cell>
          <cell r="C555" t="str">
            <v>PRINTER HP LASEJET 108 A</v>
          </cell>
          <cell r="D555" t="str">
            <v>PRINTER HP LASEJET 108 A</v>
          </cell>
          <cell r="E555" t="str">
            <v>HP</v>
          </cell>
          <cell r="F555"/>
        </row>
        <row r="556">
          <cell r="B556" t="str">
            <v>ITAG004AO00000</v>
          </cell>
          <cell r="C556" t="str">
            <v>LCD MONITOR 27" AOC  MAKE</v>
          </cell>
          <cell r="D556" t="str">
            <v>LCD MONITOR 27" AOC  MAKE</v>
          </cell>
          <cell r="E556" t="str">
            <v>AOC</v>
          </cell>
          <cell r="F556"/>
        </row>
        <row r="557">
          <cell r="B557" t="str">
            <v>ITSO0060300000</v>
          </cell>
          <cell r="C557" t="str">
            <v>ANTIVIRUS QUICKHEEL</v>
          </cell>
          <cell r="D557" t="str">
            <v>ANTIVIRUS QUICKHEEL</v>
          </cell>
          <cell r="E557" t="str">
            <v>QUICKHEEL</v>
          </cell>
          <cell r="F557"/>
        </row>
        <row r="558">
          <cell r="B558" t="str">
            <v>PLAT006CO00000</v>
          </cell>
          <cell r="C558" t="str">
            <v>BRASS SYPHONE COCK 3/8 "</v>
          </cell>
          <cell r="D558" t="str">
            <v>BRASS SYPHONE COCK 3/8 " FOR PRESSURE GAUGE</v>
          </cell>
          <cell r="E558" t="str">
            <v>CONTROQUIP</v>
          </cell>
          <cell r="F558"/>
        </row>
        <row r="559">
          <cell r="B559" t="str">
            <v>PLCD004SE00902</v>
          </cell>
          <cell r="C559" t="str">
            <v>6 cHANNEL ANALOG INPUT MODULE,FL-SC-AI06-I</v>
          </cell>
          <cell r="D559" t="str">
            <v>6 cHANNEL ANALOG INPUT MODULE,FL-SC-AI06-I WINA 485 COMMUNICATION</v>
          </cell>
          <cell r="E559" t="str">
            <v>SELEC</v>
          </cell>
          <cell r="F559" t="str">
            <v>FI-SC-AIO6-I</v>
          </cell>
        </row>
        <row r="560">
          <cell r="B560" t="str">
            <v>MISJ001AZ01500</v>
          </cell>
          <cell r="C560" t="str">
            <v>WEANAER STATION SENSOR AZISTA MAKE</v>
          </cell>
          <cell r="D560" t="str">
            <v>AIR TEMP,WIND SPEED,SOLAR RADIATION,RAIN GAUGE,AIR PRESSURE -WEANAER SENSOR</v>
          </cell>
          <cell r="E560" t="str">
            <v>AZISTA</v>
          </cell>
          <cell r="F560"/>
        </row>
        <row r="561">
          <cell r="B561" t="str">
            <v>UPSA103HI00604</v>
          </cell>
          <cell r="C561" t="str">
            <v>UPS 3 KVA ONLINE WINA INBUILT TRANSFORMER +EXTERNAL BATTERY WINA LINK &amp; RACK</v>
          </cell>
          <cell r="D561" t="str">
            <v>UPS 3 KVA ONLINE WINA INBUILT TRANSFORMER +EXTERNAL BATTERY WINA LINK &amp; RACK -</v>
          </cell>
          <cell r="E561" t="str">
            <v>HITACHI</v>
          </cell>
          <cell r="F561" t="str">
            <v>IP11-WZN</v>
          </cell>
        </row>
        <row r="562">
          <cell r="B562" t="str">
            <v>PLAC111AN00000</v>
          </cell>
          <cell r="C562" t="str">
            <v>SS 304 NIDDLE VALVE ROUND 1/4" BSP FF</v>
          </cell>
          <cell r="D562" t="str">
            <v>SS 304 NIDDLE VALVE ROUND 1/4" BSP FF</v>
          </cell>
          <cell r="E562" t="str">
            <v>ANTRIKSH ENGITECH</v>
          </cell>
          <cell r="F562"/>
        </row>
        <row r="563">
          <cell r="B563" t="str">
            <v>CABI401PO00007</v>
          </cell>
          <cell r="C563" t="str">
            <v xml:space="preserve">CABLE 1 SQ MM 4 CORE INSTRUMENTATION ARMORED SCREENED </v>
          </cell>
          <cell r="D563" t="str">
            <v xml:space="preserve">CABLE 1 SQ MM 4 CORE INSTRUMENTATION ARMORED SCREENED </v>
          </cell>
          <cell r="E563" t="str">
            <v>POLYCAB</v>
          </cell>
          <cell r="F563"/>
        </row>
        <row r="564">
          <cell r="B564" t="str">
            <v>CABI505PO00007</v>
          </cell>
          <cell r="C564" t="str">
            <v xml:space="preserve">CABLE 1 SQ MM 6 PAIR INSTRUMENTATION ARMORED SCREENED </v>
          </cell>
          <cell r="D564" t="str">
            <v xml:space="preserve">CABLE 1 SQ MM 6 PAIR INSTRUMENTATION ARMORED SCREENED </v>
          </cell>
          <cell r="E564" t="str">
            <v>POLYCAB</v>
          </cell>
          <cell r="F564"/>
        </row>
        <row r="565">
          <cell r="B565" t="str">
            <v>CABI204PO00007</v>
          </cell>
          <cell r="C565" t="str">
            <v xml:space="preserve">CABLE 1 SQ MM 2 COREINSTRUMENTATION ARMORED SCREENED </v>
          </cell>
          <cell r="D565" t="str">
            <v xml:space="preserve">CABLE 1 SQ MM 2 COREINSTRUMENTATION ARMORED SCREENED </v>
          </cell>
          <cell r="E565" t="str">
            <v>POLYCAB</v>
          </cell>
          <cell r="F565"/>
        </row>
        <row r="566">
          <cell r="B566" t="str">
            <v>CABC404PO00006</v>
          </cell>
          <cell r="C566" t="str">
            <v>CABLE 4 CORE 4 SQ MM COPPER ARMOURED</v>
          </cell>
          <cell r="D566" t="str">
            <v>CABLE 4 CORE 4 SQ MM COPPER ARMOURED SINGLE STRAINED</v>
          </cell>
          <cell r="E566" t="str">
            <v>POLYCAB</v>
          </cell>
          <cell r="F566"/>
        </row>
        <row r="567">
          <cell r="B567" t="str">
            <v>CABT203PO00007</v>
          </cell>
          <cell r="C567" t="str">
            <v xml:space="preserve">CABLE 2 CORE 1 SQ MM SHIELDED BRAIDED FLEXIBLE </v>
          </cell>
          <cell r="D567" t="str">
            <v xml:space="preserve">CABLE 2 CORE 1 SQ MM SHIELDED BRAIDED FLEXIBLE </v>
          </cell>
          <cell r="E567" t="str">
            <v>POLYCAB</v>
          </cell>
          <cell r="F567"/>
        </row>
        <row r="568">
          <cell r="B568" t="str">
            <v>CABF207PO00007</v>
          </cell>
          <cell r="C568" t="str">
            <v xml:space="preserve">CABLE 2 CORE 16 SQ MM FLEXIBLE PVC </v>
          </cell>
          <cell r="D568" t="str">
            <v xml:space="preserve">CABLE 2 CORE 16 SQ MM FLEXIBLE PVC </v>
          </cell>
          <cell r="E568" t="str">
            <v>POLYCAB</v>
          </cell>
          <cell r="F568"/>
        </row>
        <row r="569">
          <cell r="B569" t="str">
            <v>PLCQ001SE01003</v>
          </cell>
          <cell r="C569" t="str">
            <v xml:space="preserve">PLC COMPACT-PANEL MOUNT </v>
          </cell>
          <cell r="D569" t="str">
            <v xml:space="preserve">PLC COMPACT-PANEL MOUNT </v>
          </cell>
          <cell r="E569" t="str">
            <v>SELEC</v>
          </cell>
          <cell r="F569" t="str">
            <v>UNIX-1-230V</v>
          </cell>
        </row>
        <row r="570">
          <cell r="B570" t="str">
            <v>PNLB011KP00400</v>
          </cell>
          <cell r="C570" t="str">
            <v>RTU 6000 + +SCADA+PDB PANEL FOR ZETWERKS</v>
          </cell>
          <cell r="D570" t="str">
            <v xml:space="preserve">RTU 6000 + +SCADA+PDB PANEL FOR ZETWERKS </v>
          </cell>
          <cell r="E570" t="str">
            <v>KRISHANT ELECTRICAL</v>
          </cell>
          <cell r="F570"/>
        </row>
        <row r="571">
          <cell r="B571" t="str">
            <v>PRGA016HG00001</v>
          </cell>
          <cell r="C571" t="str">
            <v>PRESSURE GAUGE 4" 0-16 BAR</v>
          </cell>
          <cell r="D571" t="str">
            <v>PRESSURE GAUGE 4" 0-16 BAR</v>
          </cell>
          <cell r="E571" t="str">
            <v>H GURU</v>
          </cell>
          <cell r="F571"/>
        </row>
        <row r="572">
          <cell r="B572" t="str">
            <v>MISK001JA01600</v>
          </cell>
          <cell r="C572" t="str">
            <v xml:space="preserve">SOLID SHAFT ENCODER </v>
          </cell>
          <cell r="D572" t="str">
            <v xml:space="preserve">SOLID SHAFT ENCODER </v>
          </cell>
          <cell r="E572" t="str">
            <v>JAYSHREE ENCODER</v>
          </cell>
          <cell r="F572" t="str">
            <v>J58-A</v>
          </cell>
        </row>
        <row r="573">
          <cell r="B573" t="str">
            <v>PPAO001CG01600</v>
          </cell>
          <cell r="C573" t="str">
            <v>VFD CG MAKE 3 HP</v>
          </cell>
          <cell r="D573" t="str">
            <v>VFD CG MAKE 3 HP</v>
          </cell>
          <cell r="E573" t="str">
            <v>CROMPTON GREEVES</v>
          </cell>
          <cell r="F573" t="str">
            <v>VSX-48-006</v>
          </cell>
        </row>
        <row r="574">
          <cell r="B574" t="str">
            <v>PPAO002CG01700</v>
          </cell>
          <cell r="C574" t="str">
            <v>VFD CG MAKE 5 HP</v>
          </cell>
          <cell r="D574" t="str">
            <v>VFD CG MAKE 5 HP</v>
          </cell>
          <cell r="E574" t="str">
            <v>CROMPTON GREEVES</v>
          </cell>
          <cell r="F574" t="str">
            <v>VSX-48-009</v>
          </cell>
        </row>
        <row r="575">
          <cell r="B575" t="str">
            <v>PPAB001MW01800</v>
          </cell>
          <cell r="C575" t="str">
            <v>MEANWELL SMPS LRS 200-24 VDC</v>
          </cell>
          <cell r="D575" t="str">
            <v>MEANWELL SMPS LRS 200-24 VDC</v>
          </cell>
          <cell r="E575" t="str">
            <v>MEANWELL</v>
          </cell>
          <cell r="F575" t="str">
            <v>LRS-200-24 VDC</v>
          </cell>
        </row>
        <row r="576">
          <cell r="B576" t="str">
            <v>PNLk005PO00000</v>
          </cell>
          <cell r="C576" t="str">
            <v>ATS PANEL 60 HP</v>
          </cell>
          <cell r="D576" t="str">
            <v>ATS PANEL 60 HP</v>
          </cell>
          <cell r="E576" t="str">
            <v>POWERTECH</v>
          </cell>
          <cell r="F576"/>
        </row>
        <row r="577">
          <cell r="B577" t="str">
            <v>PNLK009PO00000</v>
          </cell>
          <cell r="C577" t="str">
            <v>ATS PANEL 100 HP</v>
          </cell>
          <cell r="D577" t="str">
            <v>ATS PANEL 100 HP</v>
          </cell>
          <cell r="E577" t="str">
            <v>POWERTECH</v>
          </cell>
          <cell r="F577"/>
        </row>
        <row r="578">
          <cell r="B578" t="str">
            <v>PNLL005PO00000</v>
          </cell>
          <cell r="C578" t="str">
            <v>APR PANEL 60 HP</v>
          </cell>
          <cell r="D578" t="str">
            <v>APR PANEL 60 HP</v>
          </cell>
          <cell r="E578" t="str">
            <v>POWERTECH</v>
          </cell>
          <cell r="F578"/>
        </row>
        <row r="579">
          <cell r="B579" t="str">
            <v>PNLK002PO00000</v>
          </cell>
          <cell r="C579" t="str">
            <v>35 HP ATS PANEL</v>
          </cell>
          <cell r="D579" t="str">
            <v>35 HP ATS PANEL</v>
          </cell>
          <cell r="E579" t="str">
            <v>POWERTECH</v>
          </cell>
          <cell r="F579"/>
        </row>
        <row r="580">
          <cell r="B580" t="str">
            <v>PNLX004PO00000</v>
          </cell>
          <cell r="C580" t="str">
            <v>125 AMP SFU BOX</v>
          </cell>
          <cell r="D580" t="str">
            <v>125 AMP SFU BOX</v>
          </cell>
          <cell r="E580" t="str">
            <v>POWERTECH</v>
          </cell>
          <cell r="F580"/>
        </row>
        <row r="581">
          <cell r="B581" t="str">
            <v>LVLB004EL00901</v>
          </cell>
          <cell r="C581" t="str">
            <v xml:space="preserve">ULTRASONIC LEVEL TRANSMITTER 0 TO 10 MTR 2 WIRE 4 TO 20 mA </v>
          </cell>
          <cell r="D581" t="str">
            <v xml:space="preserve">ULTRASONIC LEVEL TRANSMITTER 0 TO 10 MTR 2 WIRE 4 TO 20 mA </v>
          </cell>
          <cell r="E581" t="str">
            <v>ELECTRONET</v>
          </cell>
          <cell r="F581" t="str">
            <v>ULT-200</v>
          </cell>
        </row>
        <row r="582">
          <cell r="B582" t="str">
            <v>PPAL008WO01900</v>
          </cell>
          <cell r="C582" t="str">
            <v>63 A 2 POLE DC MCB-6 KA 800 VDC</v>
          </cell>
          <cell r="D582" t="str">
            <v>63 A 2 POLE DC MCB-6 KA 800 VDC</v>
          </cell>
          <cell r="E582" t="str">
            <v>WORLDSUNLIGHT</v>
          </cell>
          <cell r="F582" t="str">
            <v>XL7-63</v>
          </cell>
        </row>
        <row r="583">
          <cell r="B583" t="str">
            <v>PLAP401CO00000</v>
          </cell>
          <cell r="C583" t="str">
            <v>MS U SYPOHNE PIPE 3/8"</v>
          </cell>
          <cell r="D583" t="str">
            <v>MS U SYPONE PIPE</v>
          </cell>
          <cell r="E583" t="str">
            <v>CONTROQUIP</v>
          </cell>
          <cell r="F583"/>
        </row>
        <row r="584">
          <cell r="B584" t="str">
            <v>SERA000NE81040</v>
          </cell>
          <cell r="C584" t="str">
            <v xml:space="preserve">FRIEGHT CHARGES FOR PANEL NEXTGEN TO SAKAR </v>
          </cell>
          <cell r="D584" t="str">
            <v xml:space="preserve">FRIEGHT CHARGES FOR PANEL NEXTGEN TO SAKAR </v>
          </cell>
          <cell r="E584" t="str">
            <v>NEXTGEN</v>
          </cell>
          <cell r="F584"/>
        </row>
        <row r="585">
          <cell r="B585" t="str">
            <v>ITAR001DL02600</v>
          </cell>
          <cell r="C585" t="str">
            <v xml:space="preserve">D-LINK DIR-615 FIREWALL ROUTER </v>
          </cell>
          <cell r="D585" t="str">
            <v xml:space="preserve">D-LINK DIR-615 FIREWALL ROUTER </v>
          </cell>
          <cell r="E585" t="str">
            <v>D-LINK</v>
          </cell>
        </row>
        <row r="586">
          <cell r="B586" t="str">
            <v>EFMF008FT00203</v>
          </cell>
          <cell r="C586" t="str">
            <v>ELECTROMAGNETIC FLOWMETER</v>
          </cell>
          <cell r="D586" t="str">
            <v xml:space="preserve">ELECTROMAGNETIC FLOWMETER </v>
          </cell>
          <cell r="E586" t="str">
            <v>FLOWTECH</v>
          </cell>
        </row>
        <row r="587">
          <cell r="B587" t="str">
            <v>EFMF009FT00203</v>
          </cell>
          <cell r="C587" t="str">
            <v>ELECTROMAGNETIC FLOWMETER</v>
          </cell>
          <cell r="D587" t="str">
            <v>ELECTROMAGNETIC FLOWMETER</v>
          </cell>
          <cell r="E587" t="str">
            <v>FLOWTECH</v>
          </cell>
        </row>
        <row r="588">
          <cell r="B588" t="str">
            <v>MISD012BE00000</v>
          </cell>
          <cell r="C588" t="str">
            <v>BE/SR O RING 67X7</v>
          </cell>
          <cell r="D588" t="str">
            <v>BE/SR O RING 67X7</v>
          </cell>
          <cell r="E588" t="str">
            <v>BHAVNA ENTERPRISE</v>
          </cell>
        </row>
        <row r="589">
          <cell r="B589" t="str">
            <v>ITAH008HP02700</v>
          </cell>
          <cell r="C589" t="str">
            <v>SP SERVER HPE PROLIANT</v>
          </cell>
          <cell r="D589" t="str">
            <v>SP SERVER HPE PROLIANT ML30 GEN10 PLUS SERVER</v>
          </cell>
          <cell r="E589" t="str">
            <v>HP</v>
          </cell>
        </row>
        <row r="590">
          <cell r="B590" t="str">
            <v>ITAD009HP02800</v>
          </cell>
          <cell r="C590" t="str">
            <v>HP DESKTOP</v>
          </cell>
          <cell r="D590" t="str">
            <v>HP DESKTOP, HP PRO TWR 280 G9 MT, CORE I3 12100, 3.3GHZ</v>
          </cell>
          <cell r="E590" t="str">
            <v>HP</v>
          </cell>
        </row>
        <row r="591">
          <cell r="B591" t="str">
            <v>ITAY006SM00000</v>
          </cell>
          <cell r="C591" t="str">
            <v>SAMSUNG  LARGE TV</v>
          </cell>
          <cell r="D591" t="str">
            <v>SAMSUNG LARGE TV, 43" TV WINA HDMI</v>
          </cell>
          <cell r="E591" t="str">
            <v>SAMSUNG</v>
          </cell>
        </row>
        <row r="592">
          <cell r="B592" t="str">
            <v>ITAP005HP00000</v>
          </cell>
          <cell r="C592" t="str">
            <v>HP PRINTER</v>
          </cell>
          <cell r="D592" t="str">
            <v>HP PRINTER HP 178NW COLOR LASER PRINTER</v>
          </cell>
          <cell r="E592" t="str">
            <v>HP</v>
          </cell>
        </row>
        <row r="593">
          <cell r="B593" t="str">
            <v>MISL013MI01700</v>
          </cell>
          <cell r="C593" t="str">
            <v>ANALOG MODULE</v>
          </cell>
          <cell r="D593" t="str">
            <v>FX5-4AD-ADP-BS</v>
          </cell>
          <cell r="E593" t="str">
            <v>MITSUBISHI</v>
          </cell>
        </row>
        <row r="594">
          <cell r="B594" t="str">
            <v>PNLB011NE00400</v>
          </cell>
          <cell r="C594" t="str">
            <v>RTU +SCADA+PDB PANEL FOR ZETWERKS</v>
          </cell>
          <cell r="D594" t="str">
            <v>RTU +SCADA+PDB PANEL FOR ZETWERKS</v>
          </cell>
          <cell r="E594" t="str">
            <v>NEXTGEN POWER CONTROL</v>
          </cell>
        </row>
        <row r="595">
          <cell r="B595" t="str">
            <v>MISD014MI01800</v>
          </cell>
          <cell r="C595" t="str">
            <v>SW1DNDING-GXW3-E</v>
          </cell>
          <cell r="D595" t="str">
            <v>SW1DNDING-GXW3-E , PLC SOFTWARE</v>
          </cell>
          <cell r="E595" t="str">
            <v>MITSUBISHI</v>
          </cell>
        </row>
        <row r="596">
          <cell r="B596" t="str">
            <v>ELAU102VS00000</v>
          </cell>
          <cell r="C596" t="str">
            <v>LIGHTNING ARRESTER KALRE ALR-04 WINA 5 MTR POLE</v>
          </cell>
          <cell r="D596" t="str">
            <v>LIGHTNING ARRESTER KALRE ALR-04 WINA 5 MTR POLE WINA PLATE AND GI STRAY WIRE</v>
          </cell>
          <cell r="E596" t="str">
            <v>VASHUDHA</v>
          </cell>
        </row>
        <row r="597">
          <cell r="B597" t="str">
            <v>ELAU103VS00000</v>
          </cell>
          <cell r="C597" t="str">
            <v>LIGHTNING ARRESTER COUNTER</v>
          </cell>
          <cell r="D597" t="str">
            <v>LIGHTNING ARRESTER COUNTER</v>
          </cell>
          <cell r="E597" t="str">
            <v>VASHUDHA</v>
          </cell>
        </row>
        <row r="598">
          <cell r="B598" t="str">
            <v>ELAU104VS00000</v>
          </cell>
          <cell r="C598" t="str">
            <v>JUNCTION BOX FOR LIGHTING ARRESTOR</v>
          </cell>
          <cell r="D598" t="str">
            <v>JUNCTION BOX FOR LIGHTING ARRESTOR</v>
          </cell>
          <cell r="E598" t="str">
            <v>VASHUDHA</v>
          </cell>
        </row>
        <row r="599">
          <cell r="B599" t="str">
            <v>ELAU105VS00000</v>
          </cell>
          <cell r="C599" t="str">
            <v>EARTHING RODE PRIME SERIES 80/3 GI</v>
          </cell>
          <cell r="D599" t="str">
            <v>EARTHING RODE PRIME SERIES 80/3 GI</v>
          </cell>
          <cell r="E599" t="str">
            <v>VASHUDHA</v>
          </cell>
        </row>
        <row r="600">
          <cell r="B600" t="str">
            <v>ELAU101NA00000</v>
          </cell>
          <cell r="C600" t="str">
            <v>EARTHING BFC CHEMICAL BAG PRIME 25 KG</v>
          </cell>
          <cell r="D600" t="str">
            <v>EARTHING BFC CHEMICAL BAG PRIME 25 KG</v>
          </cell>
          <cell r="E600" t="str">
            <v>VASHUDHA</v>
          </cell>
        </row>
        <row r="601">
          <cell r="B601" t="str">
            <v>ELAU107VS00000</v>
          </cell>
          <cell r="C601" t="str">
            <v>EARNAING RODE PRIME SERIES 80/2 GI</v>
          </cell>
          <cell r="D601" t="str">
            <v>EARNAING RODE PRIME SERIES 80/2 GI</v>
          </cell>
          <cell r="E601" t="str">
            <v>VASHUDHA</v>
          </cell>
        </row>
        <row r="602">
          <cell r="B602" t="str">
            <v>ELAU108VS00000</v>
          </cell>
          <cell r="C602" t="str">
            <v>FRP EARNA PIT COVER SMALL</v>
          </cell>
          <cell r="D602" t="str">
            <v>FRP EARNA PIT COVER SMALL</v>
          </cell>
          <cell r="E602" t="str">
            <v>VASHUDHA</v>
          </cell>
        </row>
        <row r="603">
          <cell r="B603" t="str">
            <v>SERC002SM52380</v>
          </cell>
          <cell r="C603" t="str">
            <v>SMR Service monNAly for engineers</v>
          </cell>
          <cell r="D603" t="str">
            <v>SMR Service</v>
          </cell>
          <cell r="E603" t="str">
            <v>SMR</v>
          </cell>
        </row>
        <row r="604">
          <cell r="B604" t="str">
            <v>SERA000NA81040</v>
          </cell>
          <cell r="C604" t="str">
            <v>NAEMIS FREIGHT CHARGES</v>
          </cell>
          <cell r="D604" t="str">
            <v>FREIGHT CHARGES</v>
          </cell>
          <cell r="E604" t="str">
            <v>NAEMIS</v>
          </cell>
        </row>
        <row r="605">
          <cell r="B605" t="str">
            <v>MISM001EN01900</v>
          </cell>
          <cell r="C605" t="str">
            <v>500 X 500 ELECTRONIC WEIGHING SCALE 100 Kg X 10 gm</v>
          </cell>
          <cell r="D605" t="str">
            <v>WEIGHING SCALE</v>
          </cell>
          <cell r="E605" t="str">
            <v>ENDEAVOUR INSTRUMENT</v>
          </cell>
        </row>
        <row r="606">
          <cell r="B606" t="str">
            <v>ITAI001AT00000</v>
          </cell>
          <cell r="C606" t="str">
            <v>USB TO SERIAL CONVERTOR</v>
          </cell>
          <cell r="D606" t="str">
            <v>ATEN</v>
          </cell>
        </row>
        <row r="607">
          <cell r="B607" t="str">
            <v>PPAL009CH02000</v>
          </cell>
          <cell r="C607" t="str">
            <v>63 A 4 POLE DC MCB - 6 KA 1000 VDC</v>
          </cell>
          <cell r="D607" t="str">
            <v>63 A 4 POLE DC MCB - 6 KA 1000 VDC</v>
          </cell>
          <cell r="E607" t="str">
            <v>CHINT</v>
          </cell>
        </row>
        <row r="608">
          <cell r="B608" t="str">
            <v>MISN001XY02001</v>
          </cell>
          <cell r="C608" t="str">
            <v>SL-1500 - 20 m - XYLEM SONETEK MAKE ADVM</v>
          </cell>
          <cell r="D608" t="str">
            <v xml:space="preserve">SL-1500 - 20 m - XYLEM SONETEK MAKE  ADVM- WTIH 10 METER CABLE </v>
          </cell>
          <cell r="E608" t="str">
            <v>XYLEM SONETEK</v>
          </cell>
        </row>
        <row r="609">
          <cell r="B609" t="str">
            <v>MISN001XY02101</v>
          </cell>
          <cell r="C609" t="str">
            <v>SL-500 - 20-120 m - XYLEM SONETEK MAKE ADVM</v>
          </cell>
          <cell r="D609" t="str">
            <v>SL-500 - 20-120 m - XYLEM SONETEK MAKE ADVM WINA 10 METER CABLE</v>
          </cell>
          <cell r="E609" t="str">
            <v>XYLEM SONETEK</v>
          </cell>
        </row>
        <row r="610">
          <cell r="B610" t="str">
            <v>HMIA011ST00004</v>
          </cell>
          <cell r="C610" t="str">
            <v xml:space="preserve">HMI 15.6" </v>
          </cell>
          <cell r="D610" t="str">
            <v>HMI 15.6"  WINA WIFI/BLUETOONA ANDROID</v>
          </cell>
          <cell r="E610" t="str">
            <v>3RD EYE ENTERPRISE</v>
          </cell>
        </row>
        <row r="611">
          <cell r="B611" t="str">
            <v>MISE003MT00000</v>
          </cell>
          <cell r="C611" t="str">
            <v xml:space="preserve">100 WATT SOLAR PLATE -WINA 12V/40 AH BATTERY </v>
          </cell>
          <cell r="D611" t="str">
            <v>100 WATT SOLAR PLATE MICROTEK WINA 12 V/40AH OKAYA BATTERY</v>
          </cell>
          <cell r="E611" t="str">
            <v>MICROTEK - ASK ENTERPRISE</v>
          </cell>
        </row>
        <row r="612">
          <cell r="B612" t="str">
            <v>ITAZ303ST00000</v>
          </cell>
          <cell r="C612" t="str">
            <v>POE SWITCH - 16 PORT WEB SMART</v>
          </cell>
          <cell r="D612" t="str">
            <v>POE SWITCH - 16 PORT WEB SMART</v>
          </cell>
          <cell r="E612" t="str">
            <v>MICROLINES</v>
          </cell>
        </row>
        <row r="613">
          <cell r="B613" t="str">
            <v>ITAZ304ST00000</v>
          </cell>
          <cell r="C613" t="str">
            <v>POE SWITCH - 24 PORT WEB SMART</v>
          </cell>
          <cell r="D613" t="str">
            <v>POE SWITCH - 24 PORT WEB SMART</v>
          </cell>
          <cell r="E613" t="str">
            <v>MICROLINES</v>
          </cell>
        </row>
        <row r="614">
          <cell r="B614" t="str">
            <v>ITAZ402ST00000</v>
          </cell>
          <cell r="C614" t="str">
            <v xml:space="preserve">RACK 6U-NVR </v>
          </cell>
          <cell r="D614" t="str">
            <v>RACK - 6U-NVR - STANDARD MAKE</v>
          </cell>
          <cell r="E614" t="str">
            <v>MICROLINES</v>
          </cell>
        </row>
        <row r="615">
          <cell r="B615" t="str">
            <v>ITAV001ST00000</v>
          </cell>
          <cell r="C615" t="str">
            <v>KEY BOARD MOUSE COMBO</v>
          </cell>
          <cell r="D615" t="str">
            <v>KEYBOARD MOUSE COMBO</v>
          </cell>
          <cell r="E615" t="str">
            <v>STANDARD</v>
          </cell>
        </row>
        <row r="616">
          <cell r="B616" t="str">
            <v>ITAF001DE03000</v>
          </cell>
          <cell r="C616" t="str">
            <v>DELL LATITUDE 3520 LAPTOP</v>
          </cell>
          <cell r="D616" t="str">
            <v>DELL LATITUDE 3520 LAPTOP WINA BAG</v>
          </cell>
          <cell r="E616" t="str">
            <v>DELL</v>
          </cell>
        </row>
        <row r="617">
          <cell r="B617" t="str">
            <v>ITAR002SO03100</v>
          </cell>
          <cell r="C617" t="str">
            <v xml:space="preserve">FIREWALL ROUTER XG87 </v>
          </cell>
          <cell r="D617" t="str">
            <v xml:space="preserve">FIREWALL ROUTER XG87 </v>
          </cell>
          <cell r="E617" t="str">
            <v>SOPHOS</v>
          </cell>
        </row>
        <row r="618">
          <cell r="B618" t="str">
            <v>ITAR003SO03100</v>
          </cell>
          <cell r="C618" t="str">
            <v>FIREWALL ROUTER XG87 WINA STREAM PORTECTION -12 MOS</v>
          </cell>
          <cell r="D618" t="str">
            <v>FIREWALL ROUTER XG87 WINA STREAM PORTECTION -12 MOS</v>
          </cell>
          <cell r="E618" t="str">
            <v>SOPHOS</v>
          </cell>
        </row>
        <row r="619">
          <cell r="B619" t="str">
            <v>ITAR004SO03100</v>
          </cell>
          <cell r="C619" t="str">
            <v>FIREWALL ROUTER XG107</v>
          </cell>
          <cell r="D619" t="str">
            <v>FIREWALL ROUTER XG107</v>
          </cell>
          <cell r="E619" t="str">
            <v>SOPHOS</v>
          </cell>
        </row>
        <row r="620">
          <cell r="B620" t="str">
            <v>ITAR005SO03100</v>
          </cell>
          <cell r="C620" t="str">
            <v>FIREWALL ROUTER XG107 WINA STREAM PORTECTION -12 MOS</v>
          </cell>
          <cell r="D620" t="str">
            <v>FIREWALL ROUTER XG107 WINA STREAM PORTECTION -12 MOS</v>
          </cell>
          <cell r="E620" t="str">
            <v>SOPHOS</v>
          </cell>
        </row>
        <row r="621">
          <cell r="B621" t="str">
            <v>ITAX002SA00000</v>
          </cell>
          <cell r="C621" t="str">
            <v>MICRO SD CARD 32 GB</v>
          </cell>
          <cell r="D621" t="str">
            <v>MICRO SD CARD 32 GB</v>
          </cell>
          <cell r="E621" t="str">
            <v>SANDISK</v>
          </cell>
        </row>
        <row r="622">
          <cell r="B622" t="str">
            <v>ITAP007BR03300</v>
          </cell>
          <cell r="C622" t="str">
            <v>BRONAER LASERJET ALL IN ONE PRINTER DCP-L3551 CDW</v>
          </cell>
          <cell r="D622" t="str">
            <v>BRONAER LASERJET ALL IN ONE PRINTER DCP-L3551 CDW</v>
          </cell>
          <cell r="E622" t="str">
            <v>BRONAER</v>
          </cell>
        </row>
        <row r="623">
          <cell r="B623" t="str">
            <v>ITAZ103HI03400</v>
          </cell>
          <cell r="C623" t="str">
            <v>32 CH NVR HIKVISION MAKE</v>
          </cell>
          <cell r="D623" t="str">
            <v>32 CH NVR HIKVISION MAKE</v>
          </cell>
          <cell r="E623" t="str">
            <v>HIKVISION</v>
          </cell>
        </row>
        <row r="624">
          <cell r="B624" t="str">
            <v>PLAM301WE00000</v>
          </cell>
          <cell r="C624" t="str">
            <v xml:space="preserve">MS FORGED SOCKET 3/8" </v>
          </cell>
          <cell r="D624" t="str">
            <v xml:space="preserve">MS FORGED SOCKET 3/8" </v>
          </cell>
          <cell r="E624" t="str">
            <v>WELLWORNA</v>
          </cell>
        </row>
        <row r="625">
          <cell r="B625" t="str">
            <v>LVLC002SB01001</v>
          </cell>
          <cell r="C625" t="str">
            <v xml:space="preserve">RADAR LEVEL TRANSMITTER 0 TO 35 MTR </v>
          </cell>
          <cell r="D625" t="str">
            <v xml:space="preserve">RADAR LEVEL TRANSMITTER 0 TO 35 MTR - 2 WIRE TYPE </v>
          </cell>
          <cell r="E625" t="str">
            <v xml:space="preserve">SBEM </v>
          </cell>
        </row>
        <row r="626">
          <cell r="B626" t="str">
            <v>PACG001ST00000</v>
          </cell>
          <cell r="C626" t="str">
            <v>STRETCH FILM 12 "</v>
          </cell>
          <cell r="D626" t="str">
            <v>STRETCH FILM 12 "</v>
          </cell>
          <cell r="E626" t="str">
            <v>MANJU CORNER</v>
          </cell>
        </row>
        <row r="627">
          <cell r="B627" t="str">
            <v>PACH001ST00000</v>
          </cell>
          <cell r="C627" t="str">
            <v>BUBBLE ROLL</v>
          </cell>
          <cell r="D627" t="str">
            <v>BUBBLE ROLL</v>
          </cell>
          <cell r="E627" t="str">
            <v>MANJU CORNER</v>
          </cell>
        </row>
        <row r="628">
          <cell r="B628" t="str">
            <v>PACI001ST00000</v>
          </cell>
          <cell r="C628" t="str">
            <v>CELLOTAPE 1" 65 MTR</v>
          </cell>
          <cell r="D628" t="str">
            <v>CELLOTAPE 1" 65 MTR</v>
          </cell>
          <cell r="E628" t="str">
            <v>MANJU CORNER</v>
          </cell>
        </row>
        <row r="629">
          <cell r="B629" t="str">
            <v>STAD001NA00000</v>
          </cell>
          <cell r="C629" t="str">
            <v>BOX FILE</v>
          </cell>
          <cell r="D629" t="str">
            <v>BOX FILE</v>
          </cell>
          <cell r="E629" t="str">
            <v>MANJU CORNER</v>
          </cell>
        </row>
        <row r="630">
          <cell r="B630" t="str">
            <v>STAE001NA00000</v>
          </cell>
          <cell r="C630" t="str">
            <v>ROOM FRESHNER</v>
          </cell>
          <cell r="D630" t="str">
            <v>ROOM FRESHNER</v>
          </cell>
          <cell r="E630" t="str">
            <v>MANJU CORNER</v>
          </cell>
        </row>
        <row r="631">
          <cell r="B631" t="str">
            <v>STAF001NA00000</v>
          </cell>
          <cell r="C631" t="str">
            <v>PAPER CUTTER BIG 18 MM</v>
          </cell>
          <cell r="D631" t="str">
            <v>PAPER CUTTER BIG 18 MM</v>
          </cell>
          <cell r="E631" t="str">
            <v>MANJU CORNER</v>
          </cell>
        </row>
        <row r="632">
          <cell r="B632" t="str">
            <v>STAG001NA00000</v>
          </cell>
          <cell r="C632" t="str">
            <v>CD COVER</v>
          </cell>
          <cell r="D632" t="str">
            <v>CD COVER</v>
          </cell>
          <cell r="E632" t="str">
            <v>MANJU CORNER</v>
          </cell>
        </row>
        <row r="633">
          <cell r="B633" t="str">
            <v>STAI001NA00000</v>
          </cell>
          <cell r="C633" t="str">
            <v>CELLOTAPE DISPENSER B</v>
          </cell>
          <cell r="D633" t="str">
            <v>CELLOTAPE DISPENSER B</v>
          </cell>
          <cell r="E633" t="str">
            <v>MANJU CORNER</v>
          </cell>
        </row>
        <row r="634">
          <cell r="B634" t="str">
            <v>STAJ001NA00000</v>
          </cell>
          <cell r="C634" t="str">
            <v>ARTLINE PRINT MARKER</v>
          </cell>
          <cell r="D634" t="str">
            <v>ARTLINE PRINT MARKER</v>
          </cell>
          <cell r="E634" t="str">
            <v>MANJU CORNER</v>
          </cell>
        </row>
        <row r="635">
          <cell r="B635" t="str">
            <v>STAK001NA00000</v>
          </cell>
          <cell r="C635" t="str">
            <v>A4 PRINT PAPER 70 GSM</v>
          </cell>
          <cell r="D635" t="str">
            <v>A4 PRINT PAPER 70 GSM</v>
          </cell>
          <cell r="E635" t="str">
            <v>MANJU CORNER</v>
          </cell>
        </row>
        <row r="636">
          <cell r="B636" t="str">
            <v>ITAD010HP03500</v>
          </cell>
          <cell r="C636" t="str">
            <v>HP 280 G6 DESKTOP</v>
          </cell>
          <cell r="D636" t="str">
            <v>HP 280 G6 DESKTOP - i3-10100/4GB RAM/1TB HDD/USB-KBD-MOUSE</v>
          </cell>
          <cell r="E636" t="str">
            <v>SATYAMEV</v>
          </cell>
        </row>
        <row r="637">
          <cell r="B637" t="str">
            <v>ITAY001HP00000</v>
          </cell>
          <cell r="C637" t="str">
            <v>HP 21.5 " LED MONITOR</v>
          </cell>
          <cell r="D637" t="str">
            <v>HP 21.5 " LED MONITOR</v>
          </cell>
          <cell r="E637" t="str">
            <v>SATYAME</v>
          </cell>
        </row>
        <row r="638">
          <cell r="B638" t="str">
            <v>PNLH001DI00000</v>
          </cell>
          <cell r="C638" t="str">
            <v>3HP VFD PANEL WINAOUT -VFD FROM VENDOR</v>
          </cell>
          <cell r="D638" t="str">
            <v>3HP VFD PANEL WINAOUT -VFD FROM VENDOR</v>
          </cell>
          <cell r="E638" t="str">
            <v>DIGITAL AUTOMATION</v>
          </cell>
        </row>
        <row r="639">
          <cell r="B639" t="str">
            <v>PNLH002DI00000</v>
          </cell>
          <cell r="C639" t="str">
            <v>5HP VFD PANEL WINAOUT -VFD FROM VENDOR</v>
          </cell>
          <cell r="D639" t="str">
            <v>5HP VFD PANEL WINAOUT -VFD FROM VENDOR</v>
          </cell>
          <cell r="E639" t="str">
            <v>DIGITAL AUTOMATION</v>
          </cell>
        </row>
        <row r="640">
          <cell r="B640" t="str">
            <v>PNLB004DI00300</v>
          </cell>
          <cell r="C640" t="str">
            <v xml:space="preserve">RTU+4 SCADA PANEL WINA HMI </v>
          </cell>
          <cell r="D640" t="str">
            <v xml:space="preserve">RTU+4 SCADA PANEL WINA HMI </v>
          </cell>
          <cell r="E640" t="str">
            <v>DIGITAL AUTOMATION</v>
          </cell>
        </row>
        <row r="641">
          <cell r="B641" t="str">
            <v>PNLB003DI00300</v>
          </cell>
          <cell r="C641" t="str">
            <v xml:space="preserve">RTU+3 SCADA PANEL WINA HMI </v>
          </cell>
          <cell r="D641" t="str">
            <v xml:space="preserve">RTU+3 SCADA PANEL WINA HMI </v>
          </cell>
          <cell r="E641" t="str">
            <v>DIGITAL AUTOMATION</v>
          </cell>
        </row>
        <row r="642">
          <cell r="B642" t="str">
            <v>PNLA006DI00000</v>
          </cell>
          <cell r="C642" t="str">
            <v>REDUNDANT RTU 6000-16 PANEL</v>
          </cell>
          <cell r="D642" t="str">
            <v>REDUNDANT RTU 6000-16 PANEL</v>
          </cell>
          <cell r="E642" t="str">
            <v>DIGITAL AUTOMATION</v>
          </cell>
        </row>
        <row r="643">
          <cell r="B643" t="str">
            <v>PPAS001ST00000</v>
          </cell>
          <cell r="C643" t="str">
            <v>RTD SENSOR PT 100 FOR PANEL TEMP</v>
          </cell>
          <cell r="D643" t="str">
            <v>RTD SENSOR PT 100 FOR PANEL TEMP</v>
          </cell>
          <cell r="E643" t="str">
            <v>DIGITAL AUTOMATION</v>
          </cell>
        </row>
        <row r="644">
          <cell r="B644" t="str">
            <v>ELAW001JK00000</v>
          </cell>
          <cell r="C644" t="str">
            <v>LIMIT SWITCH ROLLER TYPE</v>
          </cell>
          <cell r="D644" t="str">
            <v>LIMIT SWITCH ROLLER TYPE</v>
          </cell>
          <cell r="E644" t="str">
            <v>JK ENTERPRISE</v>
          </cell>
        </row>
        <row r="645">
          <cell r="B645" t="str">
            <v>UPSA103MI00704</v>
          </cell>
          <cell r="C645" t="str">
            <v>UPS 3 KVA ONLINE WINA INBUILT TRANSFORMER +EXTERNAL BATTERY WINA LINK &amp; RACK</v>
          </cell>
          <cell r="D645" t="str">
            <v>UPS 3 KVA ONLINE WINA INBUILT TRANSFORMER +EXTERNAL BATTERY WINA LINK &amp; RACK</v>
          </cell>
          <cell r="E645" t="str">
            <v>MICROTEK</v>
          </cell>
        </row>
        <row r="646">
          <cell r="B646" t="str">
            <v>CABF403KE00003</v>
          </cell>
          <cell r="C646" t="str">
            <v>CABLE 2.5 SQ MM 4 CORE</v>
          </cell>
          <cell r="D646" t="str">
            <v>CABLE 2.5 SQ MM 4 CORE FLEXIBLE FRLS</v>
          </cell>
          <cell r="E646" t="str">
            <v xml:space="preserve">KEI </v>
          </cell>
        </row>
        <row r="647">
          <cell r="B647" t="str">
            <v>CABF303KE00003</v>
          </cell>
          <cell r="C647" t="str">
            <v>CABLE 2.5 SQ MM 3 CORE KEI MAKE</v>
          </cell>
          <cell r="D647" t="str">
            <v>CABLE 2.5 SQ MM 3 CORE FLEXIBLE FRLS</v>
          </cell>
          <cell r="E647" t="str">
            <v>KEI</v>
          </cell>
        </row>
        <row r="648">
          <cell r="B648" t="str">
            <v>CABF301KE00003</v>
          </cell>
          <cell r="C648" t="str">
            <v>CABLE 1 SQ MM 3 CORE KEI MAKE</v>
          </cell>
          <cell r="D648" t="str">
            <v>CABLE 1 SQ MM 3 CORE FLEXIBLE FRLS</v>
          </cell>
          <cell r="E648" t="str">
            <v>KEI</v>
          </cell>
        </row>
        <row r="649">
          <cell r="B649" t="str">
            <v>CABF901KE00003</v>
          </cell>
          <cell r="C649" t="str">
            <v>CABLE 1 SQ MM 10 CORE KEI MAKE</v>
          </cell>
          <cell r="D649" t="str">
            <v>CABLE 1 SQ MM 10 CORE FLEXIBLE FRLS</v>
          </cell>
          <cell r="E649" t="str">
            <v>KEI</v>
          </cell>
        </row>
        <row r="650">
          <cell r="B650" t="str">
            <v>CABI505KE00007</v>
          </cell>
          <cell r="C650" t="str">
            <v>CBALE 1 SQ MM 12 CORE KEI MAKE</v>
          </cell>
          <cell r="D650" t="str">
            <v>CBALE 1 SQ MM 12 CORE KEI MAKE</v>
          </cell>
          <cell r="E650" t="str">
            <v>KEI</v>
          </cell>
        </row>
        <row r="651">
          <cell r="B651" t="str">
            <v>ITAY007DE03600</v>
          </cell>
          <cell r="C651" t="str">
            <v>DELL 24 " LED MONITOR</v>
          </cell>
          <cell r="D651" t="str">
            <v>DELL 24 " LED MONITOR</v>
          </cell>
          <cell r="E651" t="str">
            <v>DELL</v>
          </cell>
        </row>
        <row r="652">
          <cell r="B652" t="str">
            <v>ITAY008SM03700</v>
          </cell>
          <cell r="C652" t="str">
            <v>SAMSUNG 110" - 55" X4 NOS VIDEO WALL</v>
          </cell>
          <cell r="D652" t="str">
            <v>SAMSUNG 110" - 55" X4 NOS VIDEO WALL</v>
          </cell>
          <cell r="E652" t="str">
            <v>SAMSUNG</v>
          </cell>
        </row>
        <row r="653">
          <cell r="B653" t="str">
            <v>ITAR006DL03800</v>
          </cell>
          <cell r="C653" t="str">
            <v xml:space="preserve">D LINK 4G ROUTER </v>
          </cell>
          <cell r="D653" t="str">
            <v xml:space="preserve">D LINK 4G ROUTER </v>
          </cell>
          <cell r="E653" t="str">
            <v>D LINK</v>
          </cell>
        </row>
        <row r="654">
          <cell r="B654" t="str">
            <v>ITAR007SB03700</v>
          </cell>
          <cell r="C654" t="str">
            <v>ROUTER - MEDIA PLAYER FOR SAMSUNG VIDEO WALL</v>
          </cell>
          <cell r="D654" t="str">
            <v>ROUTER - MEDIA PLAYER FOR SAMSUNG VIDEO WALL</v>
          </cell>
          <cell r="E654" t="str">
            <v>SSB</v>
          </cell>
        </row>
        <row r="655">
          <cell r="B655" t="str">
            <v>ITAD011DE04000</v>
          </cell>
          <cell r="C655" t="str">
            <v>DELL PRECISION 3650 DESKTOP</v>
          </cell>
          <cell r="D655" t="str">
            <v>DELL PRECISION 3650 DESKTOP</v>
          </cell>
          <cell r="E655" t="str">
            <v>DELL</v>
          </cell>
        </row>
        <row r="656">
          <cell r="B656" t="str">
            <v>SERB002SM41180</v>
          </cell>
          <cell r="C656" t="str">
            <v>INSTALLATION CHARGES FOR VIDEO WALL 4118</v>
          </cell>
          <cell r="D656" t="str">
            <v>INSTALLATION CHARGES FOR VIDEO WALL 4118</v>
          </cell>
          <cell r="E656" t="str">
            <v>SAMSUNG</v>
          </cell>
        </row>
        <row r="657">
          <cell r="B657" t="str">
            <v>ITAH001DE04100</v>
          </cell>
          <cell r="C657" t="str">
            <v>DELL POWEREDGE R240 INTEL XENON E224</v>
          </cell>
          <cell r="D657" t="str">
            <v xml:space="preserve">DELL POWEREDGE R240 INTEL XENON E224 , 8M CACHE 4C/4T TURBO (71 W) 4DIMMS UP TO 5 3.5 " CBLED HARD DRIVES AND SOFTWARE RAID , 1X1 TB 7.2 K RPM SATA 6GBPS 512 N 3.5 " CABLE HARD </v>
          </cell>
          <cell r="E657" t="str">
            <v>DELL</v>
          </cell>
        </row>
        <row r="658">
          <cell r="B658" t="str">
            <v>ITAX003ST00000</v>
          </cell>
          <cell r="C658" t="str">
            <v>8 GB DDR4 SERVER RAM</v>
          </cell>
          <cell r="D658" t="str">
            <v>8 GB DDR4 SERVER RAM</v>
          </cell>
          <cell r="E658" t="str">
            <v>SATYAMEV</v>
          </cell>
        </row>
        <row r="659">
          <cell r="B659" t="str">
            <v>ITAP008HP04200</v>
          </cell>
          <cell r="C659" t="str">
            <v>HP OFFICE JET 7740 PRO ALLIN ONE</v>
          </cell>
          <cell r="D659" t="str">
            <v>HP OFFICE JET 7740 PRO ALLIN ONE</v>
          </cell>
          <cell r="E659" t="str">
            <v>HP</v>
          </cell>
        </row>
        <row r="660">
          <cell r="B660" t="str">
            <v>TOOT002TP00000</v>
          </cell>
          <cell r="C660" t="str">
            <v>SCREW DRIVER TAPARIA</v>
          </cell>
          <cell r="D660" t="str">
            <v>SCREW DRIVER TAPARIA</v>
          </cell>
          <cell r="E660" t="str">
            <v>TAPARIA</v>
          </cell>
        </row>
        <row r="661">
          <cell r="B661" t="str">
            <v>TOOT003TP00000</v>
          </cell>
          <cell r="C661" t="str">
            <v>TESTER TAPARIA</v>
          </cell>
          <cell r="D661" t="str">
            <v>TESTER TAPARIA</v>
          </cell>
          <cell r="E661" t="str">
            <v>TAPARIA</v>
          </cell>
        </row>
        <row r="662">
          <cell r="B662" t="str">
            <v>TOOT008NA00000</v>
          </cell>
          <cell r="C662" t="str">
            <v>HAMMER</v>
          </cell>
          <cell r="D662" t="str">
            <v>HAMMER</v>
          </cell>
          <cell r="E662" t="str">
            <v>AADISHWAR</v>
          </cell>
        </row>
        <row r="663">
          <cell r="B663" t="str">
            <v>TOOT009NA00000</v>
          </cell>
          <cell r="C663" t="str">
            <v>CRIMPING TOOLS</v>
          </cell>
          <cell r="D663" t="str">
            <v>CRIMPING TOOLS</v>
          </cell>
          <cell r="E663" t="str">
            <v>AADISHWAR</v>
          </cell>
        </row>
        <row r="664">
          <cell r="B664" t="str">
            <v>TOOT005NA00000</v>
          </cell>
          <cell r="C664" t="str">
            <v>WIRE STRIPPER</v>
          </cell>
          <cell r="D664" t="str">
            <v>WIRE STRIPPER</v>
          </cell>
          <cell r="E664" t="str">
            <v>AADISHWAR</v>
          </cell>
        </row>
        <row r="665">
          <cell r="B665" t="str">
            <v>PNLO002KR00900</v>
          </cell>
          <cell r="C665" t="str">
            <v>CANOPY FOR ULT SIZE</v>
          </cell>
          <cell r="D665" t="str">
            <v>200*200*180 CANOPY</v>
          </cell>
          <cell r="E665" t="str">
            <v>KRISHANT</v>
          </cell>
        </row>
        <row r="666">
          <cell r="B666" t="str">
            <v>UPSD410KR00806</v>
          </cell>
          <cell r="C666" t="str">
            <v>DG SET 10 KVA KOEL IGREEN WINA INBUILT STARTER PANEL</v>
          </cell>
          <cell r="D666" t="str">
            <v>DG SET 10 KVA KOEL IGREEN WINA INBUILT STARTER PANEL</v>
          </cell>
          <cell r="E666" t="str">
            <v>KRILOSKAR</v>
          </cell>
        </row>
        <row r="667">
          <cell r="B667" t="str">
            <v>CABI506PO00007</v>
          </cell>
          <cell r="C667" t="str">
            <v xml:space="preserve">CABLE 1 SQ MM 4 PARI POLYCAB </v>
          </cell>
          <cell r="D667" t="str">
            <v xml:space="preserve">CABLE 1 SQ MM 4 PARI POLYCAB </v>
          </cell>
          <cell r="E667" t="str">
            <v>POLY CAB</v>
          </cell>
        </row>
        <row r="668">
          <cell r="B668" t="str">
            <v>ELAM108VS00400</v>
          </cell>
          <cell r="C668" t="str">
            <v>polymide conduit pipe PG-11</v>
          </cell>
          <cell r="D668" t="str">
            <v>polymide conduit pipe PG-11</v>
          </cell>
          <cell r="E668" t="str">
            <v>VIDHYUT SALES CORPORATION</v>
          </cell>
        </row>
        <row r="669">
          <cell r="B669" t="str">
            <v>ELAM109VS00500</v>
          </cell>
          <cell r="C669" t="str">
            <v>polymide conduit pipe PG-21</v>
          </cell>
          <cell r="D669" t="str">
            <v>polymide conduit pipe PG-21</v>
          </cell>
          <cell r="E669" t="str">
            <v>VIDHYUT SALES CORPORATION</v>
          </cell>
        </row>
        <row r="670">
          <cell r="B670" t="str">
            <v>UPSB101FS00901</v>
          </cell>
          <cell r="C670" t="str">
            <v>UPS 1 KVA FSP MAKE FP1000 VA</v>
          </cell>
          <cell r="D670" t="str">
            <v>UPS 1 KVA FSP MAKE FP1000 VA</v>
          </cell>
          <cell r="E670" t="str">
            <v>FSP</v>
          </cell>
        </row>
        <row r="671">
          <cell r="B671" t="str">
            <v>ITAZ501HI04300</v>
          </cell>
          <cell r="C671" t="str">
            <v xml:space="preserve">PTZ CAMEA </v>
          </cell>
          <cell r="D671" t="str">
            <v>PTZ CAMEA - DS-2DF8C442IXS-AEL T5</v>
          </cell>
          <cell r="E671" t="str">
            <v>HIKVISION</v>
          </cell>
        </row>
        <row r="672">
          <cell r="B672" t="str">
            <v>PNLK006PO00000</v>
          </cell>
          <cell r="C672" t="str">
            <v>70 HP ATS PANEL</v>
          </cell>
          <cell r="D672" t="str">
            <v>70 HP ATS PANEL</v>
          </cell>
          <cell r="E672" t="str">
            <v>POWERTECH</v>
          </cell>
        </row>
        <row r="673">
          <cell r="B673" t="str">
            <v>PNLP020KR01000</v>
          </cell>
          <cell r="C673" t="str">
            <v>5 HP STARTER PANEL WINA 3 NOS ACTUATOR STARTER PANEL</v>
          </cell>
          <cell r="D673" t="str">
            <v>5 HP STARTER PANEL WINA 3 NOS ACTUATOR STARTER PANEL</v>
          </cell>
          <cell r="E673" t="str">
            <v>KRISHANT</v>
          </cell>
        </row>
        <row r="674">
          <cell r="B674" t="str">
            <v>PNLP021KR01000</v>
          </cell>
          <cell r="C674" t="str">
            <v>7.5 HP STARTER PANEL WINA 3 NOS ACTUATOR STARTER PANEL</v>
          </cell>
          <cell r="D674" t="str">
            <v>7.5 HP STARTER PANEL WINA 3 NOS ACTUATOR STARTER PANEL</v>
          </cell>
          <cell r="E674" t="str">
            <v>KRISHANT</v>
          </cell>
        </row>
        <row r="675">
          <cell r="B675" t="str">
            <v>PNLP022KR01000</v>
          </cell>
          <cell r="C675" t="str">
            <v>17.5 HP STARTER PANEL WINA 3 NOS ACTUATOR STARTER PANEL</v>
          </cell>
          <cell r="D675" t="str">
            <v>17.5 HP STARTER PANEL WINA 3 NOS ACTUATOR STARTER PANEL</v>
          </cell>
          <cell r="E675" t="str">
            <v>KRISHANT</v>
          </cell>
        </row>
        <row r="676">
          <cell r="B676" t="str">
            <v>PNLP001KR01000</v>
          </cell>
          <cell r="C676" t="str">
            <v>10 HP STARTER PANEL WINA 3 NOS ACTUATOR STARTER PANEL</v>
          </cell>
          <cell r="D676" t="str">
            <v>10 HP STARTER PANEL WINA 3 NOS ACTUATOR STARTER PANEL</v>
          </cell>
          <cell r="E676" t="str">
            <v>KRISHANT</v>
          </cell>
        </row>
        <row r="677">
          <cell r="B677" t="str">
            <v>PNLP002KR01000</v>
          </cell>
          <cell r="C677" t="str">
            <v>15 HP STARTER PANEL WINA 3 NOS ACTUATOR STARTER PANEL</v>
          </cell>
          <cell r="D677" t="str">
            <v>15 HP STARTER PANEL WINA 3 NOS ACTUATOR STARTER PANEL</v>
          </cell>
          <cell r="E677" t="str">
            <v>KRISHANT</v>
          </cell>
        </row>
        <row r="678">
          <cell r="B678" t="str">
            <v>PNLP023KR01000</v>
          </cell>
          <cell r="C678" t="str">
            <v>12.5 HP STARTER PANEL WINA 3 NOS ACTUATOR STARTER PANEL</v>
          </cell>
          <cell r="D678" t="str">
            <v>12.5 HP STARTER PANEL WINA 3 NOS ACTUATOR STARTER PANEL</v>
          </cell>
          <cell r="E678" t="str">
            <v>KRISHANT</v>
          </cell>
        </row>
        <row r="679">
          <cell r="B679" t="str">
            <v>PNLP003KR01000</v>
          </cell>
          <cell r="C679" t="str">
            <v>20 HP STARTER PANEL WINA 3 NOS ACTUATOR STARTER PANEL</v>
          </cell>
          <cell r="D679" t="str">
            <v>20 HP STARTER PANEL WINA 3 NOS ACTUATOR STARTER PANEL</v>
          </cell>
          <cell r="E679" t="str">
            <v>KRISHANT</v>
          </cell>
        </row>
        <row r="680">
          <cell r="B680" t="str">
            <v>PNLP004KR01000</v>
          </cell>
          <cell r="C680" t="str">
            <v>25 HP STARTER PANEL WINA 3 NOS ACTUATOR STARTER PANEL</v>
          </cell>
          <cell r="D680" t="str">
            <v>25 HP STARTER PANEL WINA 3 NOS ACTUATOR STARTER PANEL</v>
          </cell>
          <cell r="E680" t="str">
            <v>KRISHANT</v>
          </cell>
        </row>
        <row r="681">
          <cell r="B681" t="str">
            <v>PNLU001KR01000</v>
          </cell>
          <cell r="C681" t="str">
            <v>3 TO 5 HP TW VFD + ACT VFD + SOLAR PDB -JJM</v>
          </cell>
          <cell r="D681" t="str">
            <v>3 TO 5 HP TW VFD + ACT VFD + SOLAR PDB -JJM</v>
          </cell>
          <cell r="E681" t="str">
            <v>KRISHANT</v>
          </cell>
        </row>
        <row r="682">
          <cell r="B682" t="str">
            <v>PNLU005KR01000</v>
          </cell>
          <cell r="C682" t="str">
            <v>15 HP TW VFD + ACT VFD + SOLAR PDB -JJM</v>
          </cell>
          <cell r="D682" t="str">
            <v>15 HP TW VFD + ACT VFD + SOLAR PDB -JJM</v>
          </cell>
          <cell r="E682" t="str">
            <v>KRISHANT</v>
          </cell>
        </row>
        <row r="683">
          <cell r="B683" t="str">
            <v>PNLU008KR01000</v>
          </cell>
          <cell r="C683" t="str">
            <v>25 HP TW VFD + ACT VFD + SOLAR PDB -JJM</v>
          </cell>
          <cell r="D683" t="str">
            <v>25 HP TW VFD + ACT VFD + SOLAR PDB -JJM</v>
          </cell>
          <cell r="E683" t="str">
            <v>KRISHANT</v>
          </cell>
        </row>
        <row r="684">
          <cell r="B684" t="str">
            <v>PNLO006RM01102</v>
          </cell>
          <cell r="C684" t="str">
            <v xml:space="preserve">CANOPY </v>
          </cell>
          <cell r="D684" t="str">
            <v>320W*490H*280D CANOPY for Marsh actuator MOC :-GI</v>
          </cell>
          <cell r="E684" t="str">
            <v>Royal banglore</v>
          </cell>
        </row>
        <row r="685">
          <cell r="B685" t="str">
            <v>PNLO007RM01102</v>
          </cell>
          <cell r="C685" t="str">
            <v xml:space="preserve">CANOPY </v>
          </cell>
          <cell r="D685" t="str">
            <v>280W*360H*220D CANOPY for Marsh actuator MOC :-GI</v>
          </cell>
          <cell r="E685" t="str">
            <v>Royal banglore</v>
          </cell>
        </row>
        <row r="686">
          <cell r="B686" t="str">
            <v>PNLO008RM01102</v>
          </cell>
          <cell r="C686" t="str">
            <v xml:space="preserve">CANOPY </v>
          </cell>
          <cell r="D686" t="str">
            <v>280W*350H*260D CANOPY for Marsh actuator MOC :-GI</v>
          </cell>
          <cell r="E686" t="str">
            <v>Royal banglore</v>
          </cell>
        </row>
        <row r="687">
          <cell r="B687" t="str">
            <v>PNLO009RM01102</v>
          </cell>
          <cell r="C687" t="str">
            <v xml:space="preserve">CANOPY </v>
          </cell>
          <cell r="D687" t="str">
            <v>260W*350H*280D CANOPY for Marsh actuator MOC :-GI</v>
          </cell>
          <cell r="E687" t="str">
            <v>Royal banglore</v>
          </cell>
        </row>
        <row r="688">
          <cell r="B688" t="str">
            <v>PNLO010RM01102</v>
          </cell>
          <cell r="C688" t="str">
            <v xml:space="preserve">CANOPY </v>
          </cell>
          <cell r="D688" t="str">
            <v>230W*270H*220D CANOPY for Marsh actuator MOC :-GI</v>
          </cell>
          <cell r="E688" t="str">
            <v>Royal banglore</v>
          </cell>
        </row>
        <row r="689">
          <cell r="B689" t="str">
            <v>ELAM006PC00002</v>
          </cell>
          <cell r="C689" t="str">
            <v>50 MM Grey PVC Pipe</v>
          </cell>
          <cell r="D689" t="str">
            <v>50 MM Grey PVC Pipe</v>
          </cell>
          <cell r="E689" t="str">
            <v>Prince</v>
          </cell>
        </row>
        <row r="690">
          <cell r="B690" t="str">
            <v>PNLF008PR00000</v>
          </cell>
          <cell r="C690" t="str">
            <v xml:space="preserve">Tubewell Starter Panel - 12.5 HP X 2 nos </v>
          </cell>
          <cell r="D690" t="str">
            <v xml:space="preserve">Tubewell Starter Panel - 12.5 HP X 2 nos </v>
          </cell>
          <cell r="E690" t="str">
            <v xml:space="preserve">PURVAX </v>
          </cell>
        </row>
        <row r="691">
          <cell r="B691" t="str">
            <v>PNLF028PR00000</v>
          </cell>
          <cell r="C691" t="str">
            <v xml:space="preserve">Pump House Starter Panel - 60 HP X3 nos </v>
          </cell>
          <cell r="D691" t="str">
            <v xml:space="preserve">Pump House Starter Panel - 60 HP X3 nos </v>
          </cell>
          <cell r="E691" t="str">
            <v xml:space="preserve">PURVAX </v>
          </cell>
        </row>
        <row r="692">
          <cell r="B692" t="str">
            <v>PNLF029PR00000</v>
          </cell>
          <cell r="C692" t="str">
            <v xml:space="preserve">Pump House Starter Panel - 100 HP X3 nos </v>
          </cell>
          <cell r="D692" t="str">
            <v xml:space="preserve">Pump House Starter Panel - 100 HP X3 nos </v>
          </cell>
          <cell r="E692" t="str">
            <v xml:space="preserve">PURVAX </v>
          </cell>
        </row>
        <row r="693">
          <cell r="B693" t="str">
            <v>PNLF024PR00000</v>
          </cell>
          <cell r="C693" t="str">
            <v xml:space="preserve">Pump House Starter Panel - 40 HP X 2 nos </v>
          </cell>
          <cell r="D693" t="str">
            <v xml:space="preserve">Pump House Starter Panel - 40 HP X 2 nos </v>
          </cell>
          <cell r="E693" t="str">
            <v xml:space="preserve">PURVAX </v>
          </cell>
        </row>
        <row r="694">
          <cell r="B694" t="str">
            <v>EFMR008SB00103</v>
          </cell>
          <cell r="C694" t="str">
            <v>250 MM FULL BORE SBEM FLOW METER</v>
          </cell>
          <cell r="D694" t="str">
            <v>250 MM FULL BORE FLOWTECH FLOW METER</v>
          </cell>
          <cell r="E694" t="str">
            <v>SBEM</v>
          </cell>
        </row>
        <row r="695">
          <cell r="B695" t="str">
            <v>ELAM110PR00000</v>
          </cell>
          <cell r="C695" t="str">
            <v>20 mm PVC BLACK  medium grade</v>
          </cell>
          <cell r="D695" t="str">
            <v>20 mm PVC BLACK  medium grade</v>
          </cell>
          <cell r="E695" t="str">
            <v>PRECISION</v>
          </cell>
        </row>
        <row r="696">
          <cell r="B696" t="str">
            <v>ELAM111PR00000</v>
          </cell>
          <cell r="C696" t="str">
            <v>50 mm PVC BLACK  medium grade</v>
          </cell>
          <cell r="D696" t="str">
            <v>50 mm PVC BLACK  medium grade</v>
          </cell>
          <cell r="E696" t="str">
            <v>PRECISION</v>
          </cell>
        </row>
        <row r="697">
          <cell r="B697" t="str">
            <v>CIVE000XX00000</v>
          </cell>
          <cell r="C697" t="str">
            <v>CIVE000XX00000</v>
          </cell>
          <cell r="D697" t="str">
            <v>CIVE000XX00000</v>
          </cell>
          <cell r="E697"/>
        </row>
        <row r="698">
          <cell r="B698" t="str">
            <v>ELAX001CB00000</v>
          </cell>
          <cell r="C698" t="str">
            <v>Encoder Coupler  Accessories</v>
          </cell>
          <cell r="D698" t="str">
            <v>Encoder Coupler  Accessories</v>
          </cell>
          <cell r="E698" t="str">
            <v>Chauhan broNAers</v>
          </cell>
        </row>
        <row r="699">
          <cell r="B699" t="str">
            <v>ELAB017VS00000</v>
          </cell>
          <cell r="C699" t="str">
            <v>4.0 SQ.MM RING TYPE INSU --LUGS</v>
          </cell>
          <cell r="D699" t="str">
            <v>4.0 SQ.MM RING TYPE INSU --LUGS</v>
          </cell>
          <cell r="E699" t="str">
            <v>VIDHYUT SALES CORPORATION</v>
          </cell>
        </row>
        <row r="700">
          <cell r="B700" t="str">
            <v>CABF201PO00001</v>
          </cell>
          <cell r="C700" t="str">
            <v xml:space="preserve">CABLE 0.5 SQ MM 2 core PVC PVC POLYCAB </v>
          </cell>
          <cell r="D700" t="str">
            <v xml:space="preserve">CABLE 0.5 SQ MM 2 core PVC PVC POLYCAB </v>
          </cell>
          <cell r="E700" t="str">
            <v>Polycab</v>
          </cell>
        </row>
        <row r="701">
          <cell r="B701" t="str">
            <v>ITAP009HP04400</v>
          </cell>
          <cell r="C701" t="str">
            <v>HP LASERJET 1018 PRINTER</v>
          </cell>
          <cell r="D701" t="str">
            <v>HP LASERJET 1018 PRINTER</v>
          </cell>
          <cell r="E701" t="str">
            <v>HP</v>
          </cell>
        </row>
        <row r="702">
          <cell r="B702" t="str">
            <v>PNLP020NE01000</v>
          </cell>
          <cell r="C702" t="str">
            <v>5 HP STARTER PANEL WINA 3 NOS ACTUATOR STARTER PANEL</v>
          </cell>
          <cell r="D702" t="str">
            <v>5 HP STARTER PANEL WINA 3 NOS ACTUATOR STARTER PANEL</v>
          </cell>
          <cell r="E702" t="str">
            <v>NEXTGEN POWER CONTROL</v>
          </cell>
        </row>
        <row r="703">
          <cell r="B703" t="str">
            <v>PNLP021NE01000</v>
          </cell>
          <cell r="C703" t="str">
            <v>7.5 HP STARTER PANEL WINA 3 NOS ACTUATOR STARTER PANEL</v>
          </cell>
          <cell r="D703" t="str">
            <v>7.5 HP STARTER PANEL WINA 3 NOS ACTUATOR STARTER PANEL</v>
          </cell>
          <cell r="E703" t="str">
            <v>NEXTGEN POWER CONTROL</v>
          </cell>
        </row>
        <row r="704">
          <cell r="B704" t="str">
            <v>PNLP022NE01000</v>
          </cell>
          <cell r="C704" t="str">
            <v>17.5 HP STARTER PANEL WINA 3 NOS ACTUATOR STARTER PANEL</v>
          </cell>
          <cell r="D704" t="str">
            <v>17.5 HP STARTER PANEL WINA 3 NOS ACTUATOR STARTER PANEL</v>
          </cell>
          <cell r="E704" t="str">
            <v>NEXTGEN POWER CONTROL</v>
          </cell>
        </row>
        <row r="705">
          <cell r="B705" t="str">
            <v>PNLP001NE01000</v>
          </cell>
          <cell r="C705" t="str">
            <v>10 HP STARTER PANEL WINA 3 NOS ACTUATOR STARTER PANEL</v>
          </cell>
          <cell r="D705" t="str">
            <v>10 HP STARTER PANEL WINA 3 NOS ACTUATOR STARTER PANEL</v>
          </cell>
          <cell r="E705" t="str">
            <v>NEXTGEN POWER CONTROL</v>
          </cell>
        </row>
        <row r="706">
          <cell r="B706" t="str">
            <v>PNLP002NE01000</v>
          </cell>
          <cell r="C706" t="str">
            <v>15 HP STARTER PANEL WINA 3 NOS ACTUATOR STARTER PANEL</v>
          </cell>
          <cell r="D706" t="str">
            <v>15 HP STARTER PANEL WINA 3 NOS ACTUATOR STARTER PANEL</v>
          </cell>
          <cell r="E706" t="str">
            <v>NEXTGEN POWER CONTROL</v>
          </cell>
        </row>
        <row r="707">
          <cell r="B707" t="str">
            <v>PNLP023NE01000</v>
          </cell>
          <cell r="C707" t="str">
            <v>12.5 HP STARTER PANEL WINA 3 NOS ACTUATOR STARTER PANEL</v>
          </cell>
          <cell r="D707" t="str">
            <v>12.5 HP STARTER PANEL WINA 3 NOS ACTUATOR STARTER PANEL</v>
          </cell>
          <cell r="E707" t="str">
            <v>NEXTGEN POWER CONTROL</v>
          </cell>
        </row>
        <row r="708">
          <cell r="B708" t="str">
            <v>PNLP003NE01000</v>
          </cell>
          <cell r="C708" t="str">
            <v>20 HP STARTER PANEL WINA 3 NOS ACTUATOR STARTER PANEL</v>
          </cell>
          <cell r="D708" t="str">
            <v>20 HP STARTER PANEL WINA 3 NOS ACTUATOR STARTER PANEL</v>
          </cell>
          <cell r="E708" t="str">
            <v>NEXTGEN POWER CONTROL</v>
          </cell>
        </row>
        <row r="709">
          <cell r="B709" t="str">
            <v>PNLP004NE01000</v>
          </cell>
          <cell r="C709" t="str">
            <v>25 HP STARTER PANEL WINA 3 NOS ACTUATOR STARTER PANEL</v>
          </cell>
          <cell r="D709" t="str">
            <v>25 HP STARTER PANEL WINA 3 NOS ACTUATOR STARTER PANEL</v>
          </cell>
          <cell r="E709" t="str">
            <v>NEXTGEN POWER CONTROL</v>
          </cell>
        </row>
        <row r="710">
          <cell r="B710" t="str">
            <v>PNLP024NE01000</v>
          </cell>
          <cell r="C710" t="str">
            <v>2 HP STARTER PANEL WINA 3 NOS ACTUATOR STARTER PANEL</v>
          </cell>
          <cell r="D710" t="str">
            <v>2 HP STARTER PANEL WINA 3 NOS ACTUATOR STARTER PANEL</v>
          </cell>
          <cell r="E710" t="str">
            <v>NEXTGEN POWER CONTROL</v>
          </cell>
        </row>
        <row r="711">
          <cell r="B711" t="str">
            <v>PNLP025NE01000</v>
          </cell>
          <cell r="C711" t="str">
            <v>3 HP STARTER PANEL WINA 3 NOS ACTUATOR STARTER PANEL</v>
          </cell>
          <cell r="D711" t="str">
            <v>3 HP STARTER PANEL WINA 3 NOS ACTUATOR STARTER PANEL</v>
          </cell>
          <cell r="E711" t="str">
            <v>NEXTGEN POWER CONTROL</v>
          </cell>
        </row>
        <row r="712">
          <cell r="B712" t="str">
            <v>PNLP005NE01000</v>
          </cell>
          <cell r="C712" t="str">
            <v>30 HP STARTER PANEL WINA 3 NOS ACTUATOR STARTER PANEL</v>
          </cell>
          <cell r="D712" t="str">
            <v>30 HP STARTER PANEL WINA 3 NOS ACTUATOR STARTER PANEL</v>
          </cell>
          <cell r="E712" t="str">
            <v>NEXTGEN POWER CONTROL</v>
          </cell>
        </row>
        <row r="713">
          <cell r="B713" t="str">
            <v>ITAD012HP04500</v>
          </cell>
          <cell r="C713" t="str">
            <v>Core i7 10NA gen Desktop/Laptop wiNA 8 GB RAM and 1TB SSD wiNA latest configurations</v>
          </cell>
          <cell r="D713" t="str">
            <v>Core i7 10NA gen Desktop/Laptop wiNA 8 GB RAM and 1TB SSD wiNA latest configurations</v>
          </cell>
          <cell r="E713" t="str">
            <v>HP</v>
          </cell>
        </row>
        <row r="714">
          <cell r="B714" t="str">
            <v>ITAB105DL00000</v>
          </cell>
          <cell r="C714" t="str">
            <v>SURGE PROTECTOR FOR ENAERNET</v>
          </cell>
          <cell r="D714" t="str">
            <v>SURGE PROTECTOR FOR ENAERNET</v>
          </cell>
          <cell r="E714" t="str">
            <v>DLINK</v>
          </cell>
        </row>
        <row r="715">
          <cell r="B715" t="str">
            <v>ITAY009SM00000</v>
          </cell>
          <cell r="C715" t="str">
            <v>SAMSUNG 65 " LED MONITOR</v>
          </cell>
          <cell r="D715" t="str">
            <v>SAMSUNG 65 " LED MONITOR</v>
          </cell>
          <cell r="E715" t="str">
            <v>SAMSUNG</v>
          </cell>
        </row>
        <row r="716">
          <cell r="B716" t="str">
            <v>SERB000DE52490</v>
          </cell>
          <cell r="C716" t="str">
            <v>INSTALLATION WORK</v>
          </cell>
          <cell r="D716" t="str">
            <v xml:space="preserve">INSTALLATION WORK AT Jamnagar SITE </v>
          </cell>
          <cell r="E716" t="str">
            <v>DEV ELECTRICAL</v>
          </cell>
        </row>
        <row r="717">
          <cell r="B717" t="str">
            <v>LVLE120MI00003</v>
          </cell>
          <cell r="C717" t="str">
            <v xml:space="preserve">HYDROSTATIC PRESSURE TRANSMITTER 0 TO 120 MTR </v>
          </cell>
          <cell r="D717" t="str">
            <v xml:space="preserve">HYDROSTATIC PRESSURE TRANSMITTER 0 TO 120 MTR </v>
          </cell>
          <cell r="E717" t="str">
            <v>MICROSENSOR</v>
          </cell>
        </row>
        <row r="718">
          <cell r="B718" t="str">
            <v>EFMF011FT00003</v>
          </cell>
          <cell r="C718" t="str">
            <v>40 MM FULL BORE FLOWTECH FLWO METER 20 MTR CABLE</v>
          </cell>
          <cell r="D718" t="str">
            <v>40 MM FULL BORE FLOWTECH FLWO METER 20 MTR CABLE</v>
          </cell>
          <cell r="E718" t="str">
            <v>FLOWTECH</v>
          </cell>
        </row>
        <row r="719">
          <cell r="B719" t="str">
            <v>ELAM103VS00000</v>
          </cell>
          <cell r="C719" t="str">
            <v>25 MM CONDUIT PVC FLEXIBLE MEDIUM GRADE</v>
          </cell>
          <cell r="D719" t="str">
            <v>25 MM CONDUIT PVC FLEXIBLE MEDIUM GRADE</v>
          </cell>
          <cell r="E719" t="str">
            <v>VIDHYUT SALES</v>
          </cell>
        </row>
        <row r="720">
          <cell r="B720" t="str">
            <v>PLAJ110AN00000</v>
          </cell>
          <cell r="C720" t="str">
            <v>MS FLANGE 40 MM FLOW METER SIZE</v>
          </cell>
          <cell r="D720" t="str">
            <v>MS FLANGE 40 MM FLOW METER SIZE</v>
          </cell>
          <cell r="E720" t="str">
            <v>ANTRIKSHA</v>
          </cell>
        </row>
        <row r="721">
          <cell r="B721" t="str">
            <v>ELAP002DT00100</v>
          </cell>
          <cell r="C721" t="str">
            <v>CABLE TRAY 100 X 50 MM GI PERFORATED</v>
          </cell>
          <cell r="D721" t="str">
            <v>CABLE TRAY 100 X 50 MM GI PERFORATED</v>
          </cell>
          <cell r="E721" t="str">
            <v>DUDHAT</v>
          </cell>
          <cell r="F721"/>
        </row>
        <row r="722">
          <cell r="B722" t="str">
            <v>ELAP003DT00100</v>
          </cell>
          <cell r="C722" t="str">
            <v>CABLE TRAY 150 X 50 MM GI PERFORATED</v>
          </cell>
          <cell r="D722" t="str">
            <v>CABLE TRAY 150 X 50 MM GI PERFORATED</v>
          </cell>
          <cell r="E722" t="str">
            <v>DUDHAT</v>
          </cell>
        </row>
        <row r="723">
          <cell r="B723" t="str">
            <v>ELAB004ST00000</v>
          </cell>
          <cell r="C723" t="str">
            <v>1.00 SQ. MM COPPER TYPE, PVC INSULATED RING TYPE--LUGS</v>
          </cell>
          <cell r="D723" t="str">
            <v>1.00 SQ. MM COPPER TYPE, PVC INSULATED RING TYPE--LUGS</v>
          </cell>
        </row>
        <row r="724">
          <cell r="B724" t="str">
            <v>ELAB005ST00000</v>
          </cell>
          <cell r="C724" t="str">
            <v>1.5 SQ. MM COPPER TYPE, PVC INSULATED RING TYPE--LUGS</v>
          </cell>
          <cell r="D724" t="str">
            <v>1.5 SQ. MM COPPER TYPE, PVC INSULATED RING TYPE--LUGS</v>
          </cell>
        </row>
        <row r="725">
          <cell r="B725" t="str">
            <v>ELAB006ST00000</v>
          </cell>
          <cell r="C725" t="str">
            <v>2.5 SQ. MM COPPER TYPE, PVC INSULATED RING TYPE--LUGS</v>
          </cell>
          <cell r="D725" t="str">
            <v>2.5 SQ. MM COPPER TYPE, PVC INSULATED RING TYPE--LUGS</v>
          </cell>
        </row>
        <row r="726">
          <cell r="B726" t="str">
            <v>ELAA001ST00000</v>
          </cell>
          <cell r="C726" t="str">
            <v>100 MM-CABLE TIE</v>
          </cell>
          <cell r="D726" t="str">
            <v>100 MM-CABLE TIE</v>
          </cell>
        </row>
        <row r="727">
          <cell r="B727" t="str">
            <v>ELAA002ST00000</v>
          </cell>
          <cell r="C727" t="str">
            <v>150 MM-CABLE TIE</v>
          </cell>
          <cell r="D727" t="str">
            <v>150 MM-CABLE TIE</v>
          </cell>
        </row>
        <row r="728">
          <cell r="B728" t="str">
            <v>ELAH002ST00000</v>
          </cell>
          <cell r="C728" t="str">
            <v>GASKET</v>
          </cell>
        </row>
        <row r="729">
          <cell r="B729" t="str">
            <v xml:space="preserve">ITAD043ST00000	</v>
          </cell>
          <cell r="C729" t="str">
            <v>External POE Switch Enclosure</v>
          </cell>
          <cell r="D729" t="str">
            <v>External POE Switch Enclosure</v>
          </cell>
          <cell r="E729" t="str">
            <v>Standard</v>
          </cell>
        </row>
        <row r="730">
          <cell r="B730" t="str">
            <v>TOOA001HI00000</v>
          </cell>
          <cell r="C730" t="str">
            <v>SAFETY SHOES</v>
          </cell>
          <cell r="D730" t="str">
            <v xml:space="preserve">Safety shoes </v>
          </cell>
          <cell r="E730" t="str">
            <v>Hillson</v>
          </cell>
        </row>
        <row r="731">
          <cell r="B731" t="str">
            <v>TOOA002UN00000</v>
          </cell>
          <cell r="C731" t="str">
            <v>SAFETY HELMET</v>
          </cell>
          <cell r="D731" t="str">
            <v>Safety Helmet</v>
          </cell>
          <cell r="E731" t="str">
            <v>Unisafe</v>
          </cell>
        </row>
        <row r="732">
          <cell r="B732" t="str">
            <v>TOOA003ST00000</v>
          </cell>
          <cell r="C732" t="str">
            <v>SAFETY GOOGLES</v>
          </cell>
          <cell r="D732" t="str">
            <v>SAFETY GOOGLES</v>
          </cell>
          <cell r="E732" t="str">
            <v>STANDARD</v>
          </cell>
        </row>
        <row r="733">
          <cell r="B733" t="str">
            <v>SERC001ST61600</v>
          </cell>
          <cell r="C733" t="str">
            <v>Welding work at GSPL Sites</v>
          </cell>
          <cell r="E733" t="str">
            <v>STANDARD</v>
          </cell>
        </row>
        <row r="734">
          <cell r="B734" t="str">
            <v>PNLG003KR00100</v>
          </cell>
          <cell r="C734" t="str">
            <v>20 HP SOFTSTARTER PANEL WINA 2 NOS SINGLE PHASE ACTUATOR CONTROL</v>
          </cell>
          <cell r="D734" t="str">
            <v>20 HP SOFTSTARTER PANEL WINA 2 NOS SINGLE PHASE ACTUATOR CONTROL</v>
          </cell>
          <cell r="E734" t="str">
            <v>KRISHANT</v>
          </cell>
        </row>
        <row r="735">
          <cell r="B735" t="str">
            <v>PNLF003KR00100</v>
          </cell>
          <cell r="C735" t="str">
            <v>20 HP STAR DELTA STARTER PANEL WINA 2 NOS SINGLE PHASE ACTUATOR CONTROL</v>
          </cell>
          <cell r="D735" t="str">
            <v>20 HP STAR DELTA STARTER PANEL WINA 2 NOS SINGLE PHASE ACTUATOR CONTROL</v>
          </cell>
          <cell r="E735" t="str">
            <v>KRISHANT</v>
          </cell>
        </row>
        <row r="736">
          <cell r="B736" t="str">
            <v>PLAX101FI00600</v>
          </cell>
          <cell r="C736" t="str">
            <v>FRP DRUM 100 LTR FOR CHLORINE DOSING</v>
          </cell>
          <cell r="D736" t="str">
            <v>FRP DRUM 100 LTR FOR CHLORINE DOSING</v>
          </cell>
          <cell r="E736" t="str">
            <v>FILTRA CONSULTANT AND ENGINEERING LTD</v>
          </cell>
        </row>
        <row r="737">
          <cell r="B737" t="str">
            <v>LVLE200MI00004</v>
          </cell>
          <cell r="C737" t="str">
            <v>HYDROSTSTIC DEPNA SENSOR 0-200 METER</v>
          </cell>
          <cell r="D737" t="str">
            <v>HYDROSTSTIC DEPNA SENSOR 0-200 METER</v>
          </cell>
          <cell r="E737" t="str">
            <v>MICROSENSOR</v>
          </cell>
        </row>
        <row r="738">
          <cell r="B738" t="str">
            <v>PLAM009CB00000</v>
          </cell>
          <cell r="C738" t="str">
            <v xml:space="preserve">Reducer Backet for SLC receptical </v>
          </cell>
          <cell r="D738" t="str">
            <v>Reducer Bracket</v>
          </cell>
          <cell r="E738" t="str">
            <v>Chauhan BroNAers</v>
          </cell>
        </row>
        <row r="739">
          <cell r="B739" t="str">
            <v>PPAA003CC00000</v>
          </cell>
          <cell r="C739" t="str">
            <v>Over Voltage Protection for SLC</v>
          </cell>
          <cell r="D739" t="str">
            <v>Over Voltage Protection for SLC</v>
          </cell>
          <cell r="E739" t="str">
            <v>CIMCON</v>
          </cell>
        </row>
        <row r="740">
          <cell r="B740" t="str">
            <v>CIMA004NA00000</v>
          </cell>
          <cell r="C740" t="str">
            <v>SLC 3100</v>
          </cell>
          <cell r="D740" t="str">
            <v>SLC 3100</v>
          </cell>
          <cell r="E740" t="str">
            <v>CIMCON</v>
          </cell>
        </row>
        <row r="741">
          <cell r="B741" t="str">
            <v>CIMA012NA00000</v>
          </cell>
          <cell r="C741" t="str">
            <v>4G Wireless gateway and DCU</v>
          </cell>
          <cell r="D741" t="str">
            <v>4G Wireless gateway and DCU</v>
          </cell>
          <cell r="E741" t="str">
            <v>CIMCON</v>
          </cell>
        </row>
        <row r="742">
          <cell r="B742" t="str">
            <v>CIMA015NA00000</v>
          </cell>
          <cell r="C742" t="str">
            <v>Handheld Unit</v>
          </cell>
          <cell r="D742" t="str">
            <v>Handheld Unit</v>
          </cell>
          <cell r="E742" t="str">
            <v>CIMCON</v>
          </cell>
        </row>
        <row r="743">
          <cell r="B743" t="str">
            <v>TOOT009ST00000</v>
          </cell>
          <cell r="C743" t="str">
            <v>crimping Tool</v>
          </cell>
          <cell r="D743" t="str">
            <v>Crimping Tool Smarat -16</v>
          </cell>
          <cell r="E743" t="str">
            <v>SAMRAT-KUMAR TOOLS</v>
          </cell>
        </row>
        <row r="744">
          <cell r="B744" t="str">
            <v>TOOT</v>
          </cell>
        </row>
        <row r="745">
          <cell r="B745" t="str">
            <v>PLAG006ST00000</v>
          </cell>
          <cell r="C745" t="str">
            <v xml:space="preserve">MS Pipe Class C 5.8mm NAickness, size 150mm </v>
          </cell>
          <cell r="D745" t="str">
            <v xml:space="preserve">MS Pipe Class C 5.8mm NAickness, Line  size 150mm </v>
          </cell>
          <cell r="E745" t="str">
            <v>Sandard</v>
          </cell>
        </row>
        <row r="746">
          <cell r="B746" t="str">
            <v>PLAG008ST00000</v>
          </cell>
          <cell r="C746" t="str">
            <v xml:space="preserve">MS Pipe Class C 6mm NAickness, size 250mm </v>
          </cell>
          <cell r="D746" t="str">
            <v xml:space="preserve">MS Pipe Class C 6mm NAickness, Line size 250mm </v>
          </cell>
          <cell r="E746" t="str">
            <v>Sandard</v>
          </cell>
        </row>
        <row r="747">
          <cell r="B747" t="str">
            <v>PLAG010ST00000</v>
          </cell>
          <cell r="C747" t="str">
            <v xml:space="preserve">MS Pipe Class C 6mm NAickness, size 350mm </v>
          </cell>
          <cell r="D747" t="str">
            <v xml:space="preserve">MS Pipe Class C 6mm NAickness, Line size 350mm </v>
          </cell>
          <cell r="E747" t="str">
            <v>Sandard</v>
          </cell>
        </row>
        <row r="748">
          <cell r="B748" t="str">
            <v>PNLF003NE00000</v>
          </cell>
          <cell r="C748" t="str">
            <v>7.5 HP x 1 STAR DELTA PANEL WINAOUT MINI RTU</v>
          </cell>
          <cell r="D748" t="str">
            <v>7.5 HP x 1 STAR DELTA PANEL WINAOUT MINI RTU</v>
          </cell>
          <cell r="E748" t="str">
            <v>NEXTGEN POWER CONTROL</v>
          </cell>
        </row>
        <row r="749">
          <cell r="B749" t="str">
            <v>PNLF005NE00000</v>
          </cell>
          <cell r="C749" t="str">
            <v>10 HP X 1 STAR DELTA PANEL WINAOUT MINI RTU</v>
          </cell>
          <cell r="D749" t="str">
            <v>10 HP X 1 STAR DELTA PANEL WINAOUT MINI RTU</v>
          </cell>
          <cell r="E749" t="str">
            <v>NEXTGEN POWER CONTROL</v>
          </cell>
        </row>
        <row r="750">
          <cell r="B750" t="str">
            <v>PNLF017NE00000</v>
          </cell>
          <cell r="C750" t="str">
            <v>25 HP X 1 STAR DELTA PANEL WINAOUT MINI RTU</v>
          </cell>
          <cell r="D750" t="str">
            <v>25 HP X 1 STAR DELTA PANEL WINAOUT MINI RTU</v>
          </cell>
          <cell r="E750" t="str">
            <v>NEXTGEN POWER CONTROL</v>
          </cell>
          <cell r="F750"/>
        </row>
        <row r="751">
          <cell r="B751" t="str">
            <v>PNLF002NE00000</v>
          </cell>
          <cell r="C751" t="str">
            <v>5 HP X 2 NO STAR DELTA PANEL WINAOUT MINI RTU</v>
          </cell>
          <cell r="D751" t="str">
            <v>5 HP X 2 NO STAR DELTA PANEL WINAOUT MINI RTU</v>
          </cell>
          <cell r="E751" t="str">
            <v>NEXTGEN POWER CONTROL</v>
          </cell>
          <cell r="F751"/>
        </row>
        <row r="752">
          <cell r="B752" t="str">
            <v>PNLF006NE00000</v>
          </cell>
          <cell r="C752" t="str">
            <v>10 HP X 2 NO STAR DELTA PANEL WINAOUT MINI RTU</v>
          </cell>
          <cell r="D752" t="str">
            <v>10 HP X 2 NO STAR DELTA PANEL WINAOUT MINI RTU</v>
          </cell>
          <cell r="E752" t="str">
            <v>NEXTGEN POWER CONTROL</v>
          </cell>
          <cell r="F752"/>
        </row>
        <row r="753">
          <cell r="B753" t="str">
            <v>PNLF008NE00000</v>
          </cell>
          <cell r="C753" t="str">
            <v>12.5 HP X 2 NO STAR DELTA PANEL WINAOUT MINI RTU</v>
          </cell>
          <cell r="D753" t="str">
            <v>12.5 HP X 2 NO STAR DELTA PANEL WINAOUT MINI RTU</v>
          </cell>
          <cell r="E753" t="str">
            <v>NEXTGEN POWER CONTROL</v>
          </cell>
          <cell r="F753"/>
        </row>
        <row r="754">
          <cell r="B754"/>
          <cell r="C754" t="str">
            <v>40 HP X 2 NO STAR DELTA PANEL WINAOUT MINI RTU</v>
          </cell>
          <cell r="D754" t="str">
            <v>40 HP X 2 NO STAR DELTA PANEL WINAOUT MINI RTU</v>
          </cell>
          <cell r="E754" t="str">
            <v>NEXTGEN POWER CONTROL</v>
          </cell>
          <cell r="F754"/>
        </row>
        <row r="755">
          <cell r="B755" t="str">
            <v>MOVJ003MA01400</v>
          </cell>
          <cell r="C755" t="str">
            <v xml:space="preserve">MOTORISED ACTUATOR WINAOUT VALVE 100 MM </v>
          </cell>
          <cell r="D755" t="str">
            <v>MOTORISED ACTUATOR WINAOUT VALVE 100 MM -M120/020/E</v>
          </cell>
          <cell r="E755" t="str">
            <v xml:space="preserve">MARSH </v>
          </cell>
          <cell r="F755"/>
        </row>
        <row r="756">
          <cell r="B756" t="str">
            <v>MOVJ005MA01400</v>
          </cell>
          <cell r="C756" t="str">
            <v xml:space="preserve">MOTORISED ACTUATOR WINAOUT VALVE 150 MM </v>
          </cell>
          <cell r="D756" t="str">
            <v>MOTORISED ACTUATOR WINAOUT VALVE 150 MM -M120/020/E</v>
          </cell>
          <cell r="E756" t="str">
            <v>MARSH</v>
          </cell>
          <cell r="F756"/>
        </row>
        <row r="757">
          <cell r="B757" t="str">
            <v>MOVB109MA00000</v>
          </cell>
          <cell r="C757" t="str">
            <v>SLUICE VALVE CIDF 100 MM</v>
          </cell>
          <cell r="D757" t="str">
            <v>SLUICE VALVE CIDF 100 MM</v>
          </cell>
          <cell r="E757" t="str">
            <v>MARSH</v>
          </cell>
          <cell r="F757"/>
        </row>
        <row r="758">
          <cell r="B758" t="str">
            <v>MOVB111MA00000</v>
          </cell>
          <cell r="C758" t="str">
            <v>SLUICE VALVE CIDF 150 MM</v>
          </cell>
          <cell r="D758" t="str">
            <v>SLUICE VALVE CIDF 150 MM</v>
          </cell>
          <cell r="E758" t="str">
            <v>MARSH</v>
          </cell>
          <cell r="F758"/>
        </row>
        <row r="759">
          <cell r="B759" t="str">
            <v>MOVJ006MA01600</v>
          </cell>
          <cell r="C759" t="str">
            <v xml:space="preserve">MOTORISED ACTUATOR WINAOUT VALVE 200 MM </v>
          </cell>
          <cell r="D759" t="str">
            <v>MOTORISED ACTUATOR WINAOUT VALVE 200 MM -M200/020/E</v>
          </cell>
          <cell r="E759" t="str">
            <v>MARSH</v>
          </cell>
          <cell r="F759"/>
        </row>
        <row r="760">
          <cell r="B760" t="str">
            <v>MOVJ007MA01700</v>
          </cell>
          <cell r="C760" t="str">
            <v xml:space="preserve">MOTORISED ACTUATOR WINAOUT VALVE 250 MM </v>
          </cell>
          <cell r="D760" t="str">
            <v>MOTORISED ACTUATOR WINAOUT VALVE 250 MM -M150/060/MGT 60/E</v>
          </cell>
          <cell r="E760" t="str">
            <v>MARSH</v>
          </cell>
          <cell r="F760"/>
        </row>
        <row r="761">
          <cell r="B761" t="str">
            <v>MOVJ008MA01800</v>
          </cell>
          <cell r="C761" t="str">
            <v xml:space="preserve">MOTORISED ACTUATOR WINAOUT VALVE 300 MM </v>
          </cell>
          <cell r="D761" t="str">
            <v>MOTORISED ACTUATOR WINAOUT VALVE 300 MM-M150/060/MSR 75/E</v>
          </cell>
          <cell r="E761" t="str">
            <v>MARSH</v>
          </cell>
          <cell r="F761"/>
        </row>
        <row r="762">
          <cell r="B762" t="str">
            <v>MOVJ008MA01900</v>
          </cell>
          <cell r="C762" t="str">
            <v xml:space="preserve">MOTORISED ACTUATOR WINAOUT VALVE 300 MM </v>
          </cell>
          <cell r="D762" t="str">
            <v>MOTORISED ACTUATOR WINAOUT VALVE 300 MM-M150/060/MGT 105/E</v>
          </cell>
          <cell r="E762" t="str">
            <v>MARSH</v>
          </cell>
          <cell r="F762"/>
        </row>
        <row r="763">
          <cell r="B763" t="str">
            <v>MOVJ009MA01800</v>
          </cell>
          <cell r="C763" t="str">
            <v xml:space="preserve">MOTORISED ACTUATOR WINAOUT VALVE 350 MM </v>
          </cell>
          <cell r="D763" t="str">
            <v>MOTORISED ACTUATOR WINAOUT VALVE 350 MM -M150/060/MSR 75/E</v>
          </cell>
          <cell r="E763" t="str">
            <v>MARSH</v>
          </cell>
          <cell r="F763"/>
        </row>
        <row r="764">
          <cell r="B764" t="str">
            <v>MISB015PT00000</v>
          </cell>
          <cell r="C764" t="str">
            <v>ZPS PANEL WINA 3 NOS. 62 KW SOFT STARTER, APR AND 5 NOS. ACT. PANEL</v>
          </cell>
          <cell r="D764" t="str">
            <v>ZPS PANEL WINA 3 NOS. 62 KW SOFT STARTER, APR AND 5 NOS. ACT. PANEL</v>
          </cell>
          <cell r="E764" t="str">
            <v>POWERTEK</v>
          </cell>
          <cell r="F764"/>
        </row>
        <row r="765">
          <cell r="B765" t="str">
            <v>ITAH002DE04600</v>
          </cell>
          <cell r="C765" t="str">
            <v>DELL POWEREDGE R250 INTEL XENON E224</v>
          </cell>
          <cell r="D765" t="str">
            <v xml:space="preserve">1U Rack Model,PowerEdge R250,Intel Xeon E-2314 2.8GHz, 8M Cache, 4C/4T, Turbo (65W), 3200 MT/s,1 x 16GB UDIMM,Up to 4, 3.5" Cabled Hard Drives and Software RAID,1TB Hard Drive SATA 6Gbps 7.2K 512n 3.5in Cabled, SW RAID, On Board Dual Port Lan, Single Cabled Power Supply, 450W Bronze, iDRAC9, Enterprise,3YR ProSupport Next Business Day Onsite
</v>
          </cell>
          <cell r="E765" t="str">
            <v>DELL</v>
          </cell>
          <cell r="F765"/>
        </row>
        <row r="766">
          <cell r="B766" t="str">
            <v>ITAY006XI</v>
          </cell>
          <cell r="C766" t="str">
            <v>XIAOMI 43"LED</v>
          </cell>
          <cell r="D766" t="str">
            <v>XIAOMI 43"LED</v>
          </cell>
          <cell r="E766" t="str">
            <v>XIAOMI</v>
          </cell>
          <cell r="F766"/>
        </row>
        <row r="767">
          <cell r="B767" t="str">
            <v>EFMF004FT00000</v>
          </cell>
          <cell r="C767" t="str">
            <v>100 MM FULL BORE FLOWTECH FLOW METER</v>
          </cell>
          <cell r="D767" t="str">
            <v>100 MM FULL BORE FLOWTECH FLOW METER WINA 20 MTR CABLE</v>
          </cell>
          <cell r="E767" t="str">
            <v>FLOWTECH</v>
          </cell>
          <cell r="F767"/>
        </row>
        <row r="768">
          <cell r="B768" t="str">
            <v>EFMF006FT00000</v>
          </cell>
          <cell r="C768" t="str">
            <v>150 MM FULL BORE FLOWTECH FLOW METER</v>
          </cell>
          <cell r="D768" t="str">
            <v>150 MM FULL BORE FLOWTECH FLOW METER WINA 20 MTR CABLE</v>
          </cell>
          <cell r="E768" t="str">
            <v>FLOW TECH</v>
          </cell>
          <cell r="F768"/>
        </row>
        <row r="769">
          <cell r="B769" t="str">
            <v>CIMB006AB00000</v>
          </cell>
          <cell r="C769" t="str">
            <v>CIMCON MAKE MODEM</v>
          </cell>
          <cell r="D769" t="str">
            <v>CIMCON MAKE MODEM - 4G GSM/GPRS</v>
          </cell>
          <cell r="E769" t="str">
            <v>CIMCON</v>
          </cell>
          <cell r="F769"/>
        </row>
        <row r="770">
          <cell r="B770" t="str">
            <v>CIMB005AB00000</v>
          </cell>
          <cell r="C770" t="str">
            <v>CIMCON MAKE iRTU 6000 ++</v>
          </cell>
          <cell r="D770" t="str">
            <v>CIMCON MAKE iRTU 6000 ++</v>
          </cell>
          <cell r="E770" t="str">
            <v>CIMCON</v>
          </cell>
          <cell r="F770"/>
        </row>
        <row r="771">
          <cell r="B771" t="str">
            <v>SERB002CI41300</v>
          </cell>
          <cell r="C771" t="str">
            <v>INSTALLATION CHARGES FOR PROJECT 4130</v>
          </cell>
          <cell r="D771" t="str">
            <v>INSTALLATION CHARGES FOR PROJECT 4130</v>
          </cell>
          <cell r="E771" t="str">
            <v>CIMCON</v>
          </cell>
          <cell r="F771"/>
        </row>
        <row r="772">
          <cell r="B772" t="str">
            <v>CIMB0030300000</v>
          </cell>
          <cell r="C772" t="str">
            <v>CIMCON MAKE RTU 6000-32 DI-16 DO</v>
          </cell>
          <cell r="D772" t="str">
            <v>CIMCON MAKE RTU 6000-32 DI-16 DO</v>
          </cell>
          <cell r="E772" t="str">
            <v>CIMCON</v>
          </cell>
          <cell r="F772"/>
        </row>
        <row r="773">
          <cell r="B773" t="str">
            <v>CIMB0030500000</v>
          </cell>
          <cell r="C773" t="str">
            <v>CIMCON MAKE RTU 6000 REDUNDANT SYTEM</v>
          </cell>
          <cell r="D773" t="str">
            <v>CIMCON MAKE RTU 6000 REDUNDANT SYTEM</v>
          </cell>
          <cell r="E773" t="str">
            <v>CIMCON</v>
          </cell>
          <cell r="F773"/>
        </row>
        <row r="774">
          <cell r="B774" t="str">
            <v>PNLF030KR00000</v>
          </cell>
          <cell r="C774" t="str">
            <v>10 HP X 4 , 7.5 HP X 4, 5 HP X 2 NOS  STAR DELTA STARTER</v>
          </cell>
          <cell r="D774" t="str">
            <v>10 HP X 4 , 7.5 HP X 4, 5 HP X 2 NOS  STAR DELTA STARTER</v>
          </cell>
          <cell r="E774" t="str">
            <v>KRISHANT</v>
          </cell>
          <cell r="F774"/>
        </row>
        <row r="775">
          <cell r="B775" t="str">
            <v>PNLF031KR00000</v>
          </cell>
          <cell r="C775" t="str">
            <v>1HPX 2 , 3 HPX 1 ,5 HPX1 NOS DOL STARTER</v>
          </cell>
          <cell r="D775" t="str">
            <v>1HPX 2 , 3 HPX 1 ,5 HPX1 NOS DOL STARTER</v>
          </cell>
          <cell r="E775" t="str">
            <v>KRISHANT</v>
          </cell>
          <cell r="F775"/>
        </row>
        <row r="776">
          <cell r="B776" t="str">
            <v>PNLA000KR00000</v>
          </cell>
          <cell r="C776" t="str">
            <v>Automation Panel</v>
          </cell>
          <cell r="D776" t="str">
            <v>Automation Panel</v>
          </cell>
          <cell r="E776" t="str">
            <v>KRISHANT</v>
          </cell>
          <cell r="F776"/>
        </row>
        <row r="777">
          <cell r="B777" t="str">
            <v>WQAPHS000NN005</v>
          </cell>
          <cell r="C777" t="str">
            <v>pH SENSOR &amp; TRANSMITTER</v>
          </cell>
          <cell r="D777" t="str">
            <v>pH SENSOR &amp; TRANSMITTER</v>
          </cell>
          <cell r="E777" t="str">
            <v>NANING NOBO INSTRUMENT CO. LTD</v>
          </cell>
          <cell r="F777"/>
        </row>
        <row r="778">
          <cell r="B778" t="str">
            <v>PNLP003KR01000</v>
          </cell>
          <cell r="C778" t="str">
            <v>30 HP STARTER PANEL WINA 3 PH ACTUATOR STARTER PANEL</v>
          </cell>
          <cell r="D778" t="str">
            <v>30 HP STARTER PANEL WINA 3 NOS ACTUATOR STARTER PANEL</v>
          </cell>
          <cell r="E778" t="str">
            <v>KRISHANT</v>
          </cell>
          <cell r="F778"/>
        </row>
        <row r="779">
          <cell r="B779" t="str">
            <v>PNLF003KR01000</v>
          </cell>
          <cell r="C779" t="str">
            <v>SCADA + APR +SD+ 3PH ACT</v>
          </cell>
          <cell r="D779" t="str">
            <v>SCADA + APR +SD+ 3PH ACT</v>
          </cell>
          <cell r="E779" t="str">
            <v>KRISHANT</v>
          </cell>
          <cell r="F779"/>
        </row>
        <row r="780">
          <cell r="B780" t="str">
            <v>ELAK003LB00000</v>
          </cell>
          <cell r="C780" t="str">
            <v>WEDGE TYPE ANCHOR FASTNER 8 X 75 MM</v>
          </cell>
          <cell r="D780" t="str">
            <v>WEDGE TYPE ANCHOR FASTNER 8 X 75 MM</v>
          </cell>
          <cell r="E780" t="str">
            <v>LB ENTERPRISE</v>
          </cell>
          <cell r="F780"/>
        </row>
        <row r="781">
          <cell r="B781" t="str">
            <v>ELAK004LB00000</v>
          </cell>
          <cell r="C781" t="str">
            <v>ANCHOR FASTNER PIN TYPE 12 X 75 MM</v>
          </cell>
          <cell r="D781" t="str">
            <v>ANCHOR FASTNER PIN TYPE 12 X 75 MM</v>
          </cell>
          <cell r="E781" t="str">
            <v>LB ENTERPRISE</v>
          </cell>
          <cell r="F781"/>
        </row>
        <row r="782">
          <cell r="B782" t="str">
            <v>PLAH006LB00000</v>
          </cell>
          <cell r="C782" t="str">
            <v>MS HEX PIN 10 X 50 WINA WASHER</v>
          </cell>
          <cell r="D782" t="str">
            <v>MS HEX PIN 10 X 50 WINA WASHER</v>
          </cell>
          <cell r="E782" t="str">
            <v>LB ENTERPRISE</v>
          </cell>
          <cell r="F782"/>
        </row>
        <row r="783">
          <cell r="B783" t="str">
            <v>MISH003KI00000</v>
          </cell>
          <cell r="C783" t="str">
            <v>ALUMINUM FABRICATED LADDER FOR ADVM SENSOR</v>
          </cell>
          <cell r="D783" t="str">
            <v>ALUMINUM FABRICATED LADDER FOR ADVM SENSOR</v>
          </cell>
          <cell r="E783" t="str">
            <v>KRISHNA INDUSTIRIES</v>
          </cell>
          <cell r="F783"/>
        </row>
        <row r="784">
          <cell r="B784" t="str">
            <v>MISH004KI00000</v>
          </cell>
          <cell r="C784" t="str">
            <v>DAM GATE DESIGN FABRICATION STRUCTURE</v>
          </cell>
          <cell r="D784" t="str">
            <v>DAM GATE DESIGN FABRICATION STRUCTURE</v>
          </cell>
          <cell r="E784" t="str">
            <v>KRISHNA INDUSTIRIES</v>
          </cell>
          <cell r="F784"/>
        </row>
        <row r="785">
          <cell r="B785" t="str">
            <v>WQACTA001NN000</v>
          </cell>
          <cell r="C785" t="str">
            <v>CHLORINE SENSOR &amp; TRANSMITTER  0 TO 20 mg/l,TURBIDITY SENSOR &amp; TRANSMITTER 0 TO 400 NTU</v>
          </cell>
          <cell r="D785" t="str">
            <v>CHLORINE SENSOR &amp; TRANSMITTER  0 TO 20 mg/l,TURBIDITY SENSOR &amp; TRANSMITTER 0 TO 400 NTU</v>
          </cell>
          <cell r="E785" t="str">
            <v>NANING NOBO INST.CO LTD</v>
          </cell>
          <cell r="F785"/>
        </row>
        <row r="786">
          <cell r="B786" t="str">
            <v>PLAC012ST00000</v>
          </cell>
          <cell r="C786" t="str">
            <v>SS Bolt 3/8 * 1.5 Inch</v>
          </cell>
          <cell r="D786" t="str">
            <v>SS Bolt 3/8 * 1.5 Inch</v>
          </cell>
          <cell r="E786" t="str">
            <v>Standard</v>
          </cell>
          <cell r="F786"/>
        </row>
        <row r="787">
          <cell r="B787" t="str">
            <v>PRTA010DN00102</v>
          </cell>
          <cell r="C787" t="str">
            <v>0 TO 10 bAR - Pressure transmitter wiNA 4 to 20 mA Output</v>
          </cell>
          <cell r="D787" t="str">
            <v>DANFOSS MAKE 0 TO 10 BAR PRESSURE TRANSMITTER</v>
          </cell>
          <cell r="E787" t="str">
            <v>Danfoss</v>
          </cell>
          <cell r="F787"/>
        </row>
        <row r="788">
          <cell r="B788" t="str">
            <v>PNLD001KR00100</v>
          </cell>
          <cell r="C788" t="str">
            <v>RTU + 1 NO SINGLE PHASE ACTUATOR PANEL WINA MINI RTU</v>
          </cell>
          <cell r="D788" t="str">
            <v>RTU + 1 NO SINGLE PHASE ACTUATOR PANEL WINA MINI RTU</v>
          </cell>
          <cell r="E788" t="str">
            <v>KRISHANT</v>
          </cell>
          <cell r="F788"/>
        </row>
        <row r="789">
          <cell r="B789" t="str">
            <v>PPAA003AC00000</v>
          </cell>
          <cell r="C789" t="str">
            <v>OVP For SLC</v>
          </cell>
          <cell r="D789" t="str">
            <v>OVP For SLC</v>
          </cell>
          <cell r="E789" t="str">
            <v>ACON-Suveg</v>
          </cell>
          <cell r="F789"/>
        </row>
        <row r="790">
          <cell r="B790" t="str">
            <v>PNLG012KR00000</v>
          </cell>
          <cell r="C790" t="str">
            <v>17.5 HP x 2 NOS SOFT STARTER PANEL WINAOUT RTU</v>
          </cell>
          <cell r="D790" t="str">
            <v>17.5 HP x 2 NOS SOFT STARTER PANEL WINAOUT RTU</v>
          </cell>
          <cell r="E790" t="str">
            <v>KRISHANT ELECTRICAL</v>
          </cell>
          <cell r="F790"/>
        </row>
        <row r="791">
          <cell r="B791" t="str">
            <v>PNLG032KR00000</v>
          </cell>
          <cell r="C791" t="str">
            <v>75 HP X 2 NOS SOFT STARTER PANEL WINAOUT RTU</v>
          </cell>
          <cell r="D791" t="str">
            <v>75 HP X 2 NOS SOFT STARTER PANEL WINAOUT RTU</v>
          </cell>
          <cell r="E791" t="str">
            <v>KRISHANT ELECTRICAL</v>
          </cell>
          <cell r="F791"/>
        </row>
        <row r="792">
          <cell r="B792" t="str">
            <v>PNLG035KR00000</v>
          </cell>
          <cell r="C792" t="str">
            <v>100 HP X 2 NOS SOFT STARTER PANEL WINAOUT RTU</v>
          </cell>
          <cell r="D792" t="str">
            <v>100 HP X 2 NOS SOFT STARTER PANEL WINAOUT RTU</v>
          </cell>
          <cell r="E792" t="str">
            <v>KRISHANT ELECTRICAL</v>
          </cell>
          <cell r="F792"/>
        </row>
        <row r="793">
          <cell r="B793" t="str">
            <v>PPAL010CH02000</v>
          </cell>
          <cell r="C793" t="str">
            <v>63A 1 POLE DC 6kA 1000V DC MCB IEC standard:60947-2</v>
          </cell>
          <cell r="D793" t="str">
            <v>63A 1 POLE DC 6kA 1000V DC MCB IEC standard:60947-2</v>
          </cell>
          <cell r="E793" t="str">
            <v>CHINT</v>
          </cell>
          <cell r="F793"/>
        </row>
        <row r="794">
          <cell r="B794" t="str">
            <v>PNLU001NA00400</v>
          </cell>
          <cell r="C794" t="str">
            <v>3 TO 5 HP TW VFD + ACT VFD + SOLAR PDB -JJM</v>
          </cell>
          <cell r="D794" t="str">
            <v>3 TO 5 HP TW VFD + ACT VFD + SOLAR PDB -JJM</v>
          </cell>
          <cell r="E794" t="str">
            <v>NA</v>
          </cell>
          <cell r="F794"/>
        </row>
        <row r="795">
          <cell r="B795" t="str">
            <v>PNLU002NA00400</v>
          </cell>
          <cell r="C795" t="str">
            <v>7.5 HP TW VFD + ACT VFD + SOLAR PDB -JJM</v>
          </cell>
          <cell r="D795" t="str">
            <v>7.5 HP TW VFD + ACT VFD + SOLAR PDB -JJM</v>
          </cell>
          <cell r="E795" t="str">
            <v>NA</v>
          </cell>
          <cell r="F795"/>
        </row>
        <row r="796">
          <cell r="B796" t="str">
            <v>PNLU003NA00400</v>
          </cell>
          <cell r="C796" t="str">
            <v>10 HP TW VFD + ACT VFD + SOLAR PDB -JJM</v>
          </cell>
          <cell r="D796" t="str">
            <v>10 HP TW VFD + ACT VFD + SOLAR PDB -JJM</v>
          </cell>
          <cell r="E796" t="str">
            <v>NA</v>
          </cell>
          <cell r="F796"/>
        </row>
        <row r="797">
          <cell r="B797" t="str">
            <v>PNLU004NA00400</v>
          </cell>
          <cell r="C797" t="str">
            <v>12.5 HP TW VFD + ACT VFD + SOLAR PDB -JJM</v>
          </cell>
          <cell r="D797" t="str">
            <v>12.5 HP TW VFD + ACT VFD + SOLAR PDB -JJM</v>
          </cell>
          <cell r="E797" t="str">
            <v>NA</v>
          </cell>
          <cell r="F797"/>
        </row>
        <row r="798">
          <cell r="B798" t="str">
            <v>PNLU005NA00400</v>
          </cell>
          <cell r="C798" t="str">
            <v>15 HP TW VFD + ACT VFD + SOLAR PDB -JJM</v>
          </cell>
          <cell r="D798" t="str">
            <v>15 HP TW VFD + ACT VFD + SOLAR PDB -JJM</v>
          </cell>
          <cell r="E798" t="str">
            <v>NA</v>
          </cell>
          <cell r="F798"/>
        </row>
        <row r="799">
          <cell r="B799" t="str">
            <v>PNLU006NA00400</v>
          </cell>
          <cell r="C799" t="str">
            <v>17.5 HP TW VFD + ACT VFD + SOLAR PDB -JJM</v>
          </cell>
          <cell r="D799" t="str">
            <v>17.5 HP TW VFD + ACT VFD + SOLAR PDB -JJM</v>
          </cell>
          <cell r="E799" t="str">
            <v>NA</v>
          </cell>
          <cell r="F799"/>
        </row>
        <row r="800">
          <cell r="B800" t="str">
            <v>PNLU007NA00400</v>
          </cell>
          <cell r="C800" t="str">
            <v>20 HP TW VFD + ACT VFD + SOLAR PDB -JJM</v>
          </cell>
          <cell r="D800" t="str">
            <v>20 HP TW VFD + ACT VFD + SOLAR PDB -JJM</v>
          </cell>
          <cell r="E800" t="str">
            <v>NA</v>
          </cell>
          <cell r="F800"/>
        </row>
        <row r="801">
          <cell r="B801" t="str">
            <v>PNLU008NA00400</v>
          </cell>
          <cell r="C801" t="str">
            <v>25 HP TW VFD + ACT VFD + SOLAR PDB -JJM</v>
          </cell>
          <cell r="D801" t="str">
            <v>25 HP TW VFD + ACT VFD + SOLAR PDB -JJM</v>
          </cell>
          <cell r="E801" t="str">
            <v>NA</v>
          </cell>
          <cell r="F801"/>
        </row>
        <row r="802">
          <cell r="B802" t="str">
            <v>PNLU009NA00400</v>
          </cell>
          <cell r="C802" t="str">
            <v>30 HP TW VFD + ACT VFD + SOLAR PDB -JJM</v>
          </cell>
          <cell r="D802" t="str">
            <v>30 HP TW VFD + ACT VFD + SOLAR PDB -JJM</v>
          </cell>
          <cell r="E802" t="str">
            <v>NA</v>
          </cell>
          <cell r="F802"/>
        </row>
        <row r="803">
          <cell r="B803" t="str">
            <v>PNLU010NA00400</v>
          </cell>
          <cell r="C803" t="str">
            <v>35 HP TW VFD + ACT VFD + SOLAR PDB -JJM</v>
          </cell>
          <cell r="D803" t="str">
            <v>35 HP TW VFD + ACT VFD + SOLAR PDB -JJM</v>
          </cell>
          <cell r="E803" t="str">
            <v>NA</v>
          </cell>
          <cell r="F803"/>
        </row>
        <row r="804">
          <cell r="B804" t="str">
            <v>PNLU011NA00400</v>
          </cell>
          <cell r="C804" t="str">
            <v>40 HP TW VFD + ACT VFD + SOLAR PDB -JJM</v>
          </cell>
          <cell r="D804" t="str">
            <v>40 HP TW VFD + ACT VFD + SOLAR PDB -JJM</v>
          </cell>
          <cell r="E804" t="str">
            <v>NA</v>
          </cell>
          <cell r="F804"/>
        </row>
        <row r="805">
          <cell r="B805" t="str">
            <v>MOVA007MA00300</v>
          </cell>
          <cell r="C805" t="str">
            <v xml:space="preserve">Electric operated Actuator with ball valve , size 50mm </v>
          </cell>
          <cell r="D805" t="str">
            <v xml:space="preserve">Electric operated Actuator with ball valve , size 50mm </v>
          </cell>
          <cell r="E805" t="str">
            <v>Marsh</v>
          </cell>
          <cell r="F805"/>
        </row>
        <row r="806">
          <cell r="B806" t="str">
            <v>PLAQ001AS00000</v>
          </cell>
          <cell r="C806" t="str">
            <v>UPVC PIPE 15 MM - 3MTR</v>
          </cell>
          <cell r="D806" t="str">
            <v xml:space="preserve">UPVC PIPE 15 MM - 3MTR - LEGNTH </v>
          </cell>
          <cell r="E806" t="str">
            <v>ASHIRVAD</v>
          </cell>
          <cell r="F806"/>
        </row>
        <row r="807">
          <cell r="B807" t="str">
            <v>PLAR601AS00000</v>
          </cell>
          <cell r="C807" t="str">
            <v>UPVC BALL VALVE - 15 MM</v>
          </cell>
          <cell r="D807" t="str">
            <v>UPVC BALL VALVE - 15 MM</v>
          </cell>
          <cell r="E807" t="str">
            <v>ASHIRVAD</v>
          </cell>
          <cell r="F807"/>
        </row>
        <row r="808">
          <cell r="B808" t="str">
            <v>PLAR701AS00000</v>
          </cell>
          <cell r="C808" t="str">
            <v>UPVC SOLVENT 946 ML</v>
          </cell>
          <cell r="D808" t="str">
            <v>UPVC SOLVENT 946 ML</v>
          </cell>
          <cell r="E808" t="str">
            <v>ASHIRVAD</v>
          </cell>
          <cell r="F808"/>
        </row>
        <row r="809">
          <cell r="B809" t="str">
            <v>PLAR801AS00000</v>
          </cell>
          <cell r="C809" t="str">
            <v>UPVC FABT 15 MM</v>
          </cell>
          <cell r="D809" t="str">
            <v>UPVC FABT 15 MM</v>
          </cell>
          <cell r="E809" t="str">
            <v>ASHIRVAD</v>
          </cell>
          <cell r="F809"/>
        </row>
        <row r="810">
          <cell r="B810" t="str">
            <v>PLAR208AS00000</v>
          </cell>
          <cell r="C810" t="str">
            <v>UPVC ELBOW 15 MM 90*</v>
          </cell>
          <cell r="D810" t="str">
            <v>UPVC ELBOW 15 MM 90*</v>
          </cell>
          <cell r="E810" t="str">
            <v>ASHIRVAD</v>
          </cell>
          <cell r="F810"/>
        </row>
        <row r="811">
          <cell r="B811" t="str">
            <v>MISA041MI02200</v>
          </cell>
          <cell r="C811" t="str">
            <v>16 Channel Transistor output (source) extension block</v>
          </cell>
          <cell r="D811" t="str">
            <v>16 Channel Transistor output (source) extension block (DI module)</v>
          </cell>
          <cell r="E811" t="str">
            <v xml:space="preserve">Mitsubishi </v>
          </cell>
          <cell r="F811"/>
        </row>
        <row r="812">
          <cell r="B812" t="str">
            <v>PPAB002SC02100</v>
          </cell>
          <cell r="C812" t="str">
            <v>SMPS 100-240V input, 24VDC output , 252W, 10,5A</v>
          </cell>
          <cell r="D812" t="str">
            <v>SMPS 100-240V input, 24VDC output , 252W, 10,5A</v>
          </cell>
          <cell r="E812" t="str">
            <v>SCHNEIDER</v>
          </cell>
          <cell r="F812"/>
        </row>
        <row r="813">
          <cell r="B813" t="str">
            <v>PPAI011ST02200</v>
          </cell>
          <cell r="C813" t="str">
            <v>4" EXHAUST FAN WITH FILTER</v>
          </cell>
          <cell r="D813" t="str">
            <v>4" EXHAUST FAN WITH FILTER</v>
          </cell>
          <cell r="E813" t="str">
            <v>SUPAFLEX</v>
          </cell>
          <cell r="F813"/>
        </row>
        <row r="814">
          <cell r="B814" t="str">
            <v>PRTA025DN00002</v>
          </cell>
          <cell r="C814" t="str">
            <v xml:space="preserve">PRESUURE TRANSMITTER 0-25 BAR </v>
          </cell>
          <cell r="D814" t="str">
            <v>PRESSURE TRANSMITTER 0-25 BAR 2 WIRE</v>
          </cell>
          <cell r="E814" t="str">
            <v>Danfoss</v>
          </cell>
          <cell r="F814"/>
        </row>
        <row r="815">
          <cell r="B815" t="str">
            <v>CABF902KE00001</v>
          </cell>
          <cell r="C815" t="str">
            <v>CABLE 1.5 SQMM 10CORE COPPER FLEXIBLE PVC INSUATED</v>
          </cell>
          <cell r="D815" t="str">
            <v>CABLE 1.5 SQMM 10CORE COPPER FLEXIBLE PVC INSUATED</v>
          </cell>
          <cell r="E815" t="str">
            <v>KEI</v>
          </cell>
          <cell r="F815"/>
        </row>
        <row r="816">
          <cell r="B816" t="str">
            <v>CABF402KE00001</v>
          </cell>
          <cell r="C816" t="str">
            <v>CABLE 1.5 SQMM 4CORE COPPER FLEXIBLE PVC INSUATED</v>
          </cell>
          <cell r="D816" t="str">
            <v>CABLE 1.5 SQMM 4CORE COPPER FLEXIBLE PVC INSUATED</v>
          </cell>
          <cell r="E816" t="str">
            <v>KEI</v>
          </cell>
          <cell r="F816"/>
        </row>
        <row r="817">
          <cell r="B817" t="str">
            <v>CABF204KE00001</v>
          </cell>
          <cell r="C817" t="str">
            <v>CABLE 1.5 SQMM 2CORE COPPER FLEXIBLE PVC INSUATED</v>
          </cell>
          <cell r="D817" t="str">
            <v>CABLE 1.5 SQMM 2CORE COPPER FLEXIBLE PVC INSUATED</v>
          </cell>
          <cell r="E817" t="str">
            <v>KEI</v>
          </cell>
          <cell r="F817"/>
        </row>
        <row r="818">
          <cell r="B818" t="str">
            <v>ITAZ502HI00000</v>
          </cell>
          <cell r="C818" t="str">
            <v>PTZ CAMEA BRACKET FOR POLE TYPE INSTALLATION</v>
          </cell>
          <cell r="D818" t="str">
            <v>PTZ CAMEA BRACKET FOR POLE TYPE INSTALLATION</v>
          </cell>
          <cell r="E818"/>
          <cell r="F818"/>
        </row>
        <row r="819">
          <cell r="B819" t="str">
            <v>ITAZ005ST00000</v>
          </cell>
          <cell r="C819" t="str">
            <v>IP BULLET CAMERA COVER</v>
          </cell>
          <cell r="D819" t="str">
            <v>IP BULLET CAMERA COVER</v>
          </cell>
          <cell r="E819"/>
          <cell r="F819"/>
        </row>
        <row r="820">
          <cell r="B820" t="str">
            <v>EFMG001SB00100</v>
          </cell>
          <cell r="C820" t="str">
            <v>POWER CARD ASSEMBLY</v>
          </cell>
          <cell r="D820" t="str">
            <v>POWER CARD ASSEMBLY</v>
          </cell>
          <cell r="E820" t="str">
            <v>SBEM</v>
          </cell>
          <cell r="F820"/>
        </row>
        <row r="821">
          <cell r="B821" t="str">
            <v>EFMG002SB00100</v>
          </cell>
          <cell r="C821" t="str">
            <v>24 VDC PCB CARD ASSEMBLY</v>
          </cell>
          <cell r="D821" t="str">
            <v>24 VDC PCB CARD</v>
          </cell>
          <cell r="E821" t="str">
            <v>SBEM</v>
          </cell>
          <cell r="F821"/>
        </row>
        <row r="822">
          <cell r="B822" t="str">
            <v>EFMG003SB00100</v>
          </cell>
          <cell r="C822" t="str">
            <v>CPU PCB ASSEMBLY</v>
          </cell>
          <cell r="D822" t="str">
            <v>CPU PCB ASSEMBLY</v>
          </cell>
          <cell r="E822" t="str">
            <v>SBEM</v>
          </cell>
          <cell r="F822"/>
        </row>
        <row r="823">
          <cell r="B823" t="str">
            <v>EFMG004SB00100</v>
          </cell>
          <cell r="C823" t="str">
            <v>2 LINE DISPLAY PCB</v>
          </cell>
          <cell r="D823" t="str">
            <v>2 LINE DISPLAY PCB</v>
          </cell>
          <cell r="E823" t="str">
            <v>SBEM</v>
          </cell>
          <cell r="F823"/>
        </row>
        <row r="824">
          <cell r="B824" t="str">
            <v>EFMG005SB00100</v>
          </cell>
          <cell r="C824" t="str">
            <v>485 CARD PCB</v>
          </cell>
          <cell r="D824" t="str">
            <v>485 CARD PCB</v>
          </cell>
          <cell r="E824" t="str">
            <v>SBEM</v>
          </cell>
          <cell r="F824"/>
        </row>
        <row r="825">
          <cell r="B825" t="str">
            <v>PNLG019KR01000</v>
          </cell>
          <cell r="C825" t="str">
            <v xml:space="preserve">30 HP SOFT STARTER PANEL WITH 2 NOS SINGLE PHASE ACTUATOR </v>
          </cell>
          <cell r="D825" t="str">
            <v xml:space="preserve">30 HP SOFT STARTER PANEL WITH 2 NOS SINGLE PHASE ACTUATOR </v>
          </cell>
          <cell r="E825" t="str">
            <v>KRISHANT</v>
          </cell>
          <cell r="F825"/>
        </row>
        <row r="826">
          <cell r="B826" t="str">
            <v>PLAX102SP00000</v>
          </cell>
          <cell r="C826" t="str">
            <v xml:space="preserve">Spectron Cylindrical Vertical Tank with Open Top without Ltr Capacity Marking  Capacity: 200 ltr </v>
          </cell>
          <cell r="D826" t="str">
            <v xml:space="preserve">Spectron Cylindrical Vertical Tank with Open Top without Ltr Capacity Marking  Capacity: 200 ltr </v>
          </cell>
          <cell r="E826"/>
          <cell r="F826"/>
        </row>
        <row r="827">
          <cell r="B827" t="str">
            <v>ITAA100DL00300</v>
          </cell>
          <cell r="C827" t="str">
            <v>S/M SFP Module FOR FIBER OPTIC CABLE</v>
          </cell>
          <cell r="D827" t="str">
            <v>S/M SFP Module FOR FIBER OPTIC CABLE</v>
          </cell>
          <cell r="E827" t="str">
            <v>DLINK</v>
          </cell>
          <cell r="F827"/>
        </row>
        <row r="828">
          <cell r="B828" t="str">
            <v>ITAA041DL00000</v>
          </cell>
          <cell r="C828" t="str">
            <v>OUTDOOR JOINTER FOR FIBER OPTIC CABLE</v>
          </cell>
          <cell r="D828" t="str">
            <v>OUTDOOR JOINTER FOR FIBER OPTIC CABLE</v>
          </cell>
          <cell r="E828" t="str">
            <v>DLINK</v>
          </cell>
          <cell r="F828"/>
        </row>
        <row r="829">
          <cell r="B829" t="str">
            <v>PPAL011LT00000</v>
          </cell>
          <cell r="C829" t="str">
            <v>32 AMP 4 POLE RCBO 30 mA</v>
          </cell>
          <cell r="D829" t="str">
            <v>32 AMP 4 POLE RCBO 30 mA</v>
          </cell>
          <cell r="E829" t="str">
            <v>L&amp;T</v>
          </cell>
          <cell r="F829"/>
        </row>
        <row r="830">
          <cell r="B830" t="str">
            <v>TOOT011TP00000</v>
          </cell>
          <cell r="C830" t="str">
            <v>ALLEN KEY SET</v>
          </cell>
          <cell r="D830" t="str">
            <v>ALLEN KEY SET</v>
          </cell>
          <cell r="E830" t="str">
            <v>TAPARIA</v>
          </cell>
          <cell r="F830"/>
        </row>
        <row r="831">
          <cell r="B831" t="str">
            <v>PNLF009NA00100</v>
          </cell>
          <cell r="C831" t="str">
            <v>15 HP STARTER PANEL WITH RTU 1000 + DOSING PUMP CONTROLLING PROVISION</v>
          </cell>
          <cell r="D831" t="str">
            <v>15 HP STARTER PANEL WITH RTU 1000 + DOSING PUMP CONTROLLING PROVISION</v>
          </cell>
          <cell r="E831" t="str">
            <v>NOT APPLICABLE</v>
          </cell>
          <cell r="F831" t="str">
            <v>NOT APPLICABLE</v>
          </cell>
        </row>
        <row r="832">
          <cell r="B832" t="str">
            <v>ELAM002PR00001</v>
          </cell>
          <cell r="C832" t="str">
            <v xml:space="preserve">20 MM MMS PVC LACK </v>
          </cell>
          <cell r="D832" t="str">
            <v>20 mm Mms Pipe Black</v>
          </cell>
          <cell r="E832" t="str">
            <v>STANDARD</v>
          </cell>
          <cell r="F832" t="str">
            <v>NOT APPLICABLE</v>
          </cell>
        </row>
        <row r="833">
          <cell r="B833" t="str">
            <v>ELAM006PR00001</v>
          </cell>
          <cell r="C833" t="str">
            <v xml:space="preserve">50 MM MMS PVC LACK </v>
          </cell>
          <cell r="D833" t="str">
            <v>50 mm Mms Pipe Black</v>
          </cell>
          <cell r="E833" t="str">
            <v>STANDARD</v>
          </cell>
          <cell r="F833" t="str">
            <v>NOT APPLICABLE</v>
          </cell>
        </row>
        <row r="834">
          <cell r="B834" t="str">
            <v>ELAO007ST00000</v>
          </cell>
          <cell r="C834" t="str">
            <v>50 MM PVC BAND</v>
          </cell>
          <cell r="D834" t="str">
            <v>50 MM PVC BAND</v>
          </cell>
          <cell r="E834" t="str">
            <v>STANDARD</v>
          </cell>
          <cell r="F834" t="str">
            <v>NOT APPLICABLE</v>
          </cell>
        </row>
        <row r="835">
          <cell r="B835" t="str">
            <v>PNLP012NA00300</v>
          </cell>
          <cell r="C835" t="str">
            <v>75 HP X3 NOS STARTER + ACT + SCADA + RTU 6000 PANEL</v>
          </cell>
          <cell r="D835" t="str">
            <v>75 HP X3 NOS STAR DELTA STARTER + ACT + SCADA + RTU 6000 PANEL</v>
          </cell>
          <cell r="E835" t="str">
            <v>KRISHANT</v>
          </cell>
          <cell r="F835" t="str">
            <v>NOT APPLICABLE</v>
          </cell>
        </row>
        <row r="836">
          <cell r="B836" t="str">
            <v>PNLF011NA00100</v>
          </cell>
          <cell r="C836" t="str">
            <v xml:space="preserve">17.5 HP STARTER PANEL WITH RTU 1000 </v>
          </cell>
          <cell r="D836" t="str">
            <v xml:space="preserve">17.5 HP STARTER PANEL WITH RTU 1000 </v>
          </cell>
          <cell r="E836" t="str">
            <v>KRISHANT</v>
          </cell>
          <cell r="F836" t="str">
            <v>NOT APPLICABLE</v>
          </cell>
        </row>
        <row r="837">
          <cell r="B837" t="str">
            <v>PPAO009NA00000</v>
          </cell>
          <cell r="C837" t="str">
            <v xml:space="preserve">SOLAR VFD  3 HP </v>
          </cell>
          <cell r="D837" t="str">
            <v xml:space="preserve">SOLAR VFD  3 HP </v>
          </cell>
          <cell r="E837" t="str">
            <v>NOT APPLICABLE</v>
          </cell>
          <cell r="F837" t="str">
            <v>NOT APPLICABLE</v>
          </cell>
        </row>
        <row r="838">
          <cell r="B838" t="str">
            <v>PPAO011NA00000</v>
          </cell>
          <cell r="C838" t="str">
            <v>VFD 7.5 HP SOLAR</v>
          </cell>
          <cell r="D838" t="str">
            <v>VFD 7.5 HP SOLAR</v>
          </cell>
          <cell r="E838" t="str">
            <v>NOT APPLICABLE</v>
          </cell>
          <cell r="F838" t="str">
            <v>NOT APPLICABLE</v>
          </cell>
        </row>
        <row r="839">
          <cell r="B839" t="str">
            <v>PPAO012NA00000</v>
          </cell>
          <cell r="C839" t="str">
            <v>VFD 10 HP SOLAR</v>
          </cell>
          <cell r="D839" t="str">
            <v>VFD 10 HP SOLAR</v>
          </cell>
          <cell r="E839" t="str">
            <v>NOT APPLICABLE</v>
          </cell>
          <cell r="F839" t="str">
            <v>NOT APPLICABLE</v>
          </cell>
        </row>
        <row r="840">
          <cell r="B840" t="str">
            <v>PPAO013NA00000</v>
          </cell>
          <cell r="C840" t="str">
            <v>VFD 12.5 HP SOLAR</v>
          </cell>
          <cell r="D840" t="str">
            <v>VFD 12.5 HP SOLAR</v>
          </cell>
          <cell r="E840" t="str">
            <v>NOT APPLICABLE</v>
          </cell>
          <cell r="F840" t="str">
            <v>NOT APPLICABLE</v>
          </cell>
        </row>
        <row r="841">
          <cell r="B841" t="str">
            <v>PPAO014NA00000</v>
          </cell>
          <cell r="C841" t="str">
            <v>VFD 15 HP SOLAR</v>
          </cell>
          <cell r="D841" t="str">
            <v>VFD 15 HP SOLAR</v>
          </cell>
          <cell r="E841" t="str">
            <v>NOT APPLICABLE</v>
          </cell>
          <cell r="F841" t="str">
            <v>NOT APPLICABLE</v>
          </cell>
        </row>
        <row r="842">
          <cell r="B842" t="str">
            <v>PPAO015NA00000</v>
          </cell>
          <cell r="C842" t="str">
            <v>VFD 17.5 HP SOLAR</v>
          </cell>
          <cell r="D842" t="str">
            <v>VFD 17.5 HP SOLAR</v>
          </cell>
          <cell r="E842" t="str">
            <v>NOT APPLICABLE</v>
          </cell>
          <cell r="F842" t="str">
            <v>NOT APPLICABLE</v>
          </cell>
        </row>
        <row r="843">
          <cell r="B843" t="str">
            <v>PPAO016NA00000</v>
          </cell>
          <cell r="C843" t="str">
            <v>VFD 20 HP SOLAR</v>
          </cell>
          <cell r="D843" t="str">
            <v>VFD 20 HP SOLAR</v>
          </cell>
          <cell r="E843" t="str">
            <v>NOT APPLICABLE</v>
          </cell>
          <cell r="F843" t="str">
            <v>NOT APPLICABLE</v>
          </cell>
        </row>
        <row r="844">
          <cell r="B844" t="str">
            <v>PPAO017NA00000</v>
          </cell>
          <cell r="C844" t="str">
            <v>VFD 25 HP SOLAR</v>
          </cell>
          <cell r="D844" t="str">
            <v>VFD 25 HP SOLAR</v>
          </cell>
          <cell r="E844" t="str">
            <v>NOT APPLICABLE</v>
          </cell>
          <cell r="F844" t="str">
            <v>NOT APPLICABLE</v>
          </cell>
        </row>
        <row r="845">
          <cell r="B845" t="str">
            <v>PPAO018NA00000</v>
          </cell>
          <cell r="C845" t="str">
            <v>VFD 30 HP SOLAR</v>
          </cell>
          <cell r="D845" t="str">
            <v>VFD 30 HP SOLAR</v>
          </cell>
          <cell r="E845" t="str">
            <v>NOT APPLICABLE</v>
          </cell>
          <cell r="F845" t="str">
            <v>NOT APPLICABLE</v>
          </cell>
        </row>
        <row r="846">
          <cell r="B846" t="str">
            <v>SERB004EE41180</v>
          </cell>
          <cell r="C846" t="str">
            <v>WEATHER STATION ACCESORRIES &amp; INSTALLATION</v>
          </cell>
          <cell r="D846" t="str">
            <v>WEATHER STATION ACCESORRIES &amp; INSTALLATION</v>
          </cell>
          <cell r="E846" t="str">
            <v>NOT APPLICABLE</v>
          </cell>
          <cell r="F846" t="str">
            <v>NOT APPLICABLE</v>
          </cell>
        </row>
        <row r="847">
          <cell r="B847" t="str">
            <v>PNLS000NA00000</v>
          </cell>
          <cell r="C847" t="str">
            <v>Chlorine Flow cell Panel</v>
          </cell>
          <cell r="D847" t="str">
            <v>Chlorine Flow cell Panel</v>
          </cell>
          <cell r="E847" t="str">
            <v>NOT APPLICABLE</v>
          </cell>
          <cell r="F847" t="str">
            <v>NOT APPLICABLE</v>
          </cell>
        </row>
        <row r="848">
          <cell r="B848" t="str">
            <v>PPAT001LT00000</v>
          </cell>
          <cell r="C848" t="str">
            <v>22MM GREEN LED LAMP</v>
          </cell>
          <cell r="D848" t="str">
            <v>22MM GREEN LED INDICATION LAMP</v>
          </cell>
          <cell r="E848" t="str">
            <v>L&amp;T</v>
          </cell>
          <cell r="F848"/>
        </row>
        <row r="849">
          <cell r="B849" t="str">
            <v>PPAT002LT00000</v>
          </cell>
          <cell r="C849" t="str">
            <v>22MM RED LED LAMP</v>
          </cell>
          <cell r="D849" t="str">
            <v>22MM RED LED INDICATION LAMP</v>
          </cell>
          <cell r="E849" t="str">
            <v>L&amp;T</v>
          </cell>
          <cell r="F849"/>
        </row>
        <row r="850">
          <cell r="B850" t="str">
            <v>pressure transmitter</v>
          </cell>
          <cell r="C850" t="str">
            <v xml:space="preserve">MARSH MULTITURN MOTOR </v>
          </cell>
          <cell r="D850" t="str">
            <v>MARSH MULTITURN MOTOR QT-5</v>
          </cell>
          <cell r="E850" t="str">
            <v>MARSH</v>
          </cell>
          <cell r="F850"/>
        </row>
        <row r="851">
          <cell r="B851" t="str">
            <v>MOVK502MA00000</v>
          </cell>
          <cell r="C851" t="str">
            <v xml:space="preserve">MARSH MULTITURN MOTOR </v>
          </cell>
          <cell r="D851" t="str">
            <v>MARSH MULTITURN MOTOR QT-10</v>
          </cell>
          <cell r="E851" t="str">
            <v>MARSH</v>
          </cell>
          <cell r="F851"/>
        </row>
        <row r="852">
          <cell r="B852" t="str">
            <v>MOVK503MA00000</v>
          </cell>
          <cell r="C852" t="str">
            <v xml:space="preserve">MARSH MULTITURN MOTOR </v>
          </cell>
          <cell r="D852" t="str">
            <v>MARSH MULTITURN MOTOR QT-20</v>
          </cell>
          <cell r="E852" t="str">
            <v>MARSH</v>
          </cell>
          <cell r="F852"/>
        </row>
        <row r="853">
          <cell r="B853" t="str">
            <v>PNLB001DI00300</v>
          </cell>
          <cell r="C853" t="str">
            <v xml:space="preserve">RTU+1 SCADA PANEL WITH HMI </v>
          </cell>
          <cell r="D853" t="str">
            <v xml:space="preserve">RTU+1 SCADA PANEL WITH HMI </v>
          </cell>
          <cell r="E853" t="str">
            <v>Digital Automation</v>
          </cell>
          <cell r="F853" t="str">
            <v>NOT APPLICABLE</v>
          </cell>
        </row>
        <row r="854">
          <cell r="B854" t="str">
            <v>PNLB002DI00300</v>
          </cell>
          <cell r="C854" t="str">
            <v xml:space="preserve">RTU+2 SCADA PANEL WITH HMI </v>
          </cell>
          <cell r="D854" t="str">
            <v xml:space="preserve">RTU+2 SCADA PANEL WITH HMI </v>
          </cell>
          <cell r="E854" t="str">
            <v>Digital Automation</v>
          </cell>
          <cell r="F854" t="str">
            <v>NOT APPLICABLE</v>
          </cell>
        </row>
        <row r="855">
          <cell r="B855" t="str">
            <v>PNLB005DI00300</v>
          </cell>
          <cell r="C855" t="str">
            <v xml:space="preserve">RTU+5 SCADA PANEL WITH HMI </v>
          </cell>
          <cell r="D855" t="str">
            <v xml:space="preserve">RTU+5 SCADA PANEL WITH HMI </v>
          </cell>
          <cell r="E855" t="str">
            <v>Digital Automation</v>
          </cell>
          <cell r="F855" t="str">
            <v>NOT APPLICABLE</v>
          </cell>
        </row>
        <row r="856">
          <cell r="B856" t="str">
            <v>PNLB006DI00300</v>
          </cell>
          <cell r="C856" t="str">
            <v xml:space="preserve">RTU+6 SCADA PANEL WITH HMI </v>
          </cell>
          <cell r="D856" t="str">
            <v xml:space="preserve">RTU+6 SCADA PANEL WITH HMI </v>
          </cell>
          <cell r="E856" t="str">
            <v>Digital Automation</v>
          </cell>
          <cell r="F856" t="str">
            <v>NOT APPLICABLE</v>
          </cell>
        </row>
        <row r="857">
          <cell r="B857" t="str">
            <v>PNLB007DI00300</v>
          </cell>
          <cell r="C857" t="str">
            <v xml:space="preserve">RTU+7 SCADA PANEL WITH HMI </v>
          </cell>
          <cell r="D857" t="str">
            <v xml:space="preserve">RTU+7 SCADA PANEL WITH HMI </v>
          </cell>
          <cell r="E857" t="str">
            <v>Digital Automation</v>
          </cell>
          <cell r="F857" t="str">
            <v>NOT APPLICABLE</v>
          </cell>
        </row>
        <row r="858">
          <cell r="B858" t="str">
            <v>PNLB008DI00300</v>
          </cell>
          <cell r="C858" t="str">
            <v xml:space="preserve">RTU+8 SCADA PANEL WITH HMI </v>
          </cell>
          <cell r="D858" t="str">
            <v xml:space="preserve">RTU+8 SCADA PANEL WITH HMI </v>
          </cell>
          <cell r="E858" t="str">
            <v>Digital Automation</v>
          </cell>
          <cell r="F858" t="str">
            <v>NOT APPLICABLE</v>
          </cell>
        </row>
        <row r="859">
          <cell r="B859" t="str">
            <v>PNLB009DI00300</v>
          </cell>
          <cell r="C859" t="str">
            <v xml:space="preserve">RTU+9 SCADA PANEL WITH HMI </v>
          </cell>
          <cell r="D859" t="str">
            <v xml:space="preserve">RTU+9 SCADA PANEL WITH HMI </v>
          </cell>
          <cell r="E859" t="str">
            <v>Digital Automation</v>
          </cell>
          <cell r="F859" t="str">
            <v>NOT APPLICABLE</v>
          </cell>
        </row>
        <row r="860">
          <cell r="B860" t="str">
            <v>PNLB010DI00300</v>
          </cell>
          <cell r="C860" t="str">
            <v xml:space="preserve">RTU+10 SCADA PANEL WITH HMI </v>
          </cell>
          <cell r="D860" t="str">
            <v xml:space="preserve">RTU+10 SCADA PANEL WITH HMI </v>
          </cell>
          <cell r="E860" t="str">
            <v>Digital Automation</v>
          </cell>
          <cell r="F860" t="str">
            <v>NOT APPLICABLE</v>
          </cell>
        </row>
        <row r="861">
          <cell r="B861" t="str">
            <v>PNLB014DI00300</v>
          </cell>
          <cell r="C861" t="str">
            <v xml:space="preserve">RTU+14 SCADA PANEL WITH HMI </v>
          </cell>
          <cell r="D861" t="str">
            <v xml:space="preserve">RTU+14 SCADA PANEL WITH HMI </v>
          </cell>
          <cell r="E861" t="str">
            <v>Digital Automation</v>
          </cell>
          <cell r="F861" t="str">
            <v>NOT APPLICABLE</v>
          </cell>
        </row>
        <row r="862">
          <cell r="B862" t="str">
            <v>PNLA001DI00100</v>
          </cell>
          <cell r="C862" t="str">
            <v xml:space="preserve">RTU+14 SCADA PANEL WITH HMI </v>
          </cell>
          <cell r="D862" t="str">
            <v xml:space="preserve">RTU+14 SCADA PANEL WITH HMI </v>
          </cell>
          <cell r="E862" t="str">
            <v>Digital Automation</v>
          </cell>
          <cell r="F862" t="str">
            <v>NOT APPLICABLE</v>
          </cell>
        </row>
        <row r="863">
          <cell r="B863" t="str">
            <v>ITSA0010100202</v>
          </cell>
          <cell r="C863" t="str">
            <v>MICROSOFT SQL SERVER 2012 R2</v>
          </cell>
          <cell r="D863" t="str">
            <v>MICROSOFT DATABASE SQL SERVER 2012 R2-LICENSE</v>
          </cell>
          <cell r="E863" t="str">
            <v>MICROSOFT SQL SERVER 2012 R2</v>
          </cell>
          <cell r="F863" t="str">
            <v>MICROSOFT</v>
          </cell>
        </row>
        <row r="864">
          <cell r="B864" t="str">
            <v>ITSA0080100202</v>
          </cell>
          <cell r="C864" t="str">
            <v>MICROSOFT WINDOWS SERVER 2012 R2</v>
          </cell>
          <cell r="D864" t="str">
            <v>MICROSOFT OS WINDOWS SERVER 2012 R2-LICENSE</v>
          </cell>
          <cell r="E864" t="str">
            <v>MICROSOFT WINDOWS SERVER 2012 R2</v>
          </cell>
          <cell r="F864" t="str">
            <v>MICROSOFT</v>
          </cell>
        </row>
        <row r="865">
          <cell r="B865" t="str">
            <v>CIMB0070600000</v>
          </cell>
          <cell r="C865" t="str">
            <v xml:space="preserve">IRTS10 (TLP) </v>
          </cell>
          <cell r="D865" t="str">
            <v>IRTS10 (TLP) 4AI AND 2DI</v>
          </cell>
          <cell r="E865" t="str">
            <v>CIMCON</v>
          </cell>
          <cell r="F865"/>
        </row>
        <row r="866">
          <cell r="B866" t="str">
            <v>ITSC0090400000</v>
          </cell>
          <cell r="C866" t="str">
            <v xml:space="preserve">WEB BASED SCADA </v>
          </cell>
          <cell r="D866" t="str">
            <v xml:space="preserve"> WEB-BASED SCADA </v>
          </cell>
          <cell r="E866" t="str">
            <v>CIMCON</v>
          </cell>
          <cell r="F866"/>
        </row>
        <row r="867">
          <cell r="B867" t="str">
            <v>ITAH003IN00000</v>
          </cell>
          <cell r="C867" t="str">
            <v>SERVER TOWER TYPE INTEL</v>
          </cell>
          <cell r="D867" t="str">
            <v xml:space="preserve">SERVER TOWER TYPE WITH  INTEL Xeon processor 16GB RAM , 1 TB hard disk   </v>
          </cell>
          <cell r="E867" t="str">
            <v>Intel</v>
          </cell>
          <cell r="F867"/>
        </row>
        <row r="868">
          <cell r="B868" t="str">
            <v>ITSA100100000</v>
          </cell>
          <cell r="C868" t="str">
            <v>MS office 2013</v>
          </cell>
          <cell r="D868" t="str">
            <v xml:space="preserve">MS office 2013 professional </v>
          </cell>
          <cell r="E868" t="str">
            <v>MICROSOFT</v>
          </cell>
          <cell r="F868"/>
        </row>
        <row r="869">
          <cell r="B869" t="str">
            <v>MODM003DY00000</v>
          </cell>
          <cell r="C869" t="str">
            <v>RS485 TO RS 232 Converter</v>
          </cell>
          <cell r="D869" t="str">
            <v>Dynalog MAKE RS232 TO RS 485</v>
          </cell>
          <cell r="E869" t="str">
            <v>Dynalog</v>
          </cell>
          <cell r="F869" t="str">
            <v>DDAM-8520</v>
          </cell>
        </row>
        <row r="870">
          <cell r="B870" t="str">
            <v>WQAFLC000NA000</v>
          </cell>
          <cell r="C870" t="str">
            <v>TURBIDITY SENSOR FLOW CELL</v>
          </cell>
          <cell r="D870" t="str">
            <v>TURBIDITY SENSOR FLOW CELL</v>
          </cell>
          <cell r="E870" t="str">
            <v>NOT APPLICABLE</v>
          </cell>
          <cell r="F870" t="str">
            <v>NOT APPLICABLE</v>
          </cell>
        </row>
        <row r="871">
          <cell r="B871" t="str">
            <v>EFMD000NA00000</v>
          </cell>
          <cell r="C871" t="str">
            <v>Digital Flow Meter</v>
          </cell>
          <cell r="D871" t="str">
            <v>Digital Flow Meter</v>
          </cell>
          <cell r="E871" t="str">
            <v>NOT APPLICABLE</v>
          </cell>
          <cell r="F871" t="str">
            <v>NOT APPLICABLE</v>
          </cell>
        </row>
        <row r="872">
          <cell r="B872" t="str">
            <v>PPAE006ST00000</v>
          </cell>
          <cell r="C872" t="str">
            <v xml:space="preserve">24V DC Relay </v>
          </cell>
          <cell r="D872" t="str">
            <v>24V DC Relay 8 pin flat type</v>
          </cell>
          <cell r="E872" t="str">
            <v>Standard</v>
          </cell>
        </row>
        <row r="873">
          <cell r="B873" t="str">
            <v>PPAJ015EX00800</v>
          </cell>
          <cell r="C873" t="str">
            <v xml:space="preserve">CS7-12 SMF  Battery </v>
          </cell>
          <cell r="D873" t="str">
            <v>CS7-12 SMF  Battery , 12V 7Ah</v>
          </cell>
          <cell r="E873" t="str">
            <v>Exide</v>
          </cell>
        </row>
        <row r="874">
          <cell r="B874" t="str">
            <v>PNLA006KR00000</v>
          </cell>
          <cell r="C874" t="str">
            <v>REDUNDANT RTU 6000-16 PANEL</v>
          </cell>
          <cell r="D874" t="str">
            <v>REDUNDANT RTU 6000-16 PANEL</v>
          </cell>
          <cell r="E874" t="str">
            <v>KRISHANT ELECTRICAL</v>
          </cell>
        </row>
        <row r="875">
          <cell r="B875" t="str">
            <v>MISD001HG02300</v>
          </cell>
          <cell r="C875" t="str">
            <v>Automatic changeover (switch) AND Current Limiter</v>
          </cell>
          <cell r="D875" t="str">
            <v>Automatic changeover (switch) AND Current Limiter</v>
          </cell>
          <cell r="E875" t="str">
            <v>HAGER</v>
          </cell>
        </row>
        <row r="876">
          <cell r="B876" t="str">
            <v>ELAU109TR00000</v>
          </cell>
          <cell r="C876" t="str">
            <v>EARTHING STRIP GI 25X3 MM</v>
          </cell>
          <cell r="D876" t="str">
            <v>EARTHING STRIP GI 25X3 MM</v>
          </cell>
          <cell r="E876" t="str">
            <v>TRUE POWER LTD</v>
          </cell>
        </row>
        <row r="877">
          <cell r="B877" t="str">
            <v>PPAJ016ST00000</v>
          </cell>
          <cell r="C877" t="str">
            <v>12V 4.5 AH SMF battery</v>
          </cell>
          <cell r="D877" t="str">
            <v>12V 4.5 AH SMF battery</v>
          </cell>
          <cell r="E877" t="str">
            <v>Standard</v>
          </cell>
        </row>
        <row r="878">
          <cell r="B878" t="str">
            <v>PPAB003MW02300</v>
          </cell>
          <cell r="C878" t="str">
            <v xml:space="preserve">24V DC SMPS with Battery charging cut off </v>
          </cell>
          <cell r="D878" t="str">
            <v xml:space="preserve">24V DC SMPS with Battery charging cut off </v>
          </cell>
          <cell r="E878" t="str">
            <v>Meanwell</v>
          </cell>
        </row>
        <row r="879">
          <cell r="B879" t="str">
            <v>CABF406NA00001</v>
          </cell>
          <cell r="C879" t="str">
            <v>Cable 4 core *10 sqmm PVC PVC</v>
          </cell>
          <cell r="D879" t="str">
            <v>Cable 4 core *10 sqmm PVC PVC</v>
          </cell>
          <cell r="E879"/>
          <cell r="F879"/>
        </row>
        <row r="880">
          <cell r="B880" t="str">
            <v>CABF407NA00001</v>
          </cell>
          <cell r="C880" t="str">
            <v>Cable 4 core *16 sqmm PVC PVC</v>
          </cell>
          <cell r="D880" t="str">
            <v>Cable 4 core *16 sqmm PVC PVC</v>
          </cell>
          <cell r="E880"/>
          <cell r="F880"/>
        </row>
        <row r="881">
          <cell r="B881" t="str">
            <v>PPAS002RE02400</v>
          </cell>
          <cell r="C881" t="str">
            <v>Day Night Sensor (Photocell)</v>
          </cell>
          <cell r="D881" t="str">
            <v>Day Night Sensor (Photocell)</v>
          </cell>
          <cell r="E881" t="str">
            <v>Reputed</v>
          </cell>
          <cell r="F881"/>
        </row>
        <row r="882">
          <cell r="B882" t="str">
            <v>EFMI004NA00000</v>
          </cell>
          <cell r="C882" t="str">
            <v>ELECTROMAGNETIC FLOWMETER 100MMM WITH INTEGRAL DISPAY</v>
          </cell>
          <cell r="D882" t="str">
            <v>ELECTROMAGNETIC FLOWMETER 100MMM WITH INTEGRAL DISPAY</v>
          </cell>
          <cell r="E882" t="str">
            <v>REPUTED</v>
          </cell>
          <cell r="F882"/>
        </row>
        <row r="883">
          <cell r="B883" t="str">
            <v>PLCC003RE01102</v>
          </cell>
          <cell r="C883" t="str">
            <v>MODULE -RENU MAKE 16 DI- 485 BASE REMOTE IO</v>
          </cell>
          <cell r="D883" t="str">
            <v>MODULE -RENU MAKE 16 DI- 485 BASE REMOTE IO</v>
          </cell>
          <cell r="E883" t="str">
            <v>RENU</v>
          </cell>
          <cell r="F883"/>
        </row>
        <row r="884">
          <cell r="B884" t="str">
            <v>ITAZ601ST00000</v>
          </cell>
          <cell r="C884" t="str">
            <v>NVR HARD DISK 1 TB</v>
          </cell>
          <cell r="D884" t="str">
            <v>NVR HARD DISK 1 TB</v>
          </cell>
          <cell r="E884" t="str">
            <v>STANDARD</v>
          </cell>
          <cell r="F884"/>
        </row>
        <row r="885">
          <cell r="B885" t="str">
            <v>ITAV010ST00000</v>
          </cell>
          <cell r="C885" t="str">
            <v>GRAPHIC CARD</v>
          </cell>
          <cell r="D885" t="str">
            <v>GRAPHIC CARD</v>
          </cell>
          <cell r="E885" t="str">
            <v>STANDARD</v>
          </cell>
          <cell r="F885"/>
        </row>
        <row r="886">
          <cell r="B886" t="str">
            <v>ITAV011ST00000</v>
          </cell>
          <cell r="C886" t="str">
            <v>MINI DISPLAY CONVERT</v>
          </cell>
          <cell r="D886" t="str">
            <v>MINI DISPLAY CONVERT</v>
          </cell>
          <cell r="E886" t="str">
            <v>STANDARD</v>
          </cell>
          <cell r="F886"/>
        </row>
        <row r="887">
          <cell r="B887" t="str">
            <v>ITAB106DL00000</v>
          </cell>
          <cell r="C887" t="str">
            <v>D LINK 4 PORT LAN SWITCH</v>
          </cell>
          <cell r="D887" t="str">
            <v>D LINK 4 PORT LAN SWITCH</v>
          </cell>
          <cell r="E887" t="str">
            <v>D LINK</v>
          </cell>
          <cell r="F887"/>
        </row>
        <row r="888">
          <cell r="B888" t="str">
            <v>ITAV012ST00000</v>
          </cell>
          <cell r="C888" t="str">
            <v>HDMI CABLE 10 MTR</v>
          </cell>
          <cell r="D888" t="str">
            <v>HDMI CABLE 10 MTR</v>
          </cell>
          <cell r="E888" t="str">
            <v>STANDARD</v>
          </cell>
          <cell r="F888"/>
        </row>
        <row r="889">
          <cell r="B889" t="str">
            <v>ELAU110TR00000</v>
          </cell>
          <cell r="C889" t="str">
            <v>EARTHING ELECTRODE WITH BFC BAG 17.2 PIT COVER SMALL POLYPLAST</v>
          </cell>
          <cell r="D889" t="str">
            <v>EARTHING ELECTRODE WITH BFC BAG 17.2 PIT COVER SMALL POLYPLAST</v>
          </cell>
          <cell r="E889" t="str">
            <v>TRUE POWER LTD</v>
          </cell>
          <cell r="F889"/>
        </row>
        <row r="890">
          <cell r="B890" t="str">
            <v>CABI000KE00000</v>
          </cell>
          <cell r="C890" t="str">
            <v>Combine Code for Billing KEI Make</v>
          </cell>
          <cell r="D890" t="str">
            <v>Combine Code for Billing KEI Make</v>
          </cell>
          <cell r="E890" t="str">
            <v>KEI</v>
          </cell>
          <cell r="F890"/>
        </row>
        <row r="891">
          <cell r="B891" t="str">
            <v>UPSB101LU00101</v>
          </cell>
          <cell r="C891" t="str">
            <v>1000VA / 600W UPS, Battery Type: 12V/7.2AHx2, Model - LB1000PRO</v>
          </cell>
          <cell r="D891" t="str">
            <v>1000VA / 600W UPS, Battery Type: 12V/7.2AHx2, Model - LB1000PRO</v>
          </cell>
          <cell r="E891" t="str">
            <v>LIMUNOUS</v>
          </cell>
        </row>
        <row r="892">
          <cell r="B892" t="str">
            <v>PPA004MP02500</v>
          </cell>
          <cell r="C892" t="str">
            <v>Din Rail Switching Mode Power Supply Input 230VAC OUTPUT : 24V 2.1 A</v>
          </cell>
          <cell r="D892" t="str">
            <v>SSM24BIS2.1D</v>
          </cell>
          <cell r="E892" t="str">
            <v>Micropower</v>
          </cell>
          <cell r="F892"/>
        </row>
        <row r="893">
          <cell r="B893" t="str">
            <v>ITAC044XG04700</v>
          </cell>
          <cell r="C893" t="str">
            <v>Industrial Media Converter 2*10/100/1000M</v>
          </cell>
          <cell r="D893" t="str">
            <v>Industrial Media Converter 2*10/100/1000M RJ45 port</v>
          </cell>
          <cell r="E893" t="str">
            <v>XEXAGON</v>
          </cell>
          <cell r="F893"/>
        </row>
        <row r="894">
          <cell r="B894" t="str">
            <v>ITAB001DL00000</v>
          </cell>
          <cell r="C894" t="str">
            <v xml:space="preserve">D-Link LAN Cable </v>
          </cell>
          <cell r="D894" t="str">
            <v>D-Link LAN Cable 1 Meter length</v>
          </cell>
          <cell r="E894" t="str">
            <v>D-Link</v>
          </cell>
          <cell r="F894"/>
        </row>
        <row r="895">
          <cell r="B895" t="str">
            <v>PPAG301SL00300</v>
          </cell>
          <cell r="C895" t="str">
            <v xml:space="preserve">Multi Function Meter 3P-4Wire </v>
          </cell>
          <cell r="D895" t="str">
            <v>Multi Function Meter 3P-4Wire , RS485 communication</v>
          </cell>
          <cell r="E895" t="str">
            <v>Selec</v>
          </cell>
          <cell r="F895"/>
        </row>
        <row r="896">
          <cell r="B896" t="str">
            <v>MISO000MT00000</v>
          </cell>
          <cell r="C896" t="str">
            <v>Microtek Solar Inverter</v>
          </cell>
          <cell r="D896" t="str">
            <v>Microtek Solar Inverter</v>
          </cell>
          <cell r="E896" t="str">
            <v xml:space="preserve">Microtek </v>
          </cell>
          <cell r="F896"/>
        </row>
        <row r="897">
          <cell r="B897" t="str">
            <v>MISP042MT00000</v>
          </cell>
          <cell r="C897" t="str">
            <v>Microtek 12V/40AH Battery</v>
          </cell>
          <cell r="D897" t="str">
            <v>Microtek 12V/40AH Battery</v>
          </cell>
          <cell r="E897" t="str">
            <v xml:space="preserve">Microtek </v>
          </cell>
          <cell r="F897"/>
        </row>
        <row r="898">
          <cell r="B898" t="str">
            <v>MISP043MT00000</v>
          </cell>
          <cell r="C898" t="str">
            <v>Microtek 12V/75AH Battery</v>
          </cell>
          <cell r="D898" t="str">
            <v>Microtek 12V/40AH Battery</v>
          </cell>
          <cell r="E898" t="str">
            <v xml:space="preserve">Microtek </v>
          </cell>
          <cell r="F898"/>
        </row>
        <row r="899">
          <cell r="B899" t="str">
            <v>EFMR006FT00002</v>
          </cell>
          <cell r="C899" t="str">
            <v>FLOW METER WITH REMOTE  DISPLAY WITH 15 MTR CABLE 150 MM</v>
          </cell>
          <cell r="D899" t="str">
            <v>FLOW METER WITH REMOTE  DISPLAY WITH 15 MTR CABLE 150 MM</v>
          </cell>
          <cell r="E899" t="str">
            <v>FLOWTECH</v>
          </cell>
        </row>
        <row r="900">
          <cell r="B900" t="str">
            <v>EFMR007FT00002</v>
          </cell>
          <cell r="C900" t="str">
            <v>FLOW METER WITH REMOTE  DISPLAY WITH 15 MTR CABLE 200 MM</v>
          </cell>
          <cell r="D900" t="str">
            <v>FLOW METER WITH REMOTE  DISPLAY WITH 15 MTR CABLE 200 MM</v>
          </cell>
          <cell r="E900" t="str">
            <v>FLOWTECH</v>
          </cell>
        </row>
        <row r="901">
          <cell r="B901" t="str">
            <v>EFMR008FT00002</v>
          </cell>
          <cell r="C901" t="str">
            <v>FLOW METER WITH REMOTE   DISPLAY WITH 15 MTR CABLE 250 MM</v>
          </cell>
          <cell r="D901" t="str">
            <v>FLOW METER WITH REMOTE   DISPLAY WITH 15 MTR CABLE 250 MM</v>
          </cell>
          <cell r="E901" t="str">
            <v>FLOWTECH</v>
          </cell>
        </row>
        <row r="902">
          <cell r="B902" t="str">
            <v>EFMR009FT00002</v>
          </cell>
          <cell r="C902" t="str">
            <v>FLOW METER WITH REMOTE  DISPLAY 15MTR CABLE 300 MM</v>
          </cell>
          <cell r="D902" t="str">
            <v>FLOW METER WITH REMOTE  DISPLAY 15MTR CABLE 300 MM</v>
          </cell>
          <cell r="E902" t="str">
            <v>FLOWTECH</v>
          </cell>
        </row>
        <row r="903">
          <cell r="B903" t="str">
            <v>EFMR010FT00002</v>
          </cell>
          <cell r="C903" t="str">
            <v>FLOW METER WITH REMOTE  DISPLAY WITH 15 MTR350 MM</v>
          </cell>
          <cell r="D903" t="str">
            <v>FLOW METER WITH REMOTE  DISPLAY WITH 15 MTR350 MM</v>
          </cell>
          <cell r="E903" t="str">
            <v>FLOWTECH</v>
          </cell>
        </row>
        <row r="904">
          <cell r="B904" t="str">
            <v>EFMR011FT00002</v>
          </cell>
          <cell r="C904" t="str">
            <v>FLOW METER WITH REMOTE   DISPLAY WITH 15 MTR CABLE400 MM</v>
          </cell>
          <cell r="D904" t="str">
            <v>FLOW METER WITH REMOTE   DISPLAY WITH 15 MTR CABLE400 MM</v>
          </cell>
          <cell r="E904" t="str">
            <v>FLOWTECH</v>
          </cell>
        </row>
        <row r="905">
          <cell r="B905" t="str">
            <v>PNLO018KR00000</v>
          </cell>
          <cell r="C905" t="str">
            <v>CANOPY FOR BULLET CAMERA</v>
          </cell>
          <cell r="D905" t="str">
            <v>CANOPY FOR BULLET CAMERA</v>
          </cell>
          <cell r="E905" t="str">
            <v>KRISHANT</v>
          </cell>
        </row>
        <row r="906">
          <cell r="B906" t="str">
            <v>SERB003KR41200</v>
          </cell>
          <cell r="C906" t="str">
            <v>ACTUATOR PACKING AND LABELING WORK</v>
          </cell>
          <cell r="D906" t="str">
            <v>ACTUATOR PACKING AND LABELING WORK</v>
          </cell>
          <cell r="E906" t="str">
            <v>KRISHANT</v>
          </cell>
          <cell r="F906"/>
        </row>
        <row r="907">
          <cell r="B907" t="str">
            <v>SERB003KR41200</v>
          </cell>
          <cell r="C907" t="str">
            <v>0 TO 150 BAR STANDARD MAKE PRESSURE TRANSMITTER</v>
          </cell>
          <cell r="D907" t="str">
            <v>STANDARD MAKE 0 TO 150 BAR PRESSURE TRANSMITTER</v>
          </cell>
          <cell r="E907" t="str">
            <v>STANDARD</v>
          </cell>
          <cell r="F907"/>
        </row>
        <row r="908">
          <cell r="B908" t="str">
            <v>ITAP010HP00000</v>
          </cell>
          <cell r="C908" t="str">
            <v>HP B &amp; W PRINTER</v>
          </cell>
          <cell r="D908" t="str">
            <v>HP B &amp; W PRINTER</v>
          </cell>
          <cell r="E908" t="str">
            <v>HP</v>
          </cell>
          <cell r="F908"/>
        </row>
        <row r="909">
          <cell r="B909" t="str">
            <v>LVLB002ST00001</v>
          </cell>
          <cell r="C909" t="str">
            <v>ULTRASONIC LEVEL TRANSMITTER 0 TO 6 MTR 2 WIRE 4 TO 20 mA</v>
          </cell>
          <cell r="D909" t="str">
            <v>ULTRASONIC LEVEL TRANSMITTER 0 TO 6 MTR 2 WIRE 4 TO 20 mA</v>
          </cell>
          <cell r="E909" t="str">
            <v>STANDARD</v>
          </cell>
          <cell r="F909"/>
        </row>
        <row r="910">
          <cell r="B910" t="str">
            <v>PNLP026NA00000</v>
          </cell>
          <cell r="C910" t="str">
            <v>335 HP X 2 NOS SOFT STARTER PANEL WITH SCADA + ACT PANEL</v>
          </cell>
          <cell r="D910" t="str">
            <v>335 HP X 2 NOS SOFT STARTER PANEL WITH SCADA + ACT PANEL</v>
          </cell>
          <cell r="E910"/>
          <cell r="F910"/>
        </row>
        <row r="911">
          <cell r="B911" t="str">
            <v>CABF405PO00007</v>
          </cell>
          <cell r="C911" t="str">
            <v xml:space="preserve">4 core 0.75 sq mm flexible cable </v>
          </cell>
          <cell r="D911" t="str">
            <v xml:space="preserve">4 core 0.75 sq mm flexible multistraind cable </v>
          </cell>
          <cell r="E911" t="str">
            <v>Polycab</v>
          </cell>
          <cell r="F911"/>
        </row>
        <row r="912">
          <cell r="B912" t="str">
            <v>PNLE001KR00000</v>
          </cell>
          <cell r="C912" t="str">
            <v>STP Panel with mini RTU</v>
          </cell>
          <cell r="D912" t="str">
            <v>STP Panel with mini RTU</v>
          </cell>
          <cell r="E912" t="str">
            <v>KRISHANT</v>
          </cell>
          <cell r="F912"/>
        </row>
        <row r="913">
          <cell r="B913" t="str">
            <v xml:space="preserve">EFMF003FT00403	</v>
          </cell>
          <cell r="C913" t="str">
            <v xml:space="preserve">80 MM fLOW METER </v>
          </cell>
          <cell r="D913" t="str">
            <v xml:space="preserve">80 MM fLOW METER </v>
          </cell>
          <cell r="E913" t="str">
            <v>FLOWTECH</v>
          </cell>
          <cell r="F913"/>
        </row>
        <row r="914">
          <cell r="B914" t="str">
            <v>PLAY001ST00000</v>
          </cell>
          <cell r="C914" t="str">
            <v>Ductile Iron Flange socket, line size 150mm</v>
          </cell>
          <cell r="D914" t="str">
            <v>Ductile Iron Flange socket, line size 150mm</v>
          </cell>
          <cell r="E914" t="str">
            <v>Standard</v>
          </cell>
          <cell r="F914"/>
        </row>
        <row r="915">
          <cell r="B915" t="str">
            <v>PNLF027KR00400</v>
          </cell>
          <cell r="C915" t="str">
            <v>7.5 HP + 50 HP STAR DELTA STARTER PANEL + RTU 3000</v>
          </cell>
          <cell r="D915" t="str">
            <v>7.5 HP + 50 HP STAR DELTA STARTER PANEL + RTU 3000</v>
          </cell>
          <cell r="E915" t="str">
            <v>KRISHANT</v>
          </cell>
          <cell r="F915"/>
        </row>
        <row r="916">
          <cell r="B916" t="str">
            <v>CABD108NA00000</v>
          </cell>
          <cell r="C916" t="str">
            <v>1 CORE 6 SQ MM DC CABLE</v>
          </cell>
          <cell r="D916" t="str">
            <v>1 CORE 6 SQ MM DC CABLE FLEXIBLE</v>
          </cell>
          <cell r="E916"/>
          <cell r="F916"/>
        </row>
        <row r="917">
          <cell r="B917" t="str">
            <v>PPAO019DE02600</v>
          </cell>
          <cell r="C917" t="str">
            <v>VFD 2 HP SOLAR  DELIXI MAKE</v>
          </cell>
          <cell r="D917" t="str">
            <v>VFD 2 HP SOLAR  DELIXI MAKE</v>
          </cell>
          <cell r="E917" t="str">
            <v>DELIXI</v>
          </cell>
          <cell r="F917" t="str">
            <v>CDI-SPDG1R5T4</v>
          </cell>
        </row>
        <row r="918">
          <cell r="B918" t="str">
            <v>PPAO009DE02700</v>
          </cell>
          <cell r="C918" t="str">
            <v>VFD 3 HP SOLAR DELIXI MAKE</v>
          </cell>
          <cell r="D918" t="str">
            <v>VFD 3 HP SOLAR DELIXI MAKE</v>
          </cell>
          <cell r="E918" t="str">
            <v>DELIXI</v>
          </cell>
          <cell r="F918" t="str">
            <v>CDI-SPDG2R2T4</v>
          </cell>
        </row>
        <row r="919">
          <cell r="B919" t="str">
            <v>PPAO012DE02800</v>
          </cell>
          <cell r="C919" t="str">
            <v>VFD 10 HP SOLAR DELIXI MAKE</v>
          </cell>
          <cell r="D919" t="str">
            <v>VFD 10 HP SOLAR DELIXI MAKE</v>
          </cell>
          <cell r="E919" t="str">
            <v>DELIXI</v>
          </cell>
          <cell r="F919" t="str">
            <v>CDI-SPDG7R5T4</v>
          </cell>
        </row>
        <row r="920">
          <cell r="B920" t="str">
            <v>PPAO014DE02900</v>
          </cell>
          <cell r="C920" t="str">
            <v>VFD 15 HP SOLAR DELIXI MAKE</v>
          </cell>
          <cell r="D920" t="str">
            <v>VFD 15 HP SOLAR DELIXI MAKE</v>
          </cell>
          <cell r="E920" t="str">
            <v>DELIXI</v>
          </cell>
          <cell r="F920" t="str">
            <v>CDI-SPDG011T4</v>
          </cell>
        </row>
        <row r="921">
          <cell r="B921" t="str">
            <v>PPAO020DE03000</v>
          </cell>
          <cell r="C921" t="str">
            <v>VFD 40 HP SOLAR DELIXI MAKE</v>
          </cell>
          <cell r="D921" t="str">
            <v>VFD 40 HP SOLAR DELIXI MAKE</v>
          </cell>
          <cell r="E921" t="str">
            <v>DELIXI</v>
          </cell>
          <cell r="F921" t="str">
            <v>CDI-SPDG030T4</v>
          </cell>
        </row>
        <row r="922">
          <cell r="B922" t="str">
            <v>PNLO019NA00000</v>
          </cell>
          <cell r="C922" t="str">
            <v>700 W X 700 H  X 700 D  ,SOLAR  INVERTER &amp; BATTERY CANOPY PANEL</v>
          </cell>
          <cell r="D922" t="str">
            <v>700 W X 700 H  X 700 D  ,SOLAR  INVERTER &amp; BATTERY CANOPY PANEL</v>
          </cell>
          <cell r="E922" t="str">
            <v>NOTAPPLICABLE</v>
          </cell>
          <cell r="F922"/>
        </row>
        <row r="923">
          <cell r="B923" t="str">
            <v>CABF403PO00001</v>
          </cell>
          <cell r="C923" t="str">
            <v>4 Core X 2.5 sq.mm , PVC insulated flexible conducter  cable</v>
          </cell>
          <cell r="D923" t="str">
            <v>4 Core X 2.5 sq.mm , PVC insulated flexible copper conducter  cable</v>
          </cell>
          <cell r="E923" t="str">
            <v>POLYCAB</v>
          </cell>
          <cell r="F923"/>
        </row>
        <row r="924">
          <cell r="B924" t="str">
            <v>CABC702PO00009</v>
          </cell>
          <cell r="C924" t="str">
            <v xml:space="preserve">7 Core X 1.5 sq.mm XLPE, PVC insulated copper conducter, Armour cable </v>
          </cell>
          <cell r="D924" t="str">
            <v xml:space="preserve">7 Core X 1.5 sq.mm XLPE, PVC insulated copper conducter, Armour cable </v>
          </cell>
          <cell r="E924" t="str">
            <v>POLYCAB</v>
          </cell>
          <cell r="F924"/>
        </row>
        <row r="925">
          <cell r="B925" t="str">
            <v>ELAB031ST00000</v>
          </cell>
          <cell r="C925" t="str">
            <v xml:space="preserve">10 SQ MM ALUMINUM RING TYPE LUGS M-6 HOLE </v>
          </cell>
          <cell r="D925" t="str">
            <v xml:space="preserve">10 SQ MM ALUMINUM RING TYPE LUGS M-6 HOLE </v>
          </cell>
          <cell r="E925" t="str">
            <v>STANDARD</v>
          </cell>
          <cell r="F925"/>
        </row>
        <row r="926">
          <cell r="B926" t="str">
            <v>ELAB032ST00000</v>
          </cell>
          <cell r="C926" t="str">
            <v xml:space="preserve">16 SQ MM ALUMINUM RING TYPE LUGS M-6 HOLE </v>
          </cell>
          <cell r="D926" t="str">
            <v xml:space="preserve">16 SQ MM ALUMINUM RING TYPE LUGS M-6 HOLE </v>
          </cell>
          <cell r="E926" t="str">
            <v>STANDARD</v>
          </cell>
          <cell r="F926"/>
        </row>
        <row r="927">
          <cell r="B927" t="str">
            <v>MISH005RS00000</v>
          </cell>
          <cell r="C927" t="str">
            <v xml:space="preserve">PRE FABRICATED CABIN  6 X 6 X 8 FT </v>
          </cell>
          <cell r="D927" t="str">
            <v xml:space="preserve">PRE FABRICATED CABIN  6 X 6 X 8 FT </v>
          </cell>
          <cell r="E927" t="str">
            <v>R.S COMPANY</v>
          </cell>
          <cell r="F927"/>
        </row>
        <row r="928">
          <cell r="B928" t="str">
            <v>PNLP020NA01000</v>
          </cell>
          <cell r="C928" t="str">
            <v>3- 5 HP STARTER PANEL WITH 3 NOS ACTUATOR STARTER PANEL</v>
          </cell>
          <cell r="D928" t="str">
            <v>3- 5 HP STARTER PANEL WITH 3 NOS ACTUATOR STARTER PANEL</v>
          </cell>
          <cell r="E928"/>
          <cell r="F928"/>
        </row>
        <row r="929">
          <cell r="B929" t="str">
            <v>PNLP021NA01000</v>
          </cell>
          <cell r="C929" t="str">
            <v>7.5 HP STARTER PANEL WITH 3 NOS ACTUATOR STARTER PANEL</v>
          </cell>
          <cell r="D929" t="str">
            <v>7.5 HP STARTER PANEL WITH 3 NOS ACTUATOR STARTER PANEL</v>
          </cell>
          <cell r="E929"/>
          <cell r="F929"/>
        </row>
        <row r="930">
          <cell r="B930" t="str">
            <v>PNLP022NA01000</v>
          </cell>
          <cell r="C930" t="str">
            <v>17.5 HP STARTER PANEL WITH 3 NOS ACTUATOR STARTER PANEL</v>
          </cell>
          <cell r="D930" t="str">
            <v>17.5 HP STARTER PANEL WITH 3 NOS ACTUATOR STARTER PANEL</v>
          </cell>
          <cell r="E930"/>
          <cell r="F930"/>
        </row>
        <row r="931">
          <cell r="B931" t="str">
            <v>PNLP001NA01000</v>
          </cell>
          <cell r="C931" t="str">
            <v>10 HP STARTER PANEL WITH 3 NOS ACTUATOR STARTER PANEL</v>
          </cell>
          <cell r="D931" t="str">
            <v>10 HP STARTER PANEL WITH 3 NOS ACTUATOR STARTER PANEL</v>
          </cell>
          <cell r="E931"/>
          <cell r="F931"/>
        </row>
        <row r="932">
          <cell r="B932" t="str">
            <v>PNLP002NA01000</v>
          </cell>
          <cell r="C932" t="str">
            <v>15 HP STARTER PANEL WITH 3 NOS ACTUATOR STARTER PANEL</v>
          </cell>
          <cell r="D932" t="str">
            <v>15 HP STARTER PANEL WITH 3 NOS ACTUATOR STARTER PANEL</v>
          </cell>
          <cell r="E932"/>
          <cell r="F932"/>
        </row>
        <row r="933">
          <cell r="B933" t="str">
            <v>PNLP023NA01000</v>
          </cell>
          <cell r="C933" t="str">
            <v>12.5 HP STARTER PANEL WITH 3 NOS ACTUATOR STARTER PANEL</v>
          </cell>
          <cell r="D933" t="str">
            <v>12.5 HP STARTER PANEL WITH 3 NOS ACTUATOR STARTER PANEL</v>
          </cell>
          <cell r="E933"/>
          <cell r="F933"/>
        </row>
        <row r="934">
          <cell r="B934" t="str">
            <v>PNLP003NA01000</v>
          </cell>
          <cell r="C934" t="str">
            <v>20 HP STARTER PANEL WITH 3 NOS ACTUATOR STARTER PANEL</v>
          </cell>
          <cell r="D934" t="str">
            <v>20 HP STARTER PANEL WITH 3 NOS ACTUATOR STARTER PANEL</v>
          </cell>
          <cell r="E934"/>
          <cell r="F934"/>
        </row>
        <row r="935">
          <cell r="B935" t="str">
            <v>PNLP004NA01000</v>
          </cell>
          <cell r="C935" t="str">
            <v>25 HP STARTER PANEL WITH 3 NOS ACTUATOR STARTER PANEL</v>
          </cell>
          <cell r="D935" t="str">
            <v>25 HP STARTER PANEL WITH 3 NOS ACTUATOR STARTER PANEL</v>
          </cell>
          <cell r="E935"/>
          <cell r="F935"/>
        </row>
        <row r="936">
          <cell r="B936" t="str">
            <v>PNLP005NA01000</v>
          </cell>
          <cell r="C936" t="str">
            <v>30 HP STARTER PANEL WITH 3 NOS ACTUATOR STARTER PANEL</v>
          </cell>
          <cell r="D936" t="str">
            <v>30 HP STARTER PANEL WITH 3 NOS ACTUATOR STARTER PANEL</v>
          </cell>
          <cell r="E936"/>
          <cell r="F936"/>
        </row>
        <row r="937">
          <cell r="B937" t="str">
            <v>PPAL013SC00000</v>
          </cell>
          <cell r="C937" t="str">
            <v>16 AMP MCB-3 POLE</v>
          </cell>
          <cell r="D937" t="str">
            <v>16 AMP MCB-3 POLE</v>
          </cell>
          <cell r="E937" t="str">
            <v>SCHNEIDER</v>
          </cell>
          <cell r="F937"/>
        </row>
        <row r="938">
          <cell r="B938" t="str">
            <v>PPAL014SC00000</v>
          </cell>
          <cell r="C938" t="str">
            <v>10 AMP MCB - 2 POLE</v>
          </cell>
          <cell r="D938" t="str">
            <v>10 AMP MCB - 2 POLE</v>
          </cell>
          <cell r="E938" t="str">
            <v>SCHNEIDER</v>
          </cell>
          <cell r="F938"/>
        </row>
        <row r="939">
          <cell r="B939" t="str">
            <v>PNLF002NA61770</v>
          </cell>
          <cell r="C939" t="str">
            <v>PLATE MOUNT 3 PHASE FEEDER AS PER PROJECT 6177 BOM</v>
          </cell>
          <cell r="D939" t="str">
            <v>PLATE MOUNT 3 PHASE FEEDER AS PER PROJECT 6177 BOM</v>
          </cell>
          <cell r="E939"/>
          <cell r="F939"/>
        </row>
        <row r="940">
          <cell r="B940" t="str">
            <v>SERB002TR81040</v>
          </cell>
          <cell r="C940" t="str">
            <v>INSTALLATION OF EARTHING MATERIAL FOR 8104 PNC PROJECT</v>
          </cell>
          <cell r="D940" t="str">
            <v>INSTALLATION OF EARTHING MATERIAL FOR 8104 PNC PROJECT</v>
          </cell>
          <cell r="E940"/>
          <cell r="F940"/>
        </row>
        <row r="941">
          <cell r="B941" t="str">
            <v>UPSA101FU00003</v>
          </cell>
          <cell r="C941" t="str">
            <v>1 KVA ONLINE UPS SINGLE PHASE</v>
          </cell>
          <cell r="D941" t="str">
            <v>1 KVA ONLINE UPS SINGLE PHASE</v>
          </cell>
          <cell r="E941" t="str">
            <v>FUJI</v>
          </cell>
          <cell r="F941"/>
        </row>
        <row r="942">
          <cell r="B942" t="str">
            <v>MISP051EX00000</v>
          </cell>
          <cell r="C942" t="str">
            <v>12V/18 AH BATTERY EXIDE MAKE</v>
          </cell>
          <cell r="D942" t="str">
            <v>12V/18 AH BATTERY EXIDE MAKE</v>
          </cell>
          <cell r="E942" t="str">
            <v>EXIDE</v>
          </cell>
          <cell r="F942"/>
        </row>
        <row r="943">
          <cell r="B943" t="str">
            <v>MOVK008MA00000</v>
          </cell>
          <cell r="C943" t="str">
            <v>BRACKET FOR THREE PHASE ACTUATOR WITH DIRECT MOUNT</v>
          </cell>
          <cell r="D943" t="str">
            <v>BRACKET FOR THREE PHASE ACTUATOR WITH DIRECT MOUNT</v>
          </cell>
          <cell r="E943" t="str">
            <v>MARSH</v>
          </cell>
          <cell r="F943"/>
        </row>
        <row r="944">
          <cell r="B944" t="str">
            <v>MOVK009MA00000</v>
          </cell>
          <cell r="C944" t="str">
            <v>BRACKET FOR THREE PHASE ACTUATOR WITH EXTENDED SHAFT MOUNT</v>
          </cell>
          <cell r="D944" t="str">
            <v>BRACKET FOR THREE PHASE ACTUATOR WITH EXTENDED SHAFT MOUNT</v>
          </cell>
          <cell r="E944" t="str">
            <v>MARSH</v>
          </cell>
          <cell r="F944"/>
        </row>
        <row r="945">
          <cell r="B945" t="str">
            <v>PLAB006NA00000</v>
          </cell>
          <cell r="C945" t="str">
            <v xml:space="preserve">GREY PVC PIPE 4 KG PRESSURE 50 MM </v>
          </cell>
          <cell r="D945" t="str">
            <v xml:space="preserve">GREY PVC PIPE 4 KG PRESSURE 50 MM </v>
          </cell>
          <cell r="E945"/>
          <cell r="F945"/>
        </row>
        <row r="946">
          <cell r="B946" t="str">
            <v>PLAO207NA00000</v>
          </cell>
          <cell r="C946" t="str">
            <v xml:space="preserve">GREY PVC ELBOW 50 MM </v>
          </cell>
          <cell r="D946" t="str">
            <v xml:space="preserve">GREY PVC ELBOW 50 MM </v>
          </cell>
          <cell r="E946"/>
          <cell r="F946"/>
        </row>
        <row r="947">
          <cell r="B947" t="str">
            <v>PLAO506NA00000</v>
          </cell>
          <cell r="C947" t="str">
            <v>GREY PVC TEE 50 MM</v>
          </cell>
          <cell r="D947" t="str">
            <v>GREY TEE 50 MM</v>
          </cell>
          <cell r="E947"/>
          <cell r="F947"/>
        </row>
        <row r="948">
          <cell r="B948" t="str">
            <v>PLAN601NA00000</v>
          </cell>
          <cell r="C948" t="str">
            <v>GI 50 MM CLAMP FOR PVC PIPE</v>
          </cell>
          <cell r="D948" t="str">
            <v>GI 50 MM CLAMP FOR PVC PIPE</v>
          </cell>
          <cell r="E948"/>
          <cell r="F948"/>
        </row>
        <row r="949">
          <cell r="B949" t="str">
            <v>PLAA001NA00000</v>
          </cell>
          <cell r="C949" t="str">
            <v>GI 2" - 50 MM PIPE</v>
          </cell>
          <cell r="D949" t="str">
            <v>GI 2" - 50 MM PIPE</v>
          </cell>
          <cell r="E949"/>
          <cell r="F949"/>
        </row>
        <row r="950">
          <cell r="B950" t="str">
            <v>PLAA003NA00000</v>
          </cell>
          <cell r="C950" t="str">
            <v>GI 3"- 80 MM PIPE</v>
          </cell>
          <cell r="D950" t="str">
            <v>GI 3"- 80 MM PIPE</v>
          </cell>
          <cell r="E950"/>
          <cell r="F950"/>
        </row>
        <row r="951">
          <cell r="B951" t="str">
            <v>PLAA004NA00000</v>
          </cell>
          <cell r="C951" t="str">
            <v>GI 4" - 100 MM PIPE</v>
          </cell>
          <cell r="D951" t="str">
            <v>GI 4" - 100 MM PIPE</v>
          </cell>
          <cell r="E951"/>
          <cell r="F951"/>
        </row>
        <row r="952">
          <cell r="B952" t="str">
            <v>HMIA007CI00503</v>
          </cell>
          <cell r="C952" t="str">
            <v>7" TFT CIMCON HMI</v>
          </cell>
          <cell r="D952" t="str">
            <v>7" TFT CIMCON HMI, SERIAL RS-485/RS-232 AND ETHERNET</v>
          </cell>
          <cell r="E952" t="str">
            <v>CIMCON</v>
          </cell>
          <cell r="F952"/>
        </row>
        <row r="953">
          <cell r="B953" t="str">
            <v>PNLQ004RI00000</v>
          </cell>
          <cell r="C953" t="str">
            <v>Rittal Panel</v>
          </cell>
          <cell r="D953" t="str">
            <v>Rittal Panel 600*600*210 mm</v>
          </cell>
          <cell r="E953" t="str">
            <v>Ritttal</v>
          </cell>
          <cell r="F953"/>
        </row>
        <row r="954">
          <cell r="B954" t="str">
            <v>ELAU111NA00000</v>
          </cell>
          <cell r="C954" t="str">
            <v xml:space="preserve">LIGHTNING ARRESTER </v>
          </cell>
          <cell r="D954" t="str">
            <v xml:space="preserve">LIGHTNING ARRESTER </v>
          </cell>
          <cell r="E954" t="str">
            <v>Not Applicable</v>
          </cell>
          <cell r="F954"/>
        </row>
        <row r="955">
          <cell r="B955" t="str">
            <v>MISH006NA00000</v>
          </cell>
          <cell r="C955" t="str">
            <v>FABRICATE ROUND MS PLATE FOR CAMERA JB</v>
          </cell>
          <cell r="D955" t="str">
            <v>FABRICATE ROUND MS PLATE FOR CAMERA JB</v>
          </cell>
          <cell r="E955" t="str">
            <v>KRISHANT</v>
          </cell>
          <cell r="F955"/>
        </row>
        <row r="956">
          <cell r="B956" t="str">
            <v>PPAU001AB00000</v>
          </cell>
          <cell r="C956" t="str">
            <v>ABB AX80-30-11-3P 220VAC Contactor</v>
          </cell>
          <cell r="D956" t="str">
            <v>80 AMP - 3 POLE POWER CONTACTOR</v>
          </cell>
          <cell r="E956" t="str">
            <v>ABB</v>
          </cell>
          <cell r="F956"/>
        </row>
        <row r="957">
          <cell r="B957" t="str">
            <v>PPAU002AB00000</v>
          </cell>
          <cell r="C957" t="str">
            <v>ABB AX50-30-11-3P 220VAC Contactor</v>
          </cell>
          <cell r="D957" t="str">
            <v>50 AMP - 3 POLE POWER CONTACTOR</v>
          </cell>
          <cell r="E957" t="str">
            <v>ABB</v>
          </cell>
          <cell r="F957"/>
        </row>
        <row r="958">
          <cell r="B958" t="str">
            <v>PNLN007NA00000</v>
          </cell>
          <cell r="C958" t="str">
            <v>CHANGE OVER SWITCH PANEL 315 AMP</v>
          </cell>
          <cell r="D958" t="str">
            <v>CHANGE OVER SWITCH PANEL 315 AMP</v>
          </cell>
          <cell r="E958"/>
          <cell r="F958"/>
        </row>
        <row r="959">
          <cell r="B959" t="str">
            <v>MISD001EL00000</v>
          </cell>
          <cell r="C959" t="str">
            <v>EMI filter, 20A (reduce electromagnetic interference)</v>
          </cell>
          <cell r="D959" t="str">
            <v>EMI filter, 20A (reduce electromagnetic interference)</v>
          </cell>
          <cell r="E959" t="str">
            <v>ELECOM</v>
          </cell>
          <cell r="F959"/>
        </row>
        <row r="960">
          <cell r="B960" t="str">
            <v>MIS0004LU50000</v>
          </cell>
          <cell r="C960" t="str">
            <v>SOLAR CHARGER 10AMP</v>
          </cell>
          <cell r="D960" t="str">
            <v>SOLAR CHARGER 10AMP</v>
          </cell>
          <cell r="E960" t="str">
            <v>LUMINIOUS</v>
          </cell>
          <cell r="F960"/>
        </row>
        <row r="961">
          <cell r="B961" t="str">
            <v>CABF901PO00001</v>
          </cell>
          <cell r="C961" t="str">
            <v xml:space="preserve">1 SQ MM X 10 CORE FLEXIBLE PVC CABLE	</v>
          </cell>
          <cell r="D961" t="str">
            <v xml:space="preserve">1 SQ MM X 10 CORE FLEXIBLE PVC CABLE	</v>
          </cell>
          <cell r="E961" t="str">
            <v>NA</v>
          </cell>
          <cell r="F961"/>
        </row>
        <row r="962">
          <cell r="B962" t="str">
            <v>CABF401PO00001</v>
          </cell>
          <cell r="C962" t="str">
            <v>1 SQ MM X 4 CORE FLEXIBLE PVC CABLE</v>
          </cell>
          <cell r="D962" t="str">
            <v>1 SQ MM X 4 CORE FLEXIBLE PVC CABLE</v>
          </cell>
          <cell r="E962"/>
          <cell r="F962"/>
        </row>
        <row r="963">
          <cell r="B963" t="str">
            <v>PPAV001NA00000</v>
          </cell>
          <cell r="C963" t="str">
            <v>Level Indicator - 4 - 20 mA input and 485 Output</v>
          </cell>
          <cell r="D963" t="str">
            <v>Level Indicator - 4 - 20 mA input and 485 Output</v>
          </cell>
          <cell r="E963" t="str">
            <v>NA</v>
          </cell>
          <cell r="F963"/>
        </row>
        <row r="964">
          <cell r="B964" t="str">
            <v>LVLB002NA00001</v>
          </cell>
          <cell r="C964" t="str">
            <v>Ultrasonic Level Transmitter 0 to 6 Meter Range and 4 to 20 mA</v>
          </cell>
          <cell r="D964" t="str">
            <v>Ultrasonic Level Transmitter 0 to 6 Meter Range and 4 to 20 mA</v>
          </cell>
          <cell r="E964" t="str">
            <v>NA</v>
          </cell>
          <cell r="F964"/>
        </row>
        <row r="965">
          <cell r="B965" t="str">
            <v>LVLB003NA00001</v>
          </cell>
          <cell r="C965" t="str">
            <v>Ultrasonic Level Transmitter 0 to 8 Meter Range and 4 to 20 mA</v>
          </cell>
          <cell r="D965" t="str">
            <v>Ultrasonic Level Transmitter 0 to 8 Meter Range and 4 to 20 mA</v>
          </cell>
          <cell r="E965" t="str">
            <v>NA</v>
          </cell>
          <cell r="F965"/>
        </row>
        <row r="966">
          <cell r="B966" t="str">
            <v>ELAK003NA00000</v>
          </cell>
          <cell r="C966" t="str">
            <v>WEDGE TYPE ANCHOR FASTNER 8 X 75 MM</v>
          </cell>
          <cell r="D966" t="str">
            <v>WEDGE TYPE ANCHOR FASTNER 8 X 75 MM</v>
          </cell>
          <cell r="E966" t="str">
            <v>NA</v>
          </cell>
          <cell r="F966"/>
        </row>
        <row r="967">
          <cell r="B967" t="str">
            <v>ELAK004NA00000</v>
          </cell>
          <cell r="C967" t="str">
            <v>ANCHOR FASTNER PIN TYPE 12 X 75 MM</v>
          </cell>
          <cell r="D967" t="str">
            <v>ANCHOR FASTNER PIN TYPE 12 X 75 MM</v>
          </cell>
          <cell r="E967" t="str">
            <v>NA</v>
          </cell>
          <cell r="F967"/>
        </row>
        <row r="968">
          <cell r="B968" t="str">
            <v>ELAK005ST00000</v>
          </cell>
          <cell r="C968" t="str">
            <v>ANCHOR FASTNER PIN TYPE 12 X 100 MM</v>
          </cell>
          <cell r="D968" t="str">
            <v>ANCHOR FASTNER PIN TYPE 12 X 100 MM</v>
          </cell>
          <cell r="E968" t="str">
            <v>Standard</v>
          </cell>
          <cell r="F968"/>
        </row>
        <row r="969">
          <cell r="B969" t="str">
            <v>PPAG301HP00900</v>
          </cell>
          <cell r="C969" t="str">
            <v>3P4W multifunction energy meter</v>
          </cell>
          <cell r="D969"/>
          <cell r="E969" t="str">
            <v>HPL</v>
          </cell>
          <cell r="F969"/>
        </row>
        <row r="970">
          <cell r="B970" t="str">
            <v>MISI002MS01400</v>
          </cell>
          <cell r="C970" t="str">
            <v>Process indicator</v>
          </cell>
          <cell r="D970" t="str">
            <v xml:space="preserve">Multispan process indicator PIC-38 </v>
          </cell>
          <cell r="E970" t="str">
            <v>Multispan</v>
          </cell>
          <cell r="F970"/>
        </row>
        <row r="971">
          <cell r="B971" t="str">
            <v>MISV004NA00000</v>
          </cell>
          <cell r="C971" t="str">
            <v>ISOLATIO TRANSFORMER 2KVA</v>
          </cell>
          <cell r="D971" t="str">
            <v>ISOLATION TRANSFORMER 2KVA</v>
          </cell>
          <cell r="E971"/>
          <cell r="F971"/>
        </row>
        <row r="972">
          <cell r="B972" t="str">
            <v>ITAZ503NA00000</v>
          </cell>
          <cell r="C972" t="str">
            <v>2 MP Camera</v>
          </cell>
          <cell r="D972" t="str">
            <v>2 MP Camera</v>
          </cell>
          <cell r="E972" t="str">
            <v>NA</v>
          </cell>
          <cell r="F972"/>
        </row>
        <row r="973">
          <cell r="B973" t="str">
            <v>ITAZ504NA00000</v>
          </cell>
          <cell r="C973" t="str">
            <v>DVR</v>
          </cell>
          <cell r="D973" t="str">
            <v>DVR</v>
          </cell>
          <cell r="E973" t="str">
            <v>NA</v>
          </cell>
          <cell r="F973"/>
        </row>
        <row r="974">
          <cell r="B974" t="str">
            <v>CABE000NA00000</v>
          </cell>
          <cell r="C974" t="str">
            <v>3+1 copper coaxial Cable</v>
          </cell>
          <cell r="D974" t="str">
            <v>3+1 copper coaxial Cable</v>
          </cell>
          <cell r="E974" t="str">
            <v>NA</v>
          </cell>
          <cell r="F974"/>
        </row>
        <row r="975">
          <cell r="B975" t="str">
            <v>ITAZ701NA00000</v>
          </cell>
          <cell r="C975" t="str">
            <v>4 Ch 5 V DC power supply</v>
          </cell>
          <cell r="D975" t="str">
            <v>4 Ch 5 V DC power supply</v>
          </cell>
          <cell r="E975" t="str">
            <v>NA</v>
          </cell>
          <cell r="F975"/>
        </row>
        <row r="976">
          <cell r="B976" t="str">
            <v>ITAZ702NA00001</v>
          </cell>
          <cell r="C976" t="str">
            <v xml:space="preserve">Camera Box 4x4 </v>
          </cell>
          <cell r="D976" t="str">
            <v xml:space="preserve">Camera Box 4x4 </v>
          </cell>
          <cell r="E976" t="str">
            <v>NA</v>
          </cell>
          <cell r="F976"/>
        </row>
        <row r="977">
          <cell r="B977" t="str">
            <v>ITAZ703NA00002</v>
          </cell>
          <cell r="C977" t="str">
            <v xml:space="preserve">Video Ballon Pin </v>
          </cell>
          <cell r="D977" t="str">
            <v xml:space="preserve">Video Ballon Pin </v>
          </cell>
          <cell r="E977" t="str">
            <v>NA</v>
          </cell>
          <cell r="F977"/>
        </row>
        <row r="978">
          <cell r="B978" t="str">
            <v>ITAZ704NA00003</v>
          </cell>
          <cell r="C978" t="str">
            <v>BNC Pin</v>
          </cell>
          <cell r="D978" t="str">
            <v>BNC Pin</v>
          </cell>
          <cell r="E978" t="str">
            <v>NA</v>
          </cell>
          <cell r="F978"/>
        </row>
        <row r="979">
          <cell r="B979" t="str">
            <v>ITAZ705NA00004</v>
          </cell>
          <cell r="C979" t="str">
            <v>DC PIN</v>
          </cell>
          <cell r="D979" t="str">
            <v>DC PIN</v>
          </cell>
          <cell r="E979" t="str">
            <v>NA</v>
          </cell>
          <cell r="F979"/>
        </row>
        <row r="980">
          <cell r="B980" t="str">
            <v>MISR065NA00000</v>
          </cell>
          <cell r="C980" t="str">
            <v>Mobile Phone</v>
          </cell>
          <cell r="D980" t="str">
            <v>Mobile Phone</v>
          </cell>
          <cell r="E980" t="str">
            <v>NA</v>
          </cell>
          <cell r="F980"/>
        </row>
        <row r="981">
          <cell r="B981" t="str">
            <v>ITAD014NA00000</v>
          </cell>
          <cell r="C981" t="str">
            <v>i3 processor with 512 GB SSD, 8 GB RAM with HDMI and VGA port and 19-inch monitor, Windows 10, KBD Mouse</v>
          </cell>
          <cell r="D981" t="str">
            <v>i3 processor with 512 GB SSD, 8 GB RAM with HDMI and VGA port and 19-inch monitor, Windows 10, KBD Mouse</v>
          </cell>
          <cell r="E981" t="str">
            <v>NA</v>
          </cell>
          <cell r="F981"/>
        </row>
        <row r="982">
          <cell r="B982" t="str">
            <v>PPAB005MW03100</v>
          </cell>
          <cell r="C982" t="str">
            <v>SMPS ,AC-DC,24V,2.2A 100-264V In,Enclosed,Commercial,52.8W,LRS Series</v>
          </cell>
          <cell r="D982" t="str">
            <v>SMPS ,AC-DC,24V,2.2A 100-264V In,Enclosed,Commercial,52.8W,LRS Series</v>
          </cell>
          <cell r="E982" t="str">
            <v>Meanwell</v>
          </cell>
          <cell r="F982"/>
        </row>
        <row r="983">
          <cell r="B983" t="str">
            <v>PNLO002NA00900</v>
          </cell>
          <cell r="C983" t="str">
            <v>CANOPY PVC TYPE 150X150X100</v>
          </cell>
          <cell r="D983" t="str">
            <v>CANOPY PVC TYPE 150X150X100</v>
          </cell>
          <cell r="E983" t="str">
            <v>REPUTED</v>
          </cell>
          <cell r="F983"/>
        </row>
        <row r="984">
          <cell r="B984" t="str">
            <v>SERB002CI61770</v>
          </cell>
          <cell r="C984" t="str">
            <v>Printer</v>
          </cell>
          <cell r="D984" t="str">
            <v>Engineering Service Charges for supervision of Installation andCommissioning of Project</v>
          </cell>
          <cell r="E984" t="str">
            <v>CIMCON</v>
          </cell>
          <cell r="F984"/>
        </row>
        <row r="985">
          <cell r="B985" t="str">
            <v>PPAE009SC00000</v>
          </cell>
          <cell r="C985" t="str">
            <v>24VDC 2CO 10A  relay</v>
          </cell>
          <cell r="D985" t="str">
            <v>24VDC 2CO 10A  relay</v>
          </cell>
          <cell r="E985" t="str">
            <v>Schneider</v>
          </cell>
          <cell r="F985"/>
        </row>
        <row r="986">
          <cell r="B986" t="str">
            <v>PPAJ014ST00000</v>
          </cell>
          <cell r="C986" t="str">
            <v>SMF Battery 12 V, 1.3 AH for 1 hours back up to controller</v>
          </cell>
          <cell r="D986" t="str">
            <v>SMF Battery 12 V, 1.3 AH for 1 hours back up to controller</v>
          </cell>
          <cell r="E986" t="str">
            <v>Standard</v>
          </cell>
          <cell r="F986"/>
        </row>
        <row r="987">
          <cell r="B987" t="str">
            <v>ELAL005ST00000</v>
          </cell>
          <cell r="C987" t="str">
            <v xml:space="preserve">40 MM SADDLE </v>
          </cell>
          <cell r="D987" t="str">
            <v>40 MM SADDLE</v>
          </cell>
          <cell r="E987"/>
          <cell r="F987"/>
        </row>
        <row r="988">
          <cell r="B988" t="str">
            <v>PNLB000NA00000</v>
          </cell>
          <cell r="C988" t="str">
            <v xml:space="preserve">RTU +SCADA PANEL W/O RTU </v>
          </cell>
          <cell r="D988" t="str">
            <v xml:space="preserve">RTU +SCADA PANEL W/O RTU </v>
          </cell>
          <cell r="E988"/>
          <cell r="F988"/>
        </row>
        <row r="989">
          <cell r="B989" t="str">
            <v>PPAU003SC00000</v>
          </cell>
          <cell r="C989" t="str">
            <v>AC-3 - &lt;= 440 V 25A - 220 V AC coil</v>
          </cell>
          <cell r="D989" t="str">
            <v>AC-3 -POLE 25 A POWER CONTACTOR</v>
          </cell>
          <cell r="E989"/>
          <cell r="F989"/>
        </row>
        <row r="990">
          <cell r="B990" t="str">
            <v>PPAE010SC00000</v>
          </cell>
          <cell r="C990" t="str">
            <v>EasyPact TVS differential thermal overload relay 12...18 A - class 10A</v>
          </cell>
          <cell r="D990" t="str">
            <v>Over Load Relay</v>
          </cell>
          <cell r="E990" t="str">
            <v>Schneider</v>
          </cell>
          <cell r="F990"/>
        </row>
        <row r="991">
          <cell r="B991" t="str">
            <v>PPAE011NA00000</v>
          </cell>
          <cell r="C991" t="str">
            <v>single phase protection Relay</v>
          </cell>
          <cell r="D991" t="str">
            <v>single phase protection Relay</v>
          </cell>
          <cell r="E991"/>
          <cell r="F991"/>
        </row>
        <row r="992">
          <cell r="B992" t="str">
            <v>PPAU001LT00000</v>
          </cell>
          <cell r="C992" t="str">
            <v>L&amp;T GIC 12SDT0 Micon 175 Star Delta Timers 240VAC</v>
          </cell>
          <cell r="D992" t="str">
            <v>L&amp;T GIC 12SDT0 Micon 175 Star Delta Timers 240VAC</v>
          </cell>
          <cell r="E992"/>
          <cell r="F992"/>
        </row>
        <row r="993">
          <cell r="B993" t="str">
            <v>PPAE005ST00000</v>
          </cell>
          <cell r="C993" t="str">
            <v>2 CO 240 V AC Relay with Base</v>
          </cell>
          <cell r="D993" t="str">
            <v xml:space="preserve">2 CO 240 V AC Relay </v>
          </cell>
          <cell r="E993" t="str">
            <v>Stander</v>
          </cell>
          <cell r="F993"/>
        </row>
        <row r="994">
          <cell r="B994" t="str">
            <v>ELAQ001ST0000</v>
          </cell>
          <cell r="C994" t="str">
            <v>Push button with 1 NO/NC Contact</v>
          </cell>
          <cell r="D994" t="str">
            <v>Push button with 1 NO/NC Contact</v>
          </cell>
          <cell r="E994"/>
          <cell r="F994"/>
        </row>
        <row r="995">
          <cell r="B995" t="str">
            <v>PPAX001SA00000</v>
          </cell>
          <cell r="C995" t="str">
            <v>2 Pole 2 Way Selector Swith with OFF relay</v>
          </cell>
          <cell r="D995" t="str">
            <v xml:space="preserve">61026-2 Pole 2 Way Selector Swith with OFF </v>
          </cell>
          <cell r="E995" t="str">
            <v>SALZER</v>
          </cell>
          <cell r="F995"/>
        </row>
        <row r="996">
          <cell r="B996" t="str">
            <v>PPAX002SA00000</v>
          </cell>
          <cell r="C996" t="str">
            <v>2 Pole 3 Way Selector Swith W/O OFF</v>
          </cell>
          <cell r="D996" t="str">
            <v>61039-2 Pole 3 Way Selector Swith W/O OFF</v>
          </cell>
          <cell r="E996" t="str">
            <v>SALZER</v>
          </cell>
          <cell r="F996"/>
        </row>
        <row r="997">
          <cell r="B997" t="str">
            <v>ITAI002MX04800</v>
          </cell>
          <cell r="C997" t="str">
            <v>NPort 5130A Moxa RS 485 to ethernet convertor</v>
          </cell>
          <cell r="D997" t="str">
            <v>NPort 5130A</v>
          </cell>
          <cell r="E997" t="str">
            <v>MOXA</v>
          </cell>
          <cell r="F997"/>
        </row>
        <row r="998">
          <cell r="B998" t="str">
            <v>ITAR008KI00000</v>
          </cell>
          <cell r="C998" t="str">
            <v>K7 Firewall with software</v>
          </cell>
          <cell r="D998" t="str">
            <v>Firewall</v>
          </cell>
          <cell r="E998"/>
          <cell r="F998"/>
        </row>
        <row r="999">
          <cell r="B999" t="str">
            <v>MISV005NA00000</v>
          </cell>
          <cell r="C999" t="str">
            <v>300 VA ISOLation transformer</v>
          </cell>
          <cell r="D999" t="str">
            <v>Isolation transformer</v>
          </cell>
          <cell r="E999" t="str">
            <v>Standard</v>
          </cell>
          <cell r="F999"/>
        </row>
        <row r="1000">
          <cell r="B1000" t="str">
            <v>AMRW001ST00000</v>
          </cell>
          <cell r="C1000" t="str">
            <v xml:space="preserve">AMR Water Meter Box </v>
          </cell>
          <cell r="D1000" t="str">
            <v>AMR Watermeter box Brand MMT, Size 325*260*180</v>
          </cell>
          <cell r="E1000" t="str">
            <v>Standars</v>
          </cell>
          <cell r="F1000"/>
        </row>
        <row r="1001">
          <cell r="B1001" t="str">
            <v>PNLC003NA00300</v>
          </cell>
          <cell r="C1001" t="str">
            <v>RTU+3 SCADA+3 ACT PANEL</v>
          </cell>
          <cell r="D1001" t="str">
            <v>RTU+3 SCADA+3 ACT PANEL</v>
          </cell>
          <cell r="E1001"/>
          <cell r="F1001"/>
        </row>
        <row r="1002">
          <cell r="B1002" t="str">
            <v>PNLC007NA00300</v>
          </cell>
          <cell r="C1002" t="str">
            <v>RTU+5 SCADA+5 ACT PANEL</v>
          </cell>
          <cell r="D1002" t="str">
            <v>RTU+5 SCADA+5 ACT PANEL</v>
          </cell>
          <cell r="E1002"/>
          <cell r="F1002"/>
        </row>
        <row r="1003">
          <cell r="B1003" t="str">
            <v>PNLC008NA00300</v>
          </cell>
          <cell r="C1003" t="str">
            <v>RTU+6 SCADA+6 ACT PANEL</v>
          </cell>
          <cell r="D1003" t="str">
            <v>RTU+6 SCADA+6 ACT PANEL</v>
          </cell>
          <cell r="E1003"/>
          <cell r="F1003"/>
        </row>
        <row r="1004">
          <cell r="B1004" t="str">
            <v>PNLE002NA00500</v>
          </cell>
          <cell r="C1004" t="str">
            <v>FILTER BED PANEL</v>
          </cell>
          <cell r="D1004" t="str">
            <v>FILTER BED PANEL</v>
          </cell>
          <cell r="E1004"/>
          <cell r="F1004"/>
        </row>
        <row r="1005">
          <cell r="B1005" t="str">
            <v>PNLC009NA00300</v>
          </cell>
          <cell r="C1005" t="str">
            <v>RTU + 8 SCADA + 8 ACT</v>
          </cell>
          <cell r="D1005" t="str">
            <v>RTU + 8 SCADA + 8 ACT</v>
          </cell>
          <cell r="E1005"/>
          <cell r="F1005"/>
        </row>
        <row r="1006">
          <cell r="B1006" t="str">
            <v>PLCC002NA00000</v>
          </cell>
          <cell r="C1006" t="str">
            <v xml:space="preserve">8 DI Module </v>
          </cell>
          <cell r="D1006" t="str">
            <v xml:space="preserve">8 DI Module </v>
          </cell>
          <cell r="E1006"/>
          <cell r="F1006"/>
        </row>
        <row r="1007">
          <cell r="B1007" t="str">
            <v>PLCC003NA00000</v>
          </cell>
          <cell r="C1007" t="str">
            <v>16 DI Module</v>
          </cell>
          <cell r="D1007" t="str">
            <v>16 DI Module</v>
          </cell>
          <cell r="E1007"/>
          <cell r="F1007"/>
        </row>
        <row r="1008">
          <cell r="B1008" t="str">
            <v>ELAN007NA00000</v>
          </cell>
          <cell r="C1008" t="str">
            <v>50 MM CONDUIT PVC FLEXIBLE MEDIUM GRADE</v>
          </cell>
          <cell r="D1008" t="str">
            <v>50 MM CONDUIT PVC FLEXIBLE MEDIUM GRADE</v>
          </cell>
          <cell r="E1008"/>
          <cell r="F1008"/>
        </row>
        <row r="1009">
          <cell r="B1009" t="str">
            <v>ELAO002NA00000</v>
          </cell>
          <cell r="C1009" t="str">
            <v>20 mm PVC BLACK  medium grade BAND</v>
          </cell>
          <cell r="D1009" t="str">
            <v>20 mm PVC BLACK  medium grade BAND</v>
          </cell>
          <cell r="E1009"/>
          <cell r="F1009"/>
        </row>
        <row r="1010">
          <cell r="B1010" t="str">
            <v>PLCE002SE01202</v>
          </cell>
          <cell r="C1010" t="str">
            <v>8 DO Module</v>
          </cell>
          <cell r="D1010" t="str">
            <v>8 DO Module</v>
          </cell>
          <cell r="E1010" t="str">
            <v>Selec</v>
          </cell>
          <cell r="F1010"/>
        </row>
        <row r="1011">
          <cell r="B1011" t="str">
            <v>PLCF001SE01302</v>
          </cell>
          <cell r="C1011" t="str">
            <v>4 AO Module</v>
          </cell>
          <cell r="D1011" t="str">
            <v>4 AO Module</v>
          </cell>
          <cell r="E1011" t="str">
            <v>Selec</v>
          </cell>
          <cell r="F1011"/>
        </row>
        <row r="1012">
          <cell r="B1012" t="str">
            <v>ELAP006DT00107</v>
          </cell>
          <cell r="C1012" t="str">
            <v>CABLE TRAY 300 X 50 MM GI PERFORATED</v>
          </cell>
          <cell r="D1012" t="str">
            <v>CABLE TRAY 300 X 50 MM GI PERFORATED, silver</v>
          </cell>
          <cell r="E1012" t="str">
            <v>Dudhat</v>
          </cell>
          <cell r="F1012"/>
        </row>
        <row r="1013">
          <cell r="B1013" t="str">
            <v>ELAB006ST00001</v>
          </cell>
          <cell r="C1013" t="str">
            <v>LUGS END SLEEVE 2.5 MM</v>
          </cell>
          <cell r="D1013" t="str">
            <v>LUGS END SLEEVE 2.5 MM</v>
          </cell>
          <cell r="E1013" t="str">
            <v>STandard</v>
          </cell>
          <cell r="F1013"/>
        </row>
        <row r="1014">
          <cell r="B1014" t="str">
            <v>STAJ001NA01500</v>
          </cell>
          <cell r="C1014" t="str">
            <v>Cable tag 75*30mm size</v>
          </cell>
          <cell r="D1014" t="str">
            <v>Cable tag 75*30mm size</v>
          </cell>
          <cell r="E1014"/>
          <cell r="F1014"/>
        </row>
        <row r="1015">
          <cell r="B1015" t="str">
            <v>PLAN101ST00004</v>
          </cell>
          <cell r="C1015" t="str">
            <v>GI Nipple 10mm , length 4"</v>
          </cell>
          <cell r="D1015" t="str">
            <v>GI Nipple 10mm , length 4"</v>
          </cell>
          <cell r="E1015"/>
          <cell r="F1015"/>
        </row>
        <row r="1016">
          <cell r="B1016" t="str">
            <v>PLAN108ST00003</v>
          </cell>
          <cell r="C1016" t="str">
            <v>GI Nipple 25mm, 3" Length</v>
          </cell>
          <cell r="D1016" t="str">
            <v>GI Nipple 25mm, 3" Length</v>
          </cell>
          <cell r="E1016"/>
          <cell r="F1016"/>
        </row>
        <row r="1017">
          <cell r="B1017" t="str">
            <v>PLAN110ST00006</v>
          </cell>
          <cell r="C1017" t="str">
            <v>GI Nipple 25mm, 6" Length</v>
          </cell>
          <cell r="D1017" t="str">
            <v>GI Nipple 25mm, 6" Length</v>
          </cell>
          <cell r="E1017"/>
          <cell r="F1017"/>
        </row>
        <row r="1018">
          <cell r="B1018" t="str">
            <v>PLAG011ST00000</v>
          </cell>
          <cell r="C1018" t="str">
            <v>MS PIPE</v>
          </cell>
          <cell r="D1018" t="str">
            <v xml:space="preserve">80MM  LINE SIZE MS PIPE </v>
          </cell>
          <cell r="E1018"/>
          <cell r="F1018"/>
        </row>
        <row r="1019">
          <cell r="B1019" t="str">
            <v>1 sample / Lot</v>
          </cell>
          <cell r="C1019" t="str">
            <v>MS PIPE</v>
          </cell>
          <cell r="D1019" t="str">
            <v xml:space="preserve">200MM  LINE SIZE MS PIPE </v>
          </cell>
          <cell r="E1019"/>
          <cell r="F1019"/>
        </row>
        <row r="1020">
          <cell r="B1020" t="str">
            <v>PLAG009ST00000</v>
          </cell>
          <cell r="C1020" t="str">
            <v>MS PIPE</v>
          </cell>
          <cell r="D1020" t="str">
            <v xml:space="preserve">300MM  LINE SIZE MS PIPE </v>
          </cell>
          <cell r="E1020"/>
          <cell r="F1020"/>
        </row>
        <row r="1021">
          <cell r="B1021" t="str">
            <v>PLAZ000ST00000</v>
          </cell>
          <cell r="C1021" t="str">
            <v>Jute for threading</v>
          </cell>
          <cell r="D1021" t="str">
            <v>Jute for pipe threading</v>
          </cell>
          <cell r="E1021"/>
          <cell r="F1021"/>
        </row>
        <row r="1022">
          <cell r="B1022" t="str">
            <v>PLAK001ST00000</v>
          </cell>
          <cell r="C1022" t="str">
            <v xml:space="preserve">HOLDTITE Solution 200ml </v>
          </cell>
          <cell r="D1022" t="str">
            <v xml:space="preserve">HOLDTITE Solution 200ml </v>
          </cell>
          <cell r="E1022"/>
          <cell r="F1022"/>
        </row>
        <row r="1023">
          <cell r="B1023" t="str">
            <v>PLAN035ST00000</v>
          </cell>
          <cell r="C1023" t="str">
            <v>GI REDUCER 10/25MM</v>
          </cell>
          <cell r="D1023" t="str">
            <v>GI REDUCER 10/25MM</v>
          </cell>
          <cell r="E1023"/>
          <cell r="F1023"/>
        </row>
        <row r="1024">
          <cell r="B1024" t="str">
            <v>LVLB002BE00901</v>
          </cell>
          <cell r="C1024" t="str">
            <v>ULTRASONIC LEVEL TRANSMITTER 0 TO 6 MTR 2 WIRE 4 TO 20 mA</v>
          </cell>
          <cell r="D1024" t="str">
            <v>ULTRASONIC LEVEL TRANSMITTER 0 TO 6 MTR 2 WIRE 4 TO 20 mA</v>
          </cell>
          <cell r="E1024" t="str">
            <v>BEIJING GALLOP HIGH &amp; NEW TECH CO LTD</v>
          </cell>
          <cell r="F1024"/>
        </row>
        <row r="1025">
          <cell r="B1025" t="str">
            <v>PPAY001SC00000</v>
          </cell>
          <cell r="C1025" t="str">
            <v xml:space="preserve">MCCB 125 A Schneider </v>
          </cell>
          <cell r="D1025" t="str">
            <v>MCCB 125 A Schneider (EZC125A</v>
          </cell>
          <cell r="E1025" t="str">
            <v>Schneider</v>
          </cell>
          <cell r="F1025"/>
        </row>
        <row r="1026">
          <cell r="B1026" t="str">
            <v>PNLB010NA00100</v>
          </cell>
          <cell r="C1026" t="str">
            <v>RTU+1 SCADA+2 ACT PANEL</v>
          </cell>
          <cell r="D1026" t="str">
            <v>RTU+1 SCADA+2 ACT PANEL</v>
          </cell>
          <cell r="E1026" t="str">
            <v>NA</v>
          </cell>
          <cell r="F1026" t="str">
            <v>NA</v>
          </cell>
        </row>
        <row r="1027">
          <cell r="B1027" t="str">
            <v>WQACTK000NA000</v>
          </cell>
          <cell r="C1027" t="str">
            <v>COMBINE CODE FOR CHLORINE DOSER +TANK</v>
          </cell>
          <cell r="D1027" t="str">
            <v>COMBINE CODE FOR CHLORINE DOSER +TANK</v>
          </cell>
          <cell r="E1027" t="str">
            <v>NA</v>
          </cell>
          <cell r="F1027"/>
        </row>
        <row r="1028">
          <cell r="B1028" t="str">
            <v>SERF009NA52510</v>
          </cell>
          <cell r="C1028" t="str">
            <v>RE POWDER COATING OF ENCLOSURE</v>
          </cell>
          <cell r="D1028" t="str">
            <v xml:space="preserve">REPOWDER COATING OF BUY BACK ENCLOSURE RECEIVED FROM TORRENT FOR LEVEL MONITORING PANEL OF 5251 </v>
          </cell>
          <cell r="E1028" t="str">
            <v>STANDARD</v>
          </cell>
          <cell r="F1028" t="str">
            <v>NA</v>
          </cell>
        </row>
        <row r="1029">
          <cell r="B1029" t="str">
            <v>PNLJ000NA00000</v>
          </cell>
          <cell r="C1029" t="str">
            <v>Dosign Panel Juncation Box</v>
          </cell>
          <cell r="D1029" t="str">
            <v>Dosign Panel Juncation Box</v>
          </cell>
          <cell r="E1029"/>
          <cell r="F1029"/>
        </row>
        <row r="1030">
          <cell r="B1030" t="str">
            <v>ITAP011HP00000</v>
          </cell>
          <cell r="C1030" t="str">
            <v>HP Office Jet Pro 7740 - cartridge</v>
          </cell>
          <cell r="D1030" t="str">
            <v>HP Office Jet Pro 7740 -cartridge</v>
          </cell>
          <cell r="E1030" t="str">
            <v>HP -Pro 7740 -cartridge</v>
          </cell>
          <cell r="F1030"/>
        </row>
        <row r="1031">
          <cell r="B1031" t="str">
            <v>MISX000NA00000</v>
          </cell>
          <cell r="C1031" t="str">
            <v>Street Light Pole with Installation accessories</v>
          </cell>
          <cell r="D1031" t="str">
            <v>Street Light Pole with Installation accessories</v>
          </cell>
          <cell r="E1031"/>
          <cell r="F1031"/>
        </row>
        <row r="1032">
          <cell r="B1032" t="str">
            <v>EFMF003FT00000</v>
          </cell>
          <cell r="C1032" t="str">
            <v>80 MM FULL BORE FLOWTECH FLOW METER</v>
          </cell>
          <cell r="D1032" t="str">
            <v>80 MM FULL BORE FLOWTECH FLOW METER</v>
          </cell>
          <cell r="E1032" t="str">
            <v>Flowtech</v>
          </cell>
          <cell r="F1032" t="str">
            <v>3 HP</v>
          </cell>
        </row>
        <row r="1033">
          <cell r="B1033" t="str">
            <v>WQACNT000NN000</v>
          </cell>
          <cell r="C1033" t="str">
            <v>Conductivity Sensor &amp; Transmitter</v>
          </cell>
          <cell r="D1033" t="str">
            <v>Conductivity Sensor &amp; Transmitter</v>
          </cell>
          <cell r="E1033" t="str">
            <v>Nobo</v>
          </cell>
          <cell r="F1033"/>
        </row>
        <row r="1034">
          <cell r="B1034" t="str">
            <v>PPAO028NA00000</v>
          </cell>
          <cell r="C1034" t="str">
            <v>Soft strater 30HP</v>
          </cell>
          <cell r="D1034" t="str">
            <v>Soft strater 30HP</v>
          </cell>
          <cell r="E1034"/>
          <cell r="F1034"/>
        </row>
        <row r="1035">
          <cell r="B1035" t="str">
            <v>PPAO029NA00000</v>
          </cell>
          <cell r="C1035" t="str">
            <v>Soft strater 50HP</v>
          </cell>
          <cell r="D1035" t="str">
            <v>Soft strater 50HP</v>
          </cell>
          <cell r="E1035"/>
          <cell r="F1035"/>
        </row>
        <row r="1036">
          <cell r="B1036" t="str">
            <v>PPAT002NA00000</v>
          </cell>
          <cell r="C1036" t="str">
            <v xml:space="preserve">RED LAMP </v>
          </cell>
          <cell r="D1036" t="str">
            <v xml:space="preserve">RED LAMP </v>
          </cell>
          <cell r="E1036"/>
          <cell r="F1036"/>
        </row>
        <row r="1037">
          <cell r="B1037" t="str">
            <v>PPAT003NA00000</v>
          </cell>
          <cell r="C1037" t="str">
            <v xml:space="preserve">BLUE LAMP </v>
          </cell>
          <cell r="D1037" t="str">
            <v xml:space="preserve">BLUE LAMP </v>
          </cell>
          <cell r="E1037"/>
          <cell r="F1037"/>
        </row>
        <row r="1038">
          <cell r="B1038" t="str">
            <v>PPAT004NA00000</v>
          </cell>
          <cell r="C1038" t="str">
            <v xml:space="preserve">YELLOW LAMP </v>
          </cell>
          <cell r="D1038" t="str">
            <v xml:space="preserve">YELLOW LAMP </v>
          </cell>
          <cell r="E1038"/>
          <cell r="F1038"/>
        </row>
        <row r="1039">
          <cell r="B1039" t="str">
            <v>PPAV001NA00000</v>
          </cell>
          <cell r="C1039" t="str">
            <v>4 - 20 mA input and 485 Output</v>
          </cell>
          <cell r="D1039" t="str">
            <v>4 - 20 mA input and 485 Output</v>
          </cell>
          <cell r="E1039" t="str">
            <v>Masibus</v>
          </cell>
          <cell r="F1039" t="str">
            <v>5006 RN</v>
          </cell>
        </row>
        <row r="1040">
          <cell r="B1040" t="str">
            <v>PPAV002NA00000</v>
          </cell>
          <cell r="C1040" t="str">
            <v>RTD and 4 - 20 mA input and 485 Output</v>
          </cell>
          <cell r="D1040" t="str">
            <v>RTD and 4 - 20 mA input and 485 Output</v>
          </cell>
          <cell r="E1040" t="str">
            <v>Masibus</v>
          </cell>
          <cell r="F1040" t="str">
            <v>LC5296-DC</v>
          </cell>
        </row>
        <row r="1041">
          <cell r="B1041" t="str">
            <v>HMIA007RE00202</v>
          </cell>
          <cell r="C1041" t="str">
            <v>Renu HMI SERIAL RS-485 &amp; RS-232</v>
          </cell>
          <cell r="D1041" t="str">
            <v>Renu HMI SERIAL RS-485 &amp; RS-232</v>
          </cell>
          <cell r="E1041" t="str">
            <v>Renu</v>
          </cell>
          <cell r="F1041" t="str">
            <v>FP2070T-V2</v>
          </cell>
        </row>
        <row r="1042">
          <cell r="B1042" t="str">
            <v>CABW102NA00000</v>
          </cell>
          <cell r="C1042" t="str">
            <v>0.75 Sq mm ISI Grey Cable for controll wiring</v>
          </cell>
          <cell r="D1042" t="str">
            <v>0.75 Sq mm ISI Grey Cable for controll wiring</v>
          </cell>
          <cell r="E1042"/>
          <cell r="F1042"/>
        </row>
        <row r="1043">
          <cell r="B1043" t="str">
            <v>CABW110NA00000</v>
          </cell>
          <cell r="C1043" t="str">
            <v>10 SQ MM POWER CABLE</v>
          </cell>
          <cell r="D1043" t="str">
            <v>10 SQ MM POWER CABLE</v>
          </cell>
          <cell r="E1043"/>
          <cell r="F1043"/>
        </row>
        <row r="1044">
          <cell r="B1044" t="str">
            <v>PPAE012NA00000</v>
          </cell>
          <cell r="C1044" t="str">
            <v>110 VDC 8 Pin Flat type relay reputed make</v>
          </cell>
          <cell r="D1044" t="str">
            <v>110 VDC 8 Pin Flat type relay reputed make</v>
          </cell>
          <cell r="E1044"/>
          <cell r="F1044"/>
        </row>
        <row r="1045">
          <cell r="B1045" t="str">
            <v>CIMB003NA00300</v>
          </cell>
          <cell r="C1045" t="str">
            <v>CIMCON MAKE SPD FOR RTU 6000</v>
          </cell>
          <cell r="D1045" t="str">
            <v>CIMCON MAKE SPD FOR RTU 6000</v>
          </cell>
          <cell r="E1045" t="str">
            <v>CIMCON</v>
          </cell>
          <cell r="F1045"/>
        </row>
        <row r="1046">
          <cell r="B1046" t="str">
            <v>CIMB003NA00400</v>
          </cell>
          <cell r="C1046" t="str">
            <v>CIMCON MAKE ANTENNA FOR iRTU 6000</v>
          </cell>
          <cell r="D1046" t="str">
            <v>CIMCON MAKE ANTENNA FOR iRTU 6000</v>
          </cell>
          <cell r="E1046" t="str">
            <v>CIMCON</v>
          </cell>
          <cell r="F1046"/>
        </row>
        <row r="1047">
          <cell r="B1047" t="str">
            <v>CIMB003HM00000</v>
          </cell>
          <cell r="C1047" t="str">
            <v xml:space="preserve">CIMCON MAKE KBD </v>
          </cell>
          <cell r="D1047" t="str">
            <v xml:space="preserve">CIMCON MAKE KBD </v>
          </cell>
          <cell r="E1047" t="str">
            <v>CIMCON</v>
          </cell>
          <cell r="F1047"/>
        </row>
        <row r="1048">
          <cell r="B1048" t="str">
            <v>EFMR009SB00103</v>
          </cell>
          <cell r="C1048" t="str">
            <v>300 MM FULL BORE SBEM FLOW METER</v>
          </cell>
          <cell r="D1048" t="str">
            <v>300 MM FULL BORE SBEM FLOW METER</v>
          </cell>
          <cell r="E1048" t="str">
            <v>SBEM</v>
          </cell>
          <cell r="F1048"/>
        </row>
        <row r="1049">
          <cell r="B1049" t="str">
            <v>PNLY012NA00400</v>
          </cell>
          <cell r="C1049" t="str">
            <v>7.5 HP TW VFD + Dosing Pump Controlling (1w+1s) + Solar PDB+Space for 2 Nos 3Phase  ACT</v>
          </cell>
          <cell r="D1049" t="str">
            <v>7.5 HP TW VFD + Dosing Pump Controlling (1w+1s) + Solar PDB+Space for 2 Nos 3Phase  ACT</v>
          </cell>
          <cell r="E1049"/>
          <cell r="F1049"/>
        </row>
        <row r="1050">
          <cell r="B1050" t="str">
            <v>PNLY013NA00400</v>
          </cell>
          <cell r="C1050" t="str">
            <v>10 HP TW VFD+ Dosing Pump Controlling (1w+1s) + Solar PDB+Space for 2 Nos 3Phase  ACT</v>
          </cell>
          <cell r="D1050" t="str">
            <v>10 HP TW VFD+ Dosing Pump Controlling (1w+1s) + Solar PDB+Space for 2 Nos 3Phase  ACT</v>
          </cell>
          <cell r="E1050"/>
          <cell r="F1050"/>
        </row>
        <row r="1051">
          <cell r="B1051" t="str">
            <v>PNLY014NA00400</v>
          </cell>
          <cell r="C1051" t="str">
            <v>12.5 HP TW VFD+ Dosing Pump Controlling (1w+1s) + Solar PDB+Space for 2 Nos 3Phase  ACT</v>
          </cell>
          <cell r="D1051" t="str">
            <v>12.5 HP TW VFD+ Dosing Pump Controlling (1w+1s) + Solar PDB+Space for 2 Nos 3Phase  ACT</v>
          </cell>
          <cell r="E1051"/>
          <cell r="F1051"/>
        </row>
        <row r="1052">
          <cell r="B1052" t="str">
            <v>PNLH004NA00000</v>
          </cell>
          <cell r="C1052" t="str">
            <v>TW VFD Panel 15 HP</v>
          </cell>
          <cell r="D1052" t="str">
            <v>TW VFD Panel 15 HP</v>
          </cell>
          <cell r="E1052"/>
          <cell r="F1052"/>
        </row>
        <row r="1053">
          <cell r="B1053" t="str">
            <v>PNLH011NA00000</v>
          </cell>
          <cell r="C1053" t="str">
            <v>TW VFD Panel 17.5 HP</v>
          </cell>
          <cell r="D1053" t="str">
            <v>TW VFD Panel 17.5 HP</v>
          </cell>
          <cell r="E1053"/>
          <cell r="F1053"/>
        </row>
        <row r="1054">
          <cell r="B1054" t="str">
            <v>PNLH006NA00000</v>
          </cell>
          <cell r="C1054" t="str">
            <v>TW VFD Panel 25 HP</v>
          </cell>
          <cell r="D1054" t="str">
            <v>TW VFD Panel 25 HP</v>
          </cell>
          <cell r="E1054"/>
          <cell r="F1054"/>
        </row>
        <row r="1055">
          <cell r="B1055" t="str">
            <v>PNLF040NA00400</v>
          </cell>
          <cell r="C1055" t="str">
            <v>3 HP TW Star Delta Panel + Dosing Pump Controlling (1w+1s) + Solar PDB+Space for 2 Nos 3Phase  ACT</v>
          </cell>
          <cell r="D1055" t="str">
            <v>3 HP TW Star Delta Panel + Dosing Pump Controlling (1w+1s) + Solar PDB+Space for 2 Nos 3Phase  ACT</v>
          </cell>
          <cell r="E1055"/>
          <cell r="F1055"/>
        </row>
        <row r="1056">
          <cell r="B1056" t="str">
            <v>PNLF041NA00400</v>
          </cell>
          <cell r="C1056" t="str">
            <v>5 HP TW Star Delta Panel + Dosing Pump Controlling (1w+1s) + Solar PDB+Space for 2 Nos 3Phase  ACT</v>
          </cell>
          <cell r="D1056" t="str">
            <v>5 HP TW Star Delta Panel + Dosing Pump Controlling (1w+1s) + Solar PDB+Space for 2 Nos 3Phase  ACT</v>
          </cell>
          <cell r="E1056"/>
          <cell r="F1056"/>
        </row>
        <row r="1057">
          <cell r="B1057" t="str">
            <v>PNLF001NA00000</v>
          </cell>
          <cell r="C1057" t="str">
            <v>5 HP Non- Solar Based TW Star Delta Panel</v>
          </cell>
          <cell r="D1057" t="str">
            <v>5 HP Non- Solar Based TW Star Delta Panel</v>
          </cell>
          <cell r="E1057"/>
          <cell r="F1057"/>
        </row>
        <row r="1058">
          <cell r="B1058" t="str">
            <v>PNLF003NA00000</v>
          </cell>
          <cell r="C1058" t="str">
            <v>7.5 HP Non- Solar Based TW Star Delta Panel</v>
          </cell>
          <cell r="D1058" t="str">
            <v>7.5 HP Non- Solar Based TW Star Delta Panel</v>
          </cell>
          <cell r="E1058"/>
          <cell r="F1058"/>
        </row>
        <row r="1059">
          <cell r="B1059" t="str">
            <v>PNLF006NA00000</v>
          </cell>
          <cell r="C1059" t="str">
            <v>10 HP Non- Solar Based TW Star Delta Panel</v>
          </cell>
          <cell r="D1059" t="str">
            <v>10 HP Non- Solar Based TW Star Delta Panel</v>
          </cell>
          <cell r="E1059"/>
          <cell r="F1059"/>
        </row>
        <row r="1060">
          <cell r="B1060" t="str">
            <v>PNLF007ST00003</v>
          </cell>
          <cell r="C1060" t="str">
            <v>32 A STREETLIGHT FEEDER PANEL</v>
          </cell>
          <cell r="D1060" t="str">
            <v>32 A STREETLIGHT FEEDER PANEL WITH RTU6000PLUS+ AS PER BOM-6186</v>
          </cell>
          <cell r="E1060" t="str">
            <v>STANDARD</v>
          </cell>
        </row>
        <row r="1061">
          <cell r="B1061" t="str">
            <v>PNLA008ST52560</v>
          </cell>
          <cell r="C1061" t="str">
            <v>DG SET MONITORING PANEL</v>
          </cell>
          <cell r="D1061" t="str">
            <v>DG SET MONITORING PANEL-5256</v>
          </cell>
        </row>
        <row r="1062">
          <cell r="B1062" t="str">
            <v>PNLA007ST52560</v>
          </cell>
          <cell r="C1062" t="str">
            <v>PUMP MONITORING PANEL</v>
          </cell>
          <cell r="D1062" t="str">
            <v>PUMP MONITORING PANEL-5256</v>
          </cell>
        </row>
        <row r="1063">
          <cell r="B1063" t="str">
            <v>PNLQ007ST52560</v>
          </cell>
          <cell r="C1063" t="str">
            <v>ENERGY MONITORING PANEL</v>
          </cell>
          <cell r="D1063" t="str">
            <v>ENERGY MONITORING PANEL-5256</v>
          </cell>
        </row>
        <row r="1064">
          <cell r="B1064" t="str">
            <v>CABC303NA00009</v>
          </cell>
          <cell r="C1064" t="str">
            <v>3 C X 2.5 SQ MM XLPE INSULATED COPPER CONDUCTOR ALUMINIUM ARMORED 1100 V CABLE</v>
          </cell>
          <cell r="D1064" t="str">
            <v>3 C X 2.5 SQ MM XLPE INSULATED COPPER CONDUCTOR ALUMINIUM ARMORED 1100 V CABLE</v>
          </cell>
          <cell r="E1064" t="str">
            <v>STANDARD</v>
          </cell>
        </row>
        <row r="1065">
          <cell r="B1065" t="str">
            <v>CABC902NA00009</v>
          </cell>
          <cell r="C1065" t="str">
            <v>10 C X 1.5 SQ MM XLPE INSULATED COPPER CONDUCTOR ALUMINIUM ARMORED 1100 V CABLE</v>
          </cell>
          <cell r="D1065" t="str">
            <v>10 C X 1.5 SQ MM XLPE INSULATED COPPER CONDUCTOR ALUMINIUM ARMORED 1100 V CABLE</v>
          </cell>
          <cell r="E1065" t="str">
            <v>STANDARD</v>
          </cell>
        </row>
        <row r="1066">
          <cell r="B1066" t="str">
            <v>CABC204NA00009</v>
          </cell>
          <cell r="C1066" t="str">
            <v>2 C X 1.5 SQ MM XLPE INSULATED COPPER CONDUCTOR ALUMINIUM ARMORED 1100 V CABLE</v>
          </cell>
          <cell r="D1066" t="str">
            <v>2 C X 1.5 SQ MM XLPE INSULATED COPPER CONDUCTOR ALUMINIUM ARMORED 1100 V CABLE</v>
          </cell>
          <cell r="E1066" t="str">
            <v>STANDARD</v>
          </cell>
        </row>
        <row r="1067">
          <cell r="B1067" t="str">
            <v>MISZ00100000</v>
          </cell>
          <cell r="C1067" t="str">
            <v>1.5 sqmm2 core+1.5sqmm 4core+1.5sqmm 10core+1'Conduit Pipe+1.5"Conduit Pipe +relay+lugs</v>
          </cell>
          <cell r="D1067" t="str">
            <v>1.5 sqmm2 core+1.5sqmm 4core+1.5sqmm 10core+1'Conduit Pipe+1.5"Conduit Pipe +relay+lugs</v>
          </cell>
          <cell r="E1067" t="str">
            <v>STANDARD</v>
          </cell>
        </row>
        <row r="1068">
          <cell r="B1068" t="str">
            <v>CABC507PO00003</v>
          </cell>
          <cell r="C1068" t="str">
            <v>2P X 0.5 Sq.mm XLPE conductor,  FRLS  PVC insulated Armour cable</v>
          </cell>
          <cell r="D1068" t="str">
            <v>2P X 0.5 Sq.mm XLPE conductor,  FRLS  PVC insulated Armour cable</v>
          </cell>
          <cell r="E1068" t="str">
            <v>Polycab</v>
          </cell>
        </row>
        <row r="1069">
          <cell r="B1069" t="str">
            <v>CABC508PO00003</v>
          </cell>
          <cell r="C1069" t="str">
            <v>4P X 0.5 Sq.mm XLPE conductor  FRLS PVC insulated Armour cable</v>
          </cell>
          <cell r="D1069" t="str">
            <v>4P X 0.5 Sq.mm XLPE conductor  FRLS PVC insulated Armour cable</v>
          </cell>
          <cell r="E1069" t="str">
            <v>polycab</v>
          </cell>
        </row>
        <row r="1070">
          <cell r="B1070" t="str">
            <v>CABC403PO00003</v>
          </cell>
          <cell r="C1070" t="str">
            <v>4C X 2.5 Sq.mm XLPE conductor  FRLS PVC insulated Armour cable</v>
          </cell>
          <cell r="D1070" t="str">
            <v>4C X 2.5 Sq.mm XLPE conductor  FRLS PVC insulated Armour cable</v>
          </cell>
        </row>
        <row r="1071">
          <cell r="B1071" t="str">
            <v>PLAQ000NA00000</v>
          </cell>
          <cell r="C1071" t="str">
            <v>uPVC Hose Adapter with 3/4-Inch Female Hose Thread and 1/2-Inch Male Pipe Thread</v>
          </cell>
        </row>
        <row r="1072">
          <cell r="B1072" t="str">
            <v>PPAK015RE00000</v>
          </cell>
          <cell r="C1072" t="str">
            <v>MCB Auto Trip reset device (3 Pole up to 32A)</v>
          </cell>
          <cell r="D1072" t="str">
            <v>MCB Auto Trip reset device (3 Pole up to 32A)</v>
          </cell>
          <cell r="E1072" t="str">
            <v>Standard</v>
          </cell>
        </row>
        <row r="1073">
          <cell r="B1073" t="str">
            <v>PPAAC001MI00000</v>
          </cell>
          <cell r="C1073" t="str">
            <v>Overvoltage under voltage proction device ALVD2</v>
          </cell>
          <cell r="D1073" t="str">
            <v>Overvoltage under voltage proction device ALVD2</v>
          </cell>
          <cell r="E1073" t="str">
            <v>Minilec</v>
          </cell>
        </row>
        <row r="1074">
          <cell r="B1074" t="str">
            <v>PNLF042NA00000</v>
          </cell>
          <cell r="C1074" t="str">
            <v>15 HP * 2 STAR DELTA STARTER PANEL</v>
          </cell>
          <cell r="D1074" t="str">
            <v>15 HP * 2 STAR DELTA STARTER PANEL</v>
          </cell>
          <cell r="E1074"/>
          <cell r="F1074"/>
        </row>
        <row r="1075">
          <cell r="B1075" t="str">
            <v>PNLF043NA00000</v>
          </cell>
          <cell r="C1075" t="str">
            <v>30 HP * 2 STAR DELTA STARTER PANEL</v>
          </cell>
          <cell r="D1075" t="str">
            <v>30 HP * 2 STAR DELTA STARTER PANEL</v>
          </cell>
          <cell r="E1075"/>
          <cell r="F1075"/>
        </row>
        <row r="1076">
          <cell r="B1076" t="str">
            <v>ITAL016NA00000</v>
          </cell>
          <cell r="C1076" t="str">
            <v>Industrial touch panel (IPC) screen size : 15 "touch screen with 1.6 GHZ CPU, 2 GB DDR3 RAM, 500 GB , 9~36 VDC with adaptor, windows 10 OS, and WiFi and Lan port</v>
          </cell>
          <cell r="D1076" t="str">
            <v>Industrial touch panel (IPC) screen size : 15 "touch screen with 1.6 GHZ CPU, 2 GB DDR3 RAM, 500 GB , 9~36 VDC with adaptor, windows 10 OS, and WiFi and Lan port</v>
          </cell>
          <cell r="E1076"/>
          <cell r="F1076"/>
        </row>
        <row r="1077">
          <cell r="B1077" t="str">
            <v>EFMI004NA00000</v>
          </cell>
          <cell r="C1077" t="str">
            <v>ELECTROMAGNETIC FLOW METER OF 100 MM DIA. INTEGRAL TYPE TRANSMITTER WITH ACCURACY 0.2%</v>
          </cell>
          <cell r="D1077"/>
          <cell r="E1077" t="str">
            <v>SIEMENS/KROHNE/ABB/E&amp;H</v>
          </cell>
        </row>
        <row r="1078">
          <cell r="B1078" t="str">
            <v>EFMI007NA00000</v>
          </cell>
          <cell r="C1078" t="str">
            <v>ELECTROMAGNETIC FLOW METER OF 200 MM DIA. INTEGRAL TYPE TRANSMITTER WITH ACCURACY 0.2%</v>
          </cell>
          <cell r="D1078"/>
          <cell r="E1078" t="str">
            <v>SIEMENS/KROHNE/ABB/E&amp;H</v>
          </cell>
        </row>
        <row r="1079">
          <cell r="B1079" t="str">
            <v>MOVC002ST00000</v>
          </cell>
          <cell r="C1079" t="str">
            <v>MOTORISED BUTTERFLY VALVE FOR 80 MM DIA. WITH PN10</v>
          </cell>
          <cell r="D1079"/>
        </row>
        <row r="1080">
          <cell r="B1080" t="str">
            <v>MOVC003ST00000</v>
          </cell>
          <cell r="C1080" t="str">
            <v>MOTORISED BUTTERFLY VALVE FOR 100 MM DIA. WITH PN10</v>
          </cell>
          <cell r="D1080"/>
        </row>
        <row r="1081">
          <cell r="B1081" t="str">
            <v>MOVC005ST00000</v>
          </cell>
          <cell r="C1081" t="str">
            <v>MOTORISED BUTTERFLY VALVE FOR 150 MM DIA. WITH PN10</v>
          </cell>
          <cell r="D1081"/>
        </row>
        <row r="1082">
          <cell r="B1082" t="str">
            <v>MOVF109CA00000</v>
          </cell>
          <cell r="C1082" t="str">
            <v>Care Pneumatic Butterfly care 100mm Dia</v>
          </cell>
          <cell r="D1082" t="str">
            <v>care Pnuematic valve</v>
          </cell>
        </row>
        <row r="1083">
          <cell r="B1083" t="str">
            <v>CABS204PO00003</v>
          </cell>
          <cell r="C1083" t="str">
            <v xml:space="preserve">2C*1.5 Sq. mm FRLS, XLPE insulated  shielded copper conductor Armour cable  </v>
          </cell>
          <cell r="D1083" t="str">
            <v xml:space="preserve">2C*1.5 Sq. mm FRLS, XLPE insulated  shielded copper conductor Armour cable  </v>
          </cell>
          <cell r="E1083" t="str">
            <v>Polycab</v>
          </cell>
          <cell r="F1083"/>
        </row>
        <row r="1084">
          <cell r="B1084" t="str">
            <v>PLAV004ST00000</v>
          </cell>
          <cell r="C1084" t="str">
            <v xml:space="preserve">Cast Iron Flanged Bend ,100mm Line size </v>
          </cell>
          <cell r="D1084" t="str">
            <v xml:space="preserve">Cast Iron Flanged Bend ,100mm Line size </v>
          </cell>
          <cell r="E1084" t="str">
            <v>Standard</v>
          </cell>
          <cell r="F1084"/>
        </row>
        <row r="1085">
          <cell r="B1085" t="str">
            <v>PLAN004ST00000</v>
          </cell>
          <cell r="C1085" t="str">
            <v>GI Coupling 25mm (1") line size</v>
          </cell>
          <cell r="D1085" t="str">
            <v>GI Coupling 25mm (1") line size</v>
          </cell>
          <cell r="E1085" t="str">
            <v>Standard</v>
          </cell>
          <cell r="F1085"/>
        </row>
        <row r="1086">
          <cell r="B1086" t="str">
            <v>PLAN008ST00000</v>
          </cell>
          <cell r="C1086" t="str">
            <v>GI Coupling 19mm Line size</v>
          </cell>
          <cell r="D1086" t="str">
            <v>GI Coupling 19mm Line size</v>
          </cell>
          <cell r="E1086" t="str">
            <v>Standard</v>
          </cell>
          <cell r="F1086"/>
        </row>
        <row r="1087">
          <cell r="B1087" t="str">
            <v>PLAN111ST00004</v>
          </cell>
          <cell r="C1087" t="str">
            <v xml:space="preserve">GI Nipple 19 mm Size,  4 " length </v>
          </cell>
          <cell r="D1087" t="str">
            <v xml:space="preserve">GI Nipple 19 mm Size,  4 " length </v>
          </cell>
          <cell r="E1087" t="str">
            <v>Standard</v>
          </cell>
          <cell r="F1087"/>
        </row>
        <row r="1088">
          <cell r="B1088" t="str">
            <v>MISD016NA00003</v>
          </cell>
          <cell r="C1088" t="str">
            <v>GI Accessories (Nipple, Elbow,  Tee, Union, Hex nipple, Bush etc.)</v>
          </cell>
          <cell r="D1088" t="str">
            <v>GI Accessories 1" , 1/2" , 3/4' Nipple, 1", 1/2", 3/4" Elbow, 1", 1/2", 3/4" Tee, 1",1/2",3/4" Union, Hex nipple, Bush etc.)</v>
          </cell>
          <cell r="E1088" t="str">
            <v>Standard</v>
          </cell>
          <cell r="F1088"/>
        </row>
        <row r="1089">
          <cell r="B1089" t="str">
            <v>PLCR001SC01400</v>
          </cell>
          <cell r="C1089" t="str">
            <v xml:space="preserve">SCADA Pack RTU 474 </v>
          </cell>
          <cell r="D1089" t="str">
            <v>SCADAPack 474 RTU, IEC61131 logic, 2x Ethernet, 4x Serial, 12x AI, 20x DI, 12x DO, 2x AO, DNP3 &amp; Modbus Protcol</v>
          </cell>
          <cell r="E1089" t="str">
            <v>Schneider</v>
          </cell>
          <cell r="F1089" t="str">
            <v>TBUP474-UA50-BB03S</v>
          </cell>
        </row>
        <row r="1090">
          <cell r="B1090" t="str">
            <v>PLCC003SC01500</v>
          </cell>
          <cell r="C1090" t="str">
            <v>16 Input DI moduIe</v>
          </cell>
          <cell r="D1090" t="str">
            <v>Kit Digital 24 VDC Sink Input, 16-point, Two,Three-wire, Basic</v>
          </cell>
          <cell r="E1090" t="str">
            <v>Schneider</v>
          </cell>
          <cell r="F1090" t="str">
            <v>STBDDI3725KC</v>
          </cell>
        </row>
        <row r="1091">
          <cell r="B1091" t="str">
            <v>PLCE003SC01600</v>
          </cell>
          <cell r="C1091" t="str">
            <v>16 Digital Output moduIe</v>
          </cell>
          <cell r="D1091" t="str">
            <v>Kit Digital 24 VDC Source Output, 16-point, 0.5 A, Basic</v>
          </cell>
          <cell r="E1091" t="str">
            <v>Schneider</v>
          </cell>
          <cell r="F1091" t="str">
            <v>STBDDO3705KC</v>
          </cell>
        </row>
        <row r="1092">
          <cell r="B1092" t="str">
            <v>PLCD003SC01700</v>
          </cell>
          <cell r="C1092" t="str">
            <v>8 AI module</v>
          </cell>
          <cell r="D1092" t="str">
            <v>Kit Module Advantys STB 8 analogic IN 4…20 mA, 15 Bits + Sign, Non isolated</v>
          </cell>
          <cell r="E1092" t="str">
            <v>Schneider</v>
          </cell>
          <cell r="F1092" t="str">
            <v>STBACI1400K</v>
          </cell>
        </row>
        <row r="1093">
          <cell r="B1093" t="str">
            <v>PLCG001SC01800</v>
          </cell>
          <cell r="C1093" t="str">
            <v>Network Interface module</v>
          </cell>
          <cell r="D1093" t="str">
            <v>Dual-port Ethernet MB/TCP NIM Standard</v>
          </cell>
          <cell r="E1093" t="str">
            <v>Schneider</v>
          </cell>
          <cell r="F1093" t="str">
            <v>STBNIP2311</v>
          </cell>
        </row>
        <row r="1094">
          <cell r="B1094" t="str">
            <v>PLCB000SC01900</v>
          </cell>
          <cell r="C1094" t="str">
            <v>Power supply 24VDC , 10A , STBPDT3100K</v>
          </cell>
          <cell r="D1094" t="str">
            <v>Kit Advantys STB PDM power supply module  24 VDC, Standard</v>
          </cell>
          <cell r="E1094" t="str">
            <v>Schneider</v>
          </cell>
          <cell r="F1094" t="str">
            <v>STBPDT3100K</v>
          </cell>
        </row>
        <row r="1095">
          <cell r="B1095" t="str">
            <v>PLCB000SC02000</v>
          </cell>
          <cell r="C1095" t="str">
            <v>Aux. power supply 24VDC, 1.2A, STBCPS2111K</v>
          </cell>
          <cell r="D1095" t="str">
            <v>Kit Advantys STB auxiliary power supply module</v>
          </cell>
          <cell r="E1095" t="str">
            <v>Schneider</v>
          </cell>
          <cell r="F1095" t="str">
            <v>STBCPS2111K</v>
          </cell>
        </row>
        <row r="1096">
          <cell r="B1096" t="str">
            <v>MISI001MS02400</v>
          </cell>
          <cell r="C1096" t="str">
            <v>Signal Isolator indicator (4-20mA Input 1nos. and 4-20mA output 2 nos.</v>
          </cell>
          <cell r="D1096" t="str">
            <v>Signal Isolator indicator (4-20mA Input 1nos. and 4-20mA output 2 nos.</v>
          </cell>
          <cell r="E1096" t="str">
            <v>Multispan</v>
          </cell>
          <cell r="F1096" t="str">
            <v>MI-532</v>
          </cell>
        </row>
        <row r="1097">
          <cell r="B1097" t="str">
            <v>PLAG208ST00000</v>
          </cell>
          <cell r="C1097" t="str">
            <v xml:space="preserve">3/8 inch MS Elbow </v>
          </cell>
          <cell r="D1097" t="str">
            <v xml:space="preserve">3/8 inch MS Elbow </v>
          </cell>
          <cell r="E1097" t="str">
            <v>STANDARD</v>
          </cell>
          <cell r="F1097"/>
        </row>
        <row r="1098">
          <cell r="B1098" t="str">
            <v>PLAG601ST00000</v>
          </cell>
          <cell r="C1098" t="str">
            <v>3/8×1/4 inch MS busing </v>
          </cell>
          <cell r="D1098" t="str">
            <v>3/8×1/4 inch MS busing </v>
          </cell>
          <cell r="E1098" t="str">
            <v>STANDARD</v>
          </cell>
          <cell r="F1098"/>
        </row>
        <row r="1099">
          <cell r="B1099" t="str">
            <v>PLAG602ST00000</v>
          </cell>
          <cell r="C1099" t="str">
            <v>1/2×1/4 inch MS busing</v>
          </cell>
          <cell r="D1099" t="str">
            <v>1/2×1/4 inch MS busing</v>
          </cell>
          <cell r="E1099" t="str">
            <v>STANDARD</v>
          </cell>
          <cell r="F1099" t="str">
            <v>WT460M</v>
          </cell>
        </row>
        <row r="1100">
          <cell r="B1100" t="str">
            <v>MODF002WI00304</v>
          </cell>
          <cell r="C1100" t="str">
            <v>4G GPRS Modem modbus TCP (1 Ethernet Port) with IO</v>
          </cell>
          <cell r="D1100" t="str">
            <v>4G GPRS Modem modbus TCP (1 Ethernet Port) with IO</v>
          </cell>
          <cell r="E1100" t="str">
            <v>WIMAN</v>
          </cell>
          <cell r="F1100"/>
        </row>
        <row r="1101">
          <cell r="B1101" t="str">
            <v>PNLF001ST01205</v>
          </cell>
          <cell r="C1101" t="str">
            <v xml:space="preserve">SINGLE PHASE FEEDER PANEL OUTDOOR AND POLE MOUNT TYPE WITH IFPC </v>
          </cell>
          <cell r="D1101"/>
          <cell r="E1101"/>
          <cell r="F1101"/>
        </row>
        <row r="1102">
          <cell r="B1102" t="str">
            <v>PNLF002ST01203</v>
          </cell>
          <cell r="C1102" t="str">
            <v xml:space="preserve">THREE PHASE FEEDER PANEL OUTDOOR AND STAND MOUNT TYPE WITH IFPC </v>
          </cell>
          <cell r="D1102"/>
          <cell r="E1102"/>
          <cell r="F1102"/>
        </row>
        <row r="1103">
          <cell r="B1103" t="str">
            <v>MODL000SB00400</v>
          </cell>
          <cell r="C1103" t="str">
            <v xml:space="preserve">153 Mains Operated Lora Gateway </v>
          </cell>
          <cell r="D1103" t="str">
            <v>153 Mains Operated Lora Gateway , 230V AC operated (AMR to Gateway RF communication)</v>
          </cell>
          <cell r="E1103" t="str">
            <v>SBEM</v>
          </cell>
          <cell r="F1103"/>
        </row>
        <row r="1104">
          <cell r="B1104" t="str">
            <v>PRTS016EN10001</v>
          </cell>
          <cell r="C1104" t="str">
            <v>Pressure Transmitter Range 0-16 Bar.</v>
          </cell>
          <cell r="D1104" t="str">
            <v>Pressure Transmitter Range 0-16 Bar, Input 24 VDC, out put 4-20mA</v>
          </cell>
          <cell r="E1104" t="str">
            <v>Electronet</v>
          </cell>
          <cell r="F1104"/>
        </row>
        <row r="1105">
          <cell r="B1105" t="str">
            <v>PPAB008SC03600</v>
          </cell>
        </row>
        <row r="1106">
          <cell r="B1106" t="str">
            <v>PNLAA007LT00000</v>
          </cell>
          <cell r="C1106" t="str">
            <v>Main Switch 400 Amp</v>
          </cell>
          <cell r="D1106" t="str">
            <v>Main Switch 400 Amp With Enclouser</v>
          </cell>
          <cell r="E1106" t="str">
            <v>L&amp;T</v>
          </cell>
        </row>
        <row r="1107">
          <cell r="B1107" t="str">
            <v>PNLAA006LT00000</v>
          </cell>
          <cell r="C1107" t="str">
            <v>Main Switch 320 Amp</v>
          </cell>
          <cell r="D1107" t="str">
            <v>Main Switch 400 Amp With Enclouser</v>
          </cell>
          <cell r="E1107" t="str">
            <v>L&amp;T</v>
          </cell>
        </row>
        <row r="1108">
          <cell r="B1108" t="str">
            <v>PNLAA004LT00000</v>
          </cell>
          <cell r="C1108" t="str">
            <v>Main Switch 200 Amp</v>
          </cell>
          <cell r="D1108" t="str">
            <v>Main Switch 400 Amp With Enclouser</v>
          </cell>
          <cell r="E1108" t="str">
            <v>L&amp;T</v>
          </cell>
        </row>
        <row r="1109">
          <cell r="B1109" t="str">
            <v>PNLAA005LT00000</v>
          </cell>
          <cell r="C1109" t="str">
            <v>Main Switch 250 Amp</v>
          </cell>
          <cell r="D1109" t="str">
            <v>Main Switch 400 Amp With Enclouser</v>
          </cell>
          <cell r="E1109" t="str">
            <v>L&amp;T</v>
          </cell>
        </row>
        <row r="1110">
          <cell r="B1110" t="str">
            <v>PNLAA003LT00000</v>
          </cell>
          <cell r="C1110" t="str">
            <v>Main Switch 160 Amp</v>
          </cell>
          <cell r="D1110" t="str">
            <v>Main Switch 400 Amp With Enclouser</v>
          </cell>
          <cell r="E1110" t="str">
            <v>L&amp;T</v>
          </cell>
        </row>
        <row r="1111">
          <cell r="B1111" t="str">
            <v>PNLAA002LT00000</v>
          </cell>
          <cell r="C1111" t="str">
            <v>Main Switch 125</v>
          </cell>
          <cell r="D1111" t="str">
            <v>Main Switch 400 Amp With Enclouser</v>
          </cell>
          <cell r="E1111" t="str">
            <v>L&amp;T</v>
          </cell>
        </row>
        <row r="1112">
          <cell r="B1112" t="str">
            <v>MISR099HP00000</v>
          </cell>
          <cell r="C1112" t="str">
            <v>MCS PC  Intel Core i7, latest Generation or Higher</v>
          </cell>
          <cell r="D1112" t="str">
            <v xml:space="preserve"> Intel Core i7, latest Generation or Higher , Keyboad , 21"LED and 42" LED  monitor</v>
          </cell>
          <cell r="E1112" t="str">
            <v>HP</v>
          </cell>
        </row>
        <row r="1113">
          <cell r="B1113" t="str">
            <v>ITSO012NA00000</v>
          </cell>
          <cell r="C1113" t="str">
            <v>VMS software ( for CCTV camera )</v>
          </cell>
          <cell r="D1113" t="str">
            <v>VMS software ( for CCTV camera )</v>
          </cell>
          <cell r="E1113" t="str">
            <v>ST</v>
          </cell>
        </row>
        <row r="1114">
          <cell r="B1114" t="str">
            <v>PPAAF001NA00000</v>
          </cell>
          <cell r="C1114" t="str">
            <v>Capacitor contactor 10 KVAR</v>
          </cell>
          <cell r="D1114" t="str">
            <v>Capacitor contactor 10 KVAR</v>
          </cell>
          <cell r="E1114" t="str">
            <v>L&amp;T/Schneider</v>
          </cell>
          <cell r="F1114"/>
        </row>
        <row r="1115">
          <cell r="B1115" t="str">
            <v>PRTA025MI00001</v>
          </cell>
          <cell r="C1115" t="str">
            <v>MICROSENSOR MAKE 0 TO 25 BAR PRESSURE TRANSMITTER WITH INBUILT DISPLAY</v>
          </cell>
          <cell r="D1115" t="str">
            <v>MICROSENSOR MAKE 0 TO 25 BAR PRESSURE TRANSMITTER WITH INBUILT DISPLAY</v>
          </cell>
          <cell r="E1115" t="str">
            <v>MICROSENSOR</v>
          </cell>
        </row>
        <row r="1116">
          <cell r="B1116" t="str">
            <v>WQACLS001NN000</v>
          </cell>
          <cell r="C1116" t="str">
            <v xml:space="preserve">CHLORINE SENSOR </v>
          </cell>
          <cell r="D1116" t="str">
            <v>CHLORINE SENSOR  WITHOUT TRANSMITTER</v>
          </cell>
          <cell r="E1116" t="str">
            <v>NA</v>
          </cell>
        </row>
        <row r="1117">
          <cell r="B1117" t="str">
            <v>LVLG000NA00000</v>
          </cell>
          <cell r="C1117" t="str">
            <v xml:space="preserve">LOSS OF HEAD </v>
          </cell>
          <cell r="D1117" t="str">
            <v xml:space="preserve">LOSS OF HEAD </v>
          </cell>
          <cell r="E1117" t="str">
            <v>NA</v>
          </cell>
        </row>
        <row r="1118">
          <cell r="B1118" t="str">
            <v>LVLH000NA00000</v>
          </cell>
          <cell r="C1118" t="str">
            <v>RATE OF FLOW</v>
          </cell>
          <cell r="D1118" t="str">
            <v>RATE OF FLOW</v>
          </cell>
          <cell r="E1118" t="str">
            <v>NA</v>
          </cell>
        </row>
        <row r="1119">
          <cell r="B1119" t="str">
            <v>PNLG009NA00000</v>
          </cell>
          <cell r="C1119" t="str">
            <v>LT PANEL 55 KW SOFTSTARTER, CAPICITOR BANK WITH LOAD, 3 NOS. MOTOR  OPERATION</v>
          </cell>
          <cell r="D1119" t="str">
            <v>LT PANEL 55 KW SOFTSTARTER, CAPICITOR BANK WITH LOAD, 3 NOS. MOTOR  OPERATION</v>
          </cell>
          <cell r="E1119" t="str">
            <v>STANDARD</v>
          </cell>
        </row>
        <row r="1120">
          <cell r="B1120" t="str">
            <v>PNLG010NA00000</v>
          </cell>
          <cell r="C1120" t="str">
            <v>LT PANEL 315 KW SOFTSTARTER, CAPICITOR BANK WITH LOAD, 3 NOS. MOTOR  OPERATION</v>
          </cell>
          <cell r="D1120" t="str">
            <v>LT PANEL 315 KW SOFTSTARTER, CAPICITOR BANK WITH LOAD, 3 NOS. MOTOR  OPERATION</v>
          </cell>
        </row>
        <row r="1121">
          <cell r="B1121" t="str">
            <v>PNLG011NA00000</v>
          </cell>
          <cell r="C1121" t="str">
            <v>LT PANEL 355 KW SOFTSTARTER, CAPICITOR BANK WITH LOAD, 3 NOS. MOTOR  OPERATION</v>
          </cell>
          <cell r="D1121" t="str">
            <v>LT PANEL 355 KW SOFTSTARTER, CAPICITOR BANK WITH LOAD, 3 NOS. MOTOR  OPERATION</v>
          </cell>
        </row>
        <row r="1122">
          <cell r="B1122" t="str">
            <v>PNLAB012NA0000</v>
          </cell>
          <cell r="C1122" t="str">
            <v xml:space="preserve">HT PANEL 6.6 KW  WITH SOFTSTARTER FOR MOTOR OPERATION </v>
          </cell>
          <cell r="D1122" t="str">
            <v xml:space="preserve">HT PANEL 6.6 KW  WITH SOFTSTARTER FOR MOTOR OPERATION </v>
          </cell>
          <cell r="E1122" t="str">
            <v>STANDARD</v>
          </cell>
        </row>
        <row r="1123">
          <cell r="B1123" t="str">
            <v>PNLZ004ST00000</v>
          </cell>
          <cell r="C1123" t="str">
            <v>DOL STARTER COMBINE PANEL (1 HP TO 25 HP) MOTOR OPERATION</v>
          </cell>
          <cell r="D1123" t="str">
            <v>DOL STARTER COMBINE PANEL (1 HP TO 25 HP) MOTOR OPERATION</v>
          </cell>
          <cell r="E1123" t="str">
            <v>STANDARD</v>
          </cell>
        </row>
        <row r="1124">
          <cell r="B1124" t="str">
            <v>PLAN701ST00000</v>
          </cell>
          <cell r="C1124" t="str">
            <v>1/2" GI SOCKET (COUPLIN)</v>
          </cell>
          <cell r="D1124" t="str">
            <v>1/2" GI SOCKET (COUPLIN)</v>
          </cell>
          <cell r="E1124" t="str">
            <v>STANDARD</v>
          </cell>
        </row>
        <row r="1125">
          <cell r="B1125" t="str">
            <v>PLAG012ST00000</v>
          </cell>
          <cell r="C1125" t="str">
            <v>100*150MM MS REDUCER</v>
          </cell>
          <cell r="D1125" t="str">
            <v>100*150MM MS REDUCER</v>
          </cell>
          <cell r="E1125" t="str">
            <v>STANDARD</v>
          </cell>
        </row>
        <row r="1126">
          <cell r="B1126" t="str">
            <v>LVLB003NA00000</v>
          </cell>
          <cell r="C1126" t="str">
            <v xml:space="preserve">Ultrasonic Level Transmitter 0-8 M (as prefered) </v>
          </cell>
          <cell r="D1126" t="str">
            <v xml:space="preserve">Ultrasonic Level Transmitter  0-8 M (as prefered) </v>
          </cell>
          <cell r="E1126" t="str">
            <v>NA</v>
          </cell>
        </row>
        <row r="1127">
          <cell r="B1127" t="str">
            <v>LVLC001NA00000</v>
          </cell>
          <cell r="C1127" t="str">
            <v>Raddartype  Level Transmitter 0-5 M</v>
          </cell>
          <cell r="D1127" t="str">
            <v>Raddartype  Level Transmitter 0-5 M</v>
          </cell>
          <cell r="E1127" t="str">
            <v>NA</v>
          </cell>
        </row>
        <row r="1128">
          <cell r="B1128" t="str">
            <v>ITAH004NA00000</v>
          </cell>
          <cell r="C1128" t="str">
            <v>INTEL XEON Processor / Latest,DDR4 DIMMs at up to 2400 MT/s 12 DIMM: 128 GB, 4*1.2TB Raid , rack mounting</v>
          </cell>
          <cell r="D1128" t="str">
            <v>INTEL XEON Processor / Latest,DDR4 DIMMs at up to 2400 MT/s 12 DIMM: 128 GB, 4*1.2TB Raid , rack mounting</v>
          </cell>
        </row>
        <row r="1129">
          <cell r="B1129" t="str">
            <v>PPAAG002NA00000</v>
          </cell>
          <cell r="C1129" t="str">
            <v>Voltmeter 3 phase digital</v>
          </cell>
          <cell r="D1129" t="str">
            <v>Voltmeter 3 phase digital</v>
          </cell>
          <cell r="E1129" t="str">
            <v>NA</v>
          </cell>
        </row>
        <row r="1130">
          <cell r="B1130" t="str">
            <v>PPAAH002NA00000</v>
          </cell>
          <cell r="C1130" t="str">
            <v>Amp meter 3 Phase digital</v>
          </cell>
          <cell r="D1130" t="str">
            <v>Amp meter 3 Phase digital</v>
          </cell>
          <cell r="E1130" t="str">
            <v>NA</v>
          </cell>
        </row>
        <row r="1131">
          <cell r="B1131" t="str">
            <v>PPAAI001GI00000</v>
          </cell>
          <cell r="C1131" t="str">
            <v>Digital Clock timer</v>
          </cell>
          <cell r="D1131" t="str">
            <v>Digital Clock timer</v>
          </cell>
          <cell r="E1131" t="str">
            <v>GIC</v>
          </cell>
        </row>
        <row r="1132">
          <cell r="B1132" t="str">
            <v>ITAK005NA00000</v>
          </cell>
          <cell r="C1132" t="str">
            <v xml:space="preserve">Intel Core i7, latest Generation or Higher , RAM 16 GB or Higher, DDR4, Expandable upto 32 GB, </v>
          </cell>
          <cell r="D1132" t="str">
            <v xml:space="preserve">Intel Core i7, latest Generation or Higher , RAM 16 GB or Higher, DDR4, Expandable upto 32 GB, </v>
          </cell>
          <cell r="E1132" t="str">
            <v>NA</v>
          </cell>
        </row>
        <row r="1133">
          <cell r="B1133" t="str">
            <v>ITAY001NA00000</v>
          </cell>
          <cell r="C1133" t="str">
            <v xml:space="preserve">LED, 21’’Non –Touch </v>
          </cell>
          <cell r="D1133" t="str">
            <v xml:space="preserve">LED, 21’’Non –Touch </v>
          </cell>
          <cell r="E1133" t="str">
            <v>AN</v>
          </cell>
        </row>
        <row r="1134">
          <cell r="B1134" t="str">
            <v>ITAY006NA00000</v>
          </cell>
          <cell r="C1134" t="str">
            <v>42" LED Monitor 43BM702</v>
          </cell>
          <cell r="D1134" t="str">
            <v>42" LED Monitor 43BM702</v>
          </cell>
          <cell r="E1134" t="str">
            <v>AN</v>
          </cell>
        </row>
        <row r="1135">
          <cell r="B1135" t="str">
            <v>ITAY008NA00000</v>
          </cell>
          <cell r="C1135" t="str">
            <v>55” (Inches) LED Screen</v>
          </cell>
          <cell r="D1135" t="str">
            <v>55” (Inches) LED Screen</v>
          </cell>
          <cell r="E1135" t="str">
            <v>NA</v>
          </cell>
        </row>
        <row r="1136">
          <cell r="B1136" t="str">
            <v>ITAK015NA00000</v>
          </cell>
          <cell r="C1136" t="str">
            <v xml:space="preserve">CPU  :- i3 Processor ,RAM :-4 GB or Higher, 512 GB SATA ,19 inch LED Monitor, Key board , Mouse etc. </v>
          </cell>
          <cell r="D1136" t="str">
            <v xml:space="preserve">CPU  :- i3 Processor ,RAM :-4 GB or Higher, 512 GB SATA ,19 inch LED Monitor, Key board , Mouse etc. </v>
          </cell>
          <cell r="E1136" t="str">
            <v>NA</v>
          </cell>
        </row>
        <row r="1137">
          <cell r="B1137" t="str">
            <v>ITAY009NA00000</v>
          </cell>
          <cell r="C1137" t="str">
            <v xml:space="preserve"> 65"  Or Above 4K LFD Professional Display FOR 24X7 Run time including  350 Nit Brightness</v>
          </cell>
          <cell r="D1137" t="str">
            <v xml:space="preserve"> 65"  Or Above 4K LFD Professional Display FOR 24X7 Run time including  350 Nit Brightness</v>
          </cell>
          <cell r="E1137" t="str">
            <v>NA</v>
          </cell>
        </row>
        <row r="1138">
          <cell r="B1138" t="str">
            <v>ITAK013NA00000</v>
          </cell>
          <cell r="C1138" t="str">
            <v>PC hardware with OS Windows 10/12/16 or latest; 64 bit ; Intel Core i7 processor, 8GB RAM, 500GB SATA Hard Drive, 10/100</v>
          </cell>
          <cell r="D1138" t="str">
            <v>PC hardware with OS Windows 10/12/16 or latest; 64 bit ; Intel Core i7 processor, 8GB RAM, 500GB SATA Hard Drive, 10/100</v>
          </cell>
          <cell r="E1138" t="str">
            <v>NA</v>
          </cell>
        </row>
        <row r="1139">
          <cell r="B1139" t="str">
            <v>ITAP005NA00000</v>
          </cell>
          <cell r="C1139" t="str">
            <v>A3 color printer</v>
          </cell>
          <cell r="D1139" t="str">
            <v>A3 color printer</v>
          </cell>
          <cell r="E1139" t="str">
            <v>NA</v>
          </cell>
        </row>
        <row r="1140">
          <cell r="B1140" t="str">
            <v>ITAP005NA00000</v>
          </cell>
          <cell r="C1140" t="str">
            <v>LaserJet Printer A4 Size Mono chrome</v>
          </cell>
          <cell r="D1140" t="str">
            <v>LaserJet Printer A4 Size Mono chrome</v>
          </cell>
          <cell r="E1140" t="str">
            <v>NA</v>
          </cell>
        </row>
        <row r="1141">
          <cell r="B1141" t="str">
            <v>ITAZ203NA00000</v>
          </cell>
          <cell r="C1141" t="str">
            <v xml:space="preserve">IP PTZ IR Outdoor/indoor Camera with 1/2.8" CMOS sensor, 5MP </v>
          </cell>
          <cell r="D1141" t="str">
            <v xml:space="preserve">IP PTZ IR Outdoor/indoor Camera with 1/2.8" CMOS sensor, 5MP </v>
          </cell>
          <cell r="E1141" t="str">
            <v>NA</v>
          </cell>
        </row>
        <row r="1142">
          <cell r="B1142" t="str">
            <v>ITAZ002NA00000</v>
          </cell>
          <cell r="C1142" t="str">
            <v>Outdoor/indoor IR IP Bullet Camera with 1/2.8" CMOS sensor, 5MP</v>
          </cell>
          <cell r="D1142" t="str">
            <v>Outdoor/indoor IR IP Bullet Camera with 1/2.8" CMOS sensor, 5MP</v>
          </cell>
          <cell r="E1142" t="str">
            <v>NA</v>
          </cell>
        </row>
        <row r="1143">
          <cell r="B1143" t="str">
            <v>ITAZ502NA00000</v>
          </cell>
          <cell r="C1143" t="str">
            <v xml:space="preserve">Integrated IP PTZ Keyboard; Joytick </v>
          </cell>
          <cell r="D1143" t="str">
            <v xml:space="preserve">Integrated IP PTZ Keyboard; Joytick </v>
          </cell>
          <cell r="E1143" t="str">
            <v>NA</v>
          </cell>
        </row>
        <row r="1144">
          <cell r="B1144" t="str">
            <v>MISR000NA00000</v>
          </cell>
          <cell r="C1144" t="str">
            <v>VMS Software, HDD 1TB, NVR, POE switch, DVR rack and camera and switch mounting box.</v>
          </cell>
          <cell r="D1144" t="str">
            <v>VMS Software, HDD 1TB, NVR, POE switch, DVR rack and camera and switch mounting box.</v>
          </cell>
          <cell r="E1144" t="str">
            <v>NA</v>
          </cell>
        </row>
        <row r="1145">
          <cell r="B1145" t="str">
            <v>PNLO002KR00500</v>
          </cell>
          <cell r="C1145" t="str">
            <v>Canopy  size 200x200x180mm</v>
          </cell>
          <cell r="D1145" t="str">
            <v>Canopy  size 200x200x180mm</v>
          </cell>
        </row>
        <row r="1146">
          <cell r="B1146" t="str">
            <v>UPSA103NA00000</v>
          </cell>
          <cell r="C1146" t="str">
            <v>UPS 3 KVA ONLINE  inbult battery</v>
          </cell>
          <cell r="D1146" t="str">
            <v>UPS 3 KVA ONLINE  inbult battery</v>
          </cell>
        </row>
        <row r="1147">
          <cell r="B1147" t="str">
            <v>PPAE009SA00000</v>
          </cell>
          <cell r="C1147" t="str">
            <v>24V DC, 2 CO Relay With Base</v>
          </cell>
          <cell r="D1147" t="str">
            <v>24V DC, 2 CO Relay With Base</v>
          </cell>
          <cell r="E1147" t="str">
            <v>Salzer</v>
          </cell>
        </row>
        <row r="1148">
          <cell r="B1148" t="str">
            <v>PPAE008SA00000</v>
          </cell>
          <cell r="C1148" t="str">
            <v>240V AC, 2 CO Relay With Base</v>
          </cell>
          <cell r="D1148" t="str">
            <v>240V AC, 2 CO Relay With Base</v>
          </cell>
          <cell r="E1148" t="str">
            <v>Salzer</v>
          </cell>
        </row>
        <row r="1149">
          <cell r="B1149" t="str">
            <v>PPAE014SA00000</v>
          </cell>
          <cell r="C1149" t="str">
            <v>240V AC, 4 CO Relay With Base</v>
          </cell>
          <cell r="D1149" t="str">
            <v>240V AC, 4 CO Relay With Base</v>
          </cell>
          <cell r="E1149" t="str">
            <v>Salzer</v>
          </cell>
        </row>
        <row r="1150">
          <cell r="B1150" t="str">
            <v>MODN000NA00000</v>
          </cell>
          <cell r="C1150" t="str">
            <v>Data logger, pulse input , Inbuilt batetry backup with GSM/GPRS</v>
          </cell>
          <cell r="D1150" t="str">
            <v>Data logger, pulse input , Inbuilt batetry backup with GSm/GPRS</v>
          </cell>
          <cell r="E1150" t="str">
            <v>NA</v>
          </cell>
        </row>
        <row r="1151">
          <cell r="B1151" t="str">
            <v>PNLQ000ST00000</v>
          </cell>
          <cell r="C1151" t="str">
            <v>Metal/ ABS/PVC Panel Box and Partition for Flow cell and Controller for pH, Chlorine and Turbidity</v>
          </cell>
          <cell r="D1151" t="str">
            <v>Metal/ ABS/PVC Panel Box and Partition for Flow cell and Controller for pH, Chlorine and Turbidity</v>
          </cell>
        </row>
        <row r="1152">
          <cell r="B1152" t="str">
            <v>PNLC011ST00000</v>
          </cell>
          <cell r="C1152" t="str">
            <v xml:space="preserve">RTU + 3 SCADA + 4 ACT panel </v>
          </cell>
          <cell r="D1152" t="str">
            <v xml:space="preserve">RTU + 3 SCADA + 4 ACT panel </v>
          </cell>
        </row>
        <row r="1153">
          <cell r="B1153" t="str">
            <v>PNLD003ST00000</v>
          </cell>
          <cell r="C1153" t="str">
            <v xml:space="preserve">RTU+ 3 ACT panel </v>
          </cell>
          <cell r="D1153" t="str">
            <v xml:space="preserve">RTU+ 3 ACT panel </v>
          </cell>
        </row>
        <row r="1154">
          <cell r="B1154" t="str">
            <v>ELAJ001CT00000</v>
          </cell>
          <cell r="C1154" t="str">
            <v>Single compression Gland (Size L-16mm) Metal, Make Comet</v>
          </cell>
          <cell r="D1154" t="str">
            <v>Single compression Gland (Size L-16mm) Metal, Make Comet</v>
          </cell>
          <cell r="E1154" t="str">
            <v>Comet</v>
          </cell>
        </row>
        <row r="1155">
          <cell r="B1155" t="str">
            <v>ELAD003CT00000</v>
          </cell>
          <cell r="C1155" t="str">
            <v>Single compression Gland (Size L-19mm) Metal, Make Comet</v>
          </cell>
          <cell r="D1155" t="str">
            <v>Single compression Gland (Size L-19mm) Metal, Make Comet</v>
          </cell>
          <cell r="E1155" t="str">
            <v>Comet</v>
          </cell>
        </row>
        <row r="1156">
          <cell r="B1156" t="str">
            <v>ELAZ104FB00000</v>
          </cell>
          <cell r="C1156" t="str">
            <v>Junction Box with Base plate Size 125(L)*125(B)*80(H)</v>
          </cell>
          <cell r="D1156" t="str">
            <v>Junction Box with Base plate Size 125(L)*125(B)*80(H)</v>
          </cell>
          <cell r="E1156" t="str">
            <v>FIBOX</v>
          </cell>
        </row>
        <row r="1157">
          <cell r="B1157" t="str">
            <v>MISA125CI00000</v>
          </cell>
          <cell r="C1157" t="str">
            <v xml:space="preserve">PLC based  Automation Panel suitable for control and monitoring for Sankar Vihar Pump House </v>
          </cell>
          <cell r="D1157" t="str">
            <v xml:space="preserve">PLC based  Automation Panel suitable for control and monitoring for Sankar Vihar Pump House </v>
          </cell>
          <cell r="E1157" t="str">
            <v>CIMCON</v>
          </cell>
        </row>
        <row r="1158">
          <cell r="B1158" t="str">
            <v>MISA126CI00000</v>
          </cell>
          <cell r="C1158" t="str">
            <v xml:space="preserve">PLC based  Automation Panel suitable for control and monitoring for OLD VRC Pump House </v>
          </cell>
          <cell r="D1158" t="str">
            <v xml:space="preserve">PLC based  Automation Panel suitable for control and monitoring for OLD VRC Pump House </v>
          </cell>
          <cell r="E1158" t="str">
            <v>"</v>
          </cell>
        </row>
        <row r="1159">
          <cell r="B1159" t="str">
            <v>MISA127CI00000</v>
          </cell>
          <cell r="C1159" t="str">
            <v xml:space="preserve">PLC based  Automation Panel suitable for control and monitoring for NEW VRC Pump House </v>
          </cell>
          <cell r="D1159" t="str">
            <v xml:space="preserve">PLC based  Automation Panel suitable for control and monitoring for NEW VRC Pump House </v>
          </cell>
          <cell r="E1159" t="str">
            <v>"</v>
          </cell>
        </row>
        <row r="1160">
          <cell r="B1160" t="str">
            <v>MISA128CI00000</v>
          </cell>
          <cell r="C1160" t="str">
            <v xml:space="preserve">PLC based  Automation Panel suitable for control and monitoring for Yoginder Pump House </v>
          </cell>
          <cell r="D1160" t="str">
            <v xml:space="preserve">PLC based  Automation Panel suitable for control and monitoring for Yoginder Pump House </v>
          </cell>
          <cell r="E1160" t="str">
            <v>"</v>
          </cell>
        </row>
        <row r="1161">
          <cell r="B1161" t="str">
            <v>MISA129CI00000</v>
          </cell>
          <cell r="C1161" t="str">
            <v xml:space="preserve">PLC based  Automation Panel suitable for control and monitoring for Anuj Vihar Pump House </v>
          </cell>
          <cell r="D1161" t="str">
            <v xml:space="preserve">PLC based  Automation Panel suitable for control and monitoring for Anuj Vihar Pump House </v>
          </cell>
          <cell r="E1161" t="str">
            <v>"</v>
          </cell>
        </row>
        <row r="1162">
          <cell r="B1162" t="str">
            <v>MISA130CI00000</v>
          </cell>
          <cell r="C1162" t="str">
            <v xml:space="preserve">PLC based  Automation Panel suitable for control and monitoring for Vikram Vihar Pump House </v>
          </cell>
          <cell r="D1162" t="str">
            <v xml:space="preserve">PLC based  Automation Panel suitable for control and monitoring for Vikram Vihar Pump House </v>
          </cell>
          <cell r="E1162" t="str">
            <v>"</v>
          </cell>
        </row>
        <row r="1163">
          <cell r="B1163" t="str">
            <v>MISA131CI00000</v>
          </cell>
          <cell r="C1163" t="str">
            <v xml:space="preserve">PLC based  Automation Panel suitable for control and monitoring for Nodal Point-1 Pump House </v>
          </cell>
          <cell r="D1163" t="str">
            <v xml:space="preserve">PLC based  Automation Panel suitable for control and monitoring for Nodal Point-1 Pump House </v>
          </cell>
          <cell r="E1163" t="str">
            <v>"</v>
          </cell>
        </row>
        <row r="1164">
          <cell r="B1164" t="str">
            <v>CABB001NA00000</v>
          </cell>
          <cell r="C1164" t="str">
            <v>"HPE  DL380  Gen10  server RACK  24u 600*1000 with accessories</v>
          </cell>
          <cell r="D1164" t="str">
            <v>"HPE  DL380  Gen10  2U  RACK  24u 600*1000 with accessories included 4 fan 
1 5skt 5/15 amp pdu MCB 
1 full tray 
1 cable manager 
 "</v>
          </cell>
        </row>
        <row r="1165">
          <cell r="B1165" t="str">
            <v>CABF404NA00001</v>
          </cell>
          <cell r="C1165" t="str">
            <v xml:space="preserve">CABLE 4 SQ MM 4 CORE flexible cable </v>
          </cell>
          <cell r="D1165" t="str">
            <v xml:space="preserve">CABLE 4 SQ MM 4 CORE flexible cable </v>
          </cell>
        </row>
        <row r="1166">
          <cell r="B1166" t="str">
            <v>CABF701NA00001</v>
          </cell>
          <cell r="C1166" t="str">
            <v xml:space="preserve">CABLE 1 SQ MM 7 CORE flexible cable </v>
          </cell>
          <cell r="D1166" t="str">
            <v xml:space="preserve">CABLE 1 SQ MM 7 CORE flexible cable </v>
          </cell>
        </row>
        <row r="1167">
          <cell r="B1167" t="str">
            <v>PLAN042ST00000</v>
          </cell>
          <cell r="C1167" t="str">
            <v>Gi reducer 32x20mm</v>
          </cell>
          <cell r="D1167" t="str">
            <v>Gi reducer 32x20mm</v>
          </cell>
        </row>
        <row r="1168">
          <cell r="B1168" t="str">
            <v>PLAN043ST00000</v>
          </cell>
          <cell r="C1168" t="str">
            <v>Gi reducer 32x25mm</v>
          </cell>
          <cell r="D1168" t="str">
            <v>Gi reducer 32x25mm</v>
          </cell>
        </row>
        <row r="1169">
          <cell r="B1169" t="str">
            <v>CABC302PO00009</v>
          </cell>
          <cell r="C1169" t="str">
            <v xml:space="preserve">3 Core X 1.5sq.mm,1100 V, XLPE Insulated and Multi Core Copper Conductor Industrial Armour Cables </v>
          </cell>
          <cell r="D1169" t="str">
            <v xml:space="preserve">3 Core X 1.5sq.mm,1100 V, XLPE Insulated and Multi Core Copper Conductor Industrial Armour Cables </v>
          </cell>
        </row>
        <row r="1170">
          <cell r="B1170" t="str">
            <v>CIMD001AB00000</v>
          </cell>
          <cell r="C1170" t="str">
            <v>Vibit</v>
          </cell>
          <cell r="D1170"/>
          <cell r="E1170"/>
          <cell r="F1170"/>
        </row>
        <row r="1171">
          <cell r="B1171" t="str">
            <v>CIMD002AB00000</v>
          </cell>
          <cell r="C1171" t="str">
            <v>Vibit SMPS</v>
          </cell>
          <cell r="D1171"/>
          <cell r="E1171"/>
          <cell r="F1171"/>
        </row>
        <row r="1172">
          <cell r="B1172" t="str">
            <v>CIMD003AB00000</v>
          </cell>
          <cell r="C1172" t="str">
            <v>Vibit Wifi router</v>
          </cell>
          <cell r="D1172"/>
          <cell r="E1172"/>
          <cell r="F1172"/>
        </row>
        <row r="1173">
          <cell r="B1173" t="str">
            <v>ELAR001ST00002</v>
          </cell>
          <cell r="C1173" t="str">
            <v xml:space="preserve">1/2" Flexible PVC conduit </v>
          </cell>
          <cell r="D1173" t="str">
            <v xml:space="preserve">1/2" Flexible PVC conduit </v>
          </cell>
          <cell r="E1173"/>
          <cell r="F1173"/>
        </row>
        <row r="1174">
          <cell r="B1174" t="str">
            <v>MISR001NA00000</v>
          </cell>
          <cell r="C1174" t="str">
            <v xml:space="preserve">INTEL XEON Processor / Latest,DDR4 DIMMs at up to 2400 MT/s 12 DIMM: 128 GB, 4*1.2TB Raid  with  rack mounting </v>
          </cell>
          <cell r="D1174" t="str">
            <v xml:space="preserve">INTEL XEON Processor / Latest,DDR4 DIMMs at up to 2400 MT/s 12 DIMM: 128 GB, 4*1.2TB Raid  with  Server rack mounting </v>
          </cell>
          <cell r="E1174"/>
          <cell r="F1174"/>
        </row>
        <row r="1175">
          <cell r="B1175" t="str">
            <v>CABF501NA00009</v>
          </cell>
          <cell r="C1175" t="str">
            <v xml:space="preserve">5 Core X 1 Sq.mm XLPE Insulated and PVC Round Sheathed Multi Core Copper Conductor </v>
          </cell>
          <cell r="D1175" t="str">
            <v xml:space="preserve">5 Core X 1 Sq.mm XLPE Insulated and PVC Round Sheathed Multi Core Copper Conductor </v>
          </cell>
          <cell r="E1175"/>
          <cell r="F1175"/>
        </row>
        <row r="1176">
          <cell r="B1176" t="str">
            <v>PNLF001ST01205</v>
          </cell>
          <cell r="C1176" t="str">
            <v>Single Phase Panel, IP 66, wall mount, Outdoor type,</v>
          </cell>
          <cell r="D1176" t="str">
            <v>panel Single phase</v>
          </cell>
          <cell r="E1176" t="str">
            <v>PIMA</v>
          </cell>
          <cell r="F1176"/>
        </row>
        <row r="1177">
          <cell r="B1177" t="str">
            <v>PNLF002ST01203</v>
          </cell>
          <cell r="C1177" t="str">
            <v>Three Phase Panel,  IP 66, stand mount, Outdoor type</v>
          </cell>
          <cell r="D1177" t="str">
            <v>Panel three phase</v>
          </cell>
          <cell r="E1177" t="str">
            <v>PIMA</v>
          </cell>
          <cell r="F1177"/>
        </row>
        <row r="1178">
          <cell r="B1178" t="str">
            <v>ONGA101MC00001</v>
          </cell>
          <cell r="C1178" t="str">
            <v>REFERENCE CELL</v>
          </cell>
          <cell r="D1178" t="str">
            <v>REFFERENCE CELL CU/CUSO4 , 4SQ.MM COPPER WIRE CABLE</v>
          </cell>
          <cell r="E1178" t="str">
            <v>ZULU(CONTROL PLUS)</v>
          </cell>
          <cell r="F1178"/>
        </row>
        <row r="1179">
          <cell r="B1179" t="str">
            <v>PNLA005NA00600</v>
          </cell>
          <cell r="C1179" t="str">
            <v>Consultech Panel 1800*500*500 (mm)</v>
          </cell>
          <cell r="D1179" t="str">
            <v>Gail pata Panel</v>
          </cell>
          <cell r="E1179"/>
          <cell r="F1179"/>
        </row>
        <row r="1180">
          <cell r="B1180" t="str">
            <v>PPAG101SE03700</v>
          </cell>
          <cell r="C1180" t="str">
            <v>Secure Smart Meter Liberty 200</v>
          </cell>
          <cell r="D1180" t="str">
            <v>Smart meter Secure</v>
          </cell>
          <cell r="E1180" t="str">
            <v xml:space="preserve">Secure </v>
          </cell>
          <cell r="F1180"/>
        </row>
        <row r="1181">
          <cell r="B1181" t="str">
            <v>PPAG301SE03700</v>
          </cell>
          <cell r="C1181" t="str">
            <v>Secure Smart Meter Liberty 300</v>
          </cell>
          <cell r="D1181" t="str">
            <v>Smart meter Secure</v>
          </cell>
          <cell r="E1181" t="str">
            <v>Secure</v>
          </cell>
          <cell r="F1181"/>
        </row>
        <row r="1182">
          <cell r="B1182" t="str">
            <v>ITSC0130500000</v>
          </cell>
          <cell r="C1182" t="str">
            <v>iEdge 360 Platform Lic. (Cimcon think board Software)</v>
          </cell>
          <cell r="D1182" t="str">
            <v>iEdge 360 Platform Lic. (Cimcon think board Software)</v>
          </cell>
          <cell r="E1182" t="str">
            <v>CIMCON</v>
          </cell>
          <cell r="F1182"/>
        </row>
        <row r="1183">
          <cell r="B1183" t="str">
            <v>ITSC0140500000</v>
          </cell>
          <cell r="C1183" t="str">
            <v>Application development  (Cimcon Software)</v>
          </cell>
          <cell r="D1183" t="str">
            <v>Application development  (Cimcon Software)</v>
          </cell>
          <cell r="E1183" t="str">
            <v>CIMCON</v>
          </cell>
          <cell r="F1183"/>
        </row>
        <row r="1184">
          <cell r="B1184" t="str">
            <v>ITAB104ST00000</v>
          </cell>
          <cell r="C1184" t="str">
            <v>12 PORT LAN Switch (unmanageed)</v>
          </cell>
          <cell r="D1184" t="str">
            <v>12 PORT LAN Switch (unmanageed)</v>
          </cell>
          <cell r="E1184" t="str">
            <v>STANDARD</v>
          </cell>
          <cell r="F1184"/>
        </row>
        <row r="1185">
          <cell r="B1185" t="str">
            <v>MISQ025NG00000</v>
          </cell>
          <cell r="C1185" t="str">
            <v xml:space="preserve">WTP Filter Bed panel , RTU, SPD, ARR with 3 phase valve operation for 3 nos. and 5 nos. valve provision. </v>
          </cell>
          <cell r="D1185" t="str">
            <v xml:space="preserve">WTP Filter Bed panel , RTU, SPD, ARR with 3 phase valve operation for 3 nos. and 5 nos. valve provision. </v>
          </cell>
          <cell r="E1185" t="str">
            <v>Nextgen</v>
          </cell>
          <cell r="F1185"/>
        </row>
        <row r="1186">
          <cell r="B1186" t="str">
            <v>MIST002PO00000</v>
          </cell>
          <cell r="C1186" t="str">
            <v xml:space="preserve">1 Sq.mm 2C+ 1.5 Sq.mm 3C+ 4Cx 4 Sq.mm+1Sq.mm 5C and 1 Sq.mm 7 C cable </v>
          </cell>
          <cell r="D1186" t="str">
            <v xml:space="preserve">1 Sq.mm 2C+ 1.5 Sq.mm 3C+ 4Cx 4 Sq.mm+1Sq.mm 5C and 1 Sq.mm 7 C cable </v>
          </cell>
          <cell r="E1186"/>
          <cell r="F1186"/>
        </row>
        <row r="1187">
          <cell r="B1187" t="str">
            <v>MISD017NA00000</v>
          </cell>
          <cell r="C1187" t="str">
            <v>Cost of Installation, Armoured power cable, Motor and controliing Flexible Cable with required accessories Gland, tray, pipes &amp; integration of actuators, Flow meters and Other instruments</v>
          </cell>
          <cell r="D1187"/>
          <cell r="E1187"/>
          <cell r="F1187"/>
        </row>
        <row r="1188">
          <cell r="B1188" t="str">
            <v>CIMB006GM00000</v>
          </cell>
          <cell r="C1188" t="str">
            <v xml:space="preserve">Rtu 6000++ inbuilt Modem </v>
          </cell>
          <cell r="D1188"/>
          <cell r="E1188"/>
          <cell r="F1188"/>
        </row>
        <row r="1189">
          <cell r="B1189" t="str">
            <v>PPAS000NA00000</v>
          </cell>
          <cell r="C1189" t="str">
            <v>LRTU 3000 enclosure</v>
          </cell>
          <cell r="D1189" t="str">
            <v>IP67 Enclosure</v>
          </cell>
          <cell r="E1189"/>
          <cell r="F1189"/>
        </row>
        <row r="1190">
          <cell r="B1190" t="str">
            <v>CABF001PP00000</v>
          </cell>
          <cell r="C1190" t="str">
            <v>8 Core 2 Core Cable Set</v>
          </cell>
          <cell r="D1190"/>
          <cell r="E1190"/>
          <cell r="F1190"/>
        </row>
        <row r="1191">
          <cell r="B1191" t="str">
            <v>PPAAL000NA0000</v>
          </cell>
          <cell r="C1191" t="str">
            <v xml:space="preserve">Panel Stand  H 300*W 500*D 200 </v>
          </cell>
          <cell r="D1191" t="str">
            <v xml:space="preserve">Panel Stand  H 300*W 500*D 200 </v>
          </cell>
          <cell r="E1191"/>
          <cell r="F1191"/>
        </row>
        <row r="1192">
          <cell r="B1192" t="str">
            <v>ITAB005ST00000</v>
          </cell>
          <cell r="C1192" t="str">
            <v>ITAB005ST00000</v>
          </cell>
          <cell r="D1192" t="str">
            <v>Cable tester (RJ 45 Connector )</v>
          </cell>
          <cell r="E1192" t="str">
            <v>Standard</v>
          </cell>
          <cell r="F1192"/>
        </row>
        <row r="1193">
          <cell r="B1193" t="str">
            <v>MISA200NA00000</v>
          </cell>
          <cell r="C1193" t="str">
            <v xml:space="preserve">RTU with panel with UPS compatible WTP panel </v>
          </cell>
          <cell r="D1193" t="str">
            <v xml:space="preserve">RTU with panel with UPS compatible WTP panel </v>
          </cell>
          <cell r="E1193"/>
          <cell r="F1193"/>
        </row>
        <row r="1194">
          <cell r="B1194" t="str">
            <v>ELAD009ST00002</v>
          </cell>
          <cell r="C1194" t="str">
            <v xml:space="preserve">PG 19 PVC cable gland </v>
          </cell>
          <cell r="D1194" t="str">
            <v xml:space="preserve">PG 19 PVC cable gland </v>
          </cell>
          <cell r="E1194"/>
          <cell r="F1194"/>
        </row>
        <row r="1195">
          <cell r="B1195" t="str">
            <v>ELAD012ST00002</v>
          </cell>
          <cell r="C1195" t="str">
            <v xml:space="preserve">PG 25 PVC cable gland </v>
          </cell>
          <cell r="D1195" t="str">
            <v xml:space="preserve">PG 25 PVC cable gland </v>
          </cell>
          <cell r="E1195"/>
          <cell r="F1195"/>
        </row>
        <row r="1196">
          <cell r="B1196" t="str">
            <v>CIMC011LR00000</v>
          </cell>
          <cell r="C1196" t="str">
            <v>LRTU3000</v>
          </cell>
          <cell r="D1196" t="str">
            <v>LRTU3000</v>
          </cell>
          <cell r="E1196" t="str">
            <v>LRTU3000</v>
          </cell>
          <cell r="F1196"/>
        </row>
        <row r="1197">
          <cell r="B1197" t="str">
            <v>CIMC012LR00000</v>
          </cell>
          <cell r="C1197" t="str">
            <v>LRTU1000</v>
          </cell>
          <cell r="D1197" t="str">
            <v>LRTU1000</v>
          </cell>
          <cell r="E1197" t="str">
            <v>LRTU1000</v>
          </cell>
          <cell r="F1197"/>
        </row>
        <row r="1198">
          <cell r="B1198" t="str">
            <v>CIMC013LR00000</v>
          </cell>
          <cell r="C1198" t="str">
            <v>Lora Gateway</v>
          </cell>
          <cell r="D1198" t="str">
            <v>Lora Gateway</v>
          </cell>
          <cell r="E1198" t="str">
            <v>Lora Gateway</v>
          </cell>
          <cell r="F1198"/>
        </row>
        <row r="1199">
          <cell r="B1199" t="str">
            <v>MODN007NA00000</v>
          </cell>
          <cell r="C1199" t="str">
            <v>RS485 TO RS 232 Converter</v>
          </cell>
          <cell r="D1199" t="str">
            <v>ADVM ProtocolConveter RS232 to RS 485</v>
          </cell>
          <cell r="E1199"/>
          <cell r="F1199"/>
        </row>
        <row r="1200">
          <cell r="B1200" t="str">
            <v>ELAB052ST00007</v>
          </cell>
          <cell r="C1200" t="str">
            <v>70 Sq. mm Aluminium Ring type lugs</v>
          </cell>
          <cell r="D1200" t="str">
            <v>70 Sq. mm Aluminium Ring type lugs</v>
          </cell>
          <cell r="E1200"/>
          <cell r="F1200"/>
        </row>
        <row r="1201">
          <cell r="B1201" t="str">
            <v>ELAB059ST00007</v>
          </cell>
          <cell r="C1201" t="str">
            <v>185 Sq. mm Aluminium Ring type lugs</v>
          </cell>
          <cell r="D1201" t="str">
            <v>185 Sq. mm Aluminium Ring type lugs</v>
          </cell>
          <cell r="E1201"/>
          <cell r="F1201"/>
        </row>
        <row r="1202">
          <cell r="B1202" t="str">
            <v>ELAB060ST00007</v>
          </cell>
          <cell r="C1202" t="str">
            <v>240 Sq. mm Aluminium Ring type lugs</v>
          </cell>
          <cell r="D1202" t="str">
            <v>240 Sq. mm Aluminium Ring type lugs</v>
          </cell>
          <cell r="E1202"/>
          <cell r="F1202"/>
        </row>
        <row r="1203">
          <cell r="B1203" t="str">
            <v>PNLA007ST01003</v>
          </cell>
          <cell r="C1203" t="str">
            <v>TCL Panel With RTU6000++</v>
          </cell>
          <cell r="D1203" t="str">
            <v>TCL Panel With RTU6000++</v>
          </cell>
          <cell r="E1203" t="str">
            <v>Standard</v>
          </cell>
          <cell r="F1203"/>
        </row>
        <row r="1204">
          <cell r="B1204" t="str">
            <v>CABC602NA00009</v>
          </cell>
          <cell r="C1204" t="str">
            <v>6 C X 1.5 SQ MM COPPER CONDUCTOR ALUMINIUM ARMORED CABLE</v>
          </cell>
          <cell r="D1204" t="str">
            <v>TCL cable</v>
          </cell>
          <cell r="E1204"/>
          <cell r="F1204"/>
        </row>
        <row r="1205">
          <cell r="B1205" t="str">
            <v>LVLB004NA00001</v>
          </cell>
          <cell r="C1205" t="str">
            <v xml:space="preserve">Ultrasonic Level Transmetter (0-10Mtr) </v>
          </cell>
          <cell r="D1205"/>
          <cell r="E1205"/>
          <cell r="F1205"/>
        </row>
        <row r="1206">
          <cell r="B1206" t="str">
            <v>PRTA016MI00701</v>
          </cell>
          <cell r="C1206" t="str">
            <v xml:space="preserve">Pressure Transmitter 0-16 Bar with Display unit
</v>
          </cell>
          <cell r="D1206"/>
          <cell r="E1206"/>
          <cell r="F1206"/>
        </row>
        <row r="1207">
          <cell r="B1207" t="str">
            <v>MOVC008MA02100</v>
          </cell>
          <cell r="C1207" t="str">
            <v>300 mm Actuator With Butterfly  Valve</v>
          </cell>
          <cell r="D1207" t="str">
            <v>300 mm Actuator With Butterfly  Valve</v>
          </cell>
          <cell r="E1207"/>
          <cell r="F1207"/>
        </row>
        <row r="1208">
          <cell r="B1208" t="str">
            <v>ELAD019ST00000</v>
          </cell>
          <cell r="C1208" t="str">
            <v xml:space="preserve">Metal Cable Gland Single comp. 3C*16 Sq.mm Aluminium  Armour cable </v>
          </cell>
          <cell r="D1208" t="str">
            <v xml:space="preserve">Metal Cable Gland Single comp. 3C*16 Sq.mm Aluminium  Armour cable </v>
          </cell>
          <cell r="E1208" t="str">
            <v>STANDARD</v>
          </cell>
          <cell r="F1208"/>
        </row>
        <row r="1209">
          <cell r="B1209" t="str">
            <v>ELAD020ST00000</v>
          </cell>
          <cell r="C1209" t="str">
            <v xml:space="preserve">Metal Cable Gland Single comp. 3C*70 Sq.mm Aluminium  Armour cable </v>
          </cell>
          <cell r="D1209" t="str">
            <v xml:space="preserve">Metal Cable Gland Single comp. 3C*70 Sq.mm Aluminium  Armour cable </v>
          </cell>
          <cell r="E1209" t="str">
            <v>STANDARD</v>
          </cell>
          <cell r="F1209"/>
        </row>
        <row r="1210">
          <cell r="B1210" t="str">
            <v>ELAD021ST00000</v>
          </cell>
          <cell r="C1210" t="str">
            <v xml:space="preserve">Metal Cable Gland Single comp. 3C*185 Sq.mm Aluminium  Armour cable </v>
          </cell>
          <cell r="D1210" t="str">
            <v xml:space="preserve">Metal Cable Gland Single comp. 3C*185 Sq.mm Aluminium  Armour cable </v>
          </cell>
          <cell r="E1210" t="str">
            <v>STANDARD</v>
          </cell>
          <cell r="F1210"/>
        </row>
        <row r="1211">
          <cell r="B1211" t="str">
            <v>ELAD022ST00000</v>
          </cell>
          <cell r="C1211" t="str">
            <v xml:space="preserve">Metal Cable Gland Single comp. 3C*240 Sq.mm Aluminium  Armour cable </v>
          </cell>
          <cell r="D1211" t="str">
            <v xml:space="preserve">Metal Cable Gland Single comp. 3C*240 Sq.mm Aluminium  Armour cable </v>
          </cell>
          <cell r="E1211" t="str">
            <v>STANDARD</v>
          </cell>
          <cell r="F1211"/>
        </row>
        <row r="1212">
          <cell r="B1212" t="str">
            <v>PPAO027CC03900</v>
          </cell>
          <cell r="C1212" t="str">
            <v>75 HP cimcon make VFD starter (Model CDI-G075T4)</v>
          </cell>
          <cell r="D1212" t="str">
            <v>75 HP cimcon make VFD starter (Model CDI-G075T4)</v>
          </cell>
          <cell r="E1212"/>
          <cell r="F1212"/>
        </row>
        <row r="1213">
          <cell r="B1213" t="str">
            <v>ELAB001ST00000</v>
          </cell>
          <cell r="C1213" t="str">
            <v>Indoor  type, Heat shrinkable cable termination Kit for HT  11 KV ,armour  aluminium cable 3C*70Sq. mm</v>
          </cell>
          <cell r="D1213" t="str">
            <v>Indoor  type, Heat shrinkable cable termination Kit for HT  11 KV ,armour  aluminium cable 3C*70Sq. mm</v>
          </cell>
          <cell r="E1213"/>
          <cell r="F1213"/>
        </row>
        <row r="1214">
          <cell r="B1214" t="str">
            <v>ELAY006ST00000</v>
          </cell>
          <cell r="C1214" t="str">
            <v>O-ring</v>
          </cell>
          <cell r="D1214"/>
          <cell r="E1214"/>
          <cell r="F1214"/>
        </row>
        <row r="1215">
          <cell r="B1215" t="str">
            <v>PPAO011NA04000</v>
          </cell>
          <cell r="C1215" t="str">
            <v xml:space="preserve">Soft starter 7.5 HP </v>
          </cell>
          <cell r="D1215" t="str">
            <v xml:space="preserve">Soft starter 7.5 HP </v>
          </cell>
          <cell r="E1215"/>
          <cell r="F1215"/>
        </row>
        <row r="1216">
          <cell r="B1216" t="str">
            <v>PPAO012NA04000</v>
          </cell>
          <cell r="C1216" t="str">
            <v xml:space="preserve">Soft starter 10 HP </v>
          </cell>
          <cell r="D1216" t="str">
            <v xml:space="preserve">Soft starter 10 HP </v>
          </cell>
          <cell r="E1216"/>
          <cell r="F1216"/>
        </row>
        <row r="1217">
          <cell r="B1217" t="str">
            <v>PPAO013NA04000</v>
          </cell>
          <cell r="C1217" t="str">
            <v xml:space="preserve">Soft starter 12.5 HP </v>
          </cell>
          <cell r="D1217" t="str">
            <v xml:space="preserve">Soft starter 12.5 HP </v>
          </cell>
          <cell r="E1217"/>
          <cell r="F1217"/>
        </row>
        <row r="1218">
          <cell r="B1218" t="str">
            <v>PPAO014NA04000</v>
          </cell>
          <cell r="C1218" t="str">
            <v xml:space="preserve">Soft starter 15 HP </v>
          </cell>
          <cell r="D1218" t="str">
            <v xml:space="preserve">Soft starter 15 HP </v>
          </cell>
          <cell r="E1218"/>
          <cell r="F1218"/>
        </row>
        <row r="1219">
          <cell r="B1219" t="str">
            <v>PPAO015NA04000</v>
          </cell>
          <cell r="C1219" t="str">
            <v xml:space="preserve">Soft starter  17.5 HP </v>
          </cell>
          <cell r="D1219" t="str">
            <v xml:space="preserve">Soft starter  17.5 HP </v>
          </cell>
          <cell r="E1219"/>
          <cell r="F1219"/>
        </row>
        <row r="1220">
          <cell r="B1220" t="str">
            <v>PPAO016NA04000</v>
          </cell>
          <cell r="C1220" t="str">
            <v xml:space="preserve">Soft starter 20 HP </v>
          </cell>
          <cell r="D1220" t="str">
            <v xml:space="preserve">Soft starter 20 HP </v>
          </cell>
          <cell r="E1220"/>
          <cell r="F1220"/>
        </row>
        <row r="1221">
          <cell r="B1221" t="str">
            <v>PPAO017NA04000</v>
          </cell>
          <cell r="C1221" t="str">
            <v xml:space="preserve">Soft starter 25 HP </v>
          </cell>
          <cell r="D1221" t="str">
            <v xml:space="preserve">Soft starter 25 HP </v>
          </cell>
          <cell r="E1221"/>
          <cell r="F1221"/>
        </row>
        <row r="1222">
          <cell r="B1222" t="str">
            <v>PPAO018NA04000</v>
          </cell>
          <cell r="C1222" t="str">
            <v xml:space="preserve">Soft starter 30 HP </v>
          </cell>
          <cell r="D1222" t="str">
            <v xml:space="preserve">Soft starter 30 HP </v>
          </cell>
          <cell r="E1222"/>
          <cell r="F1222"/>
        </row>
        <row r="1223">
          <cell r="B1223" t="str">
            <v>PPAO019NA04000</v>
          </cell>
          <cell r="C1223" t="str">
            <v xml:space="preserve">Soft starter 40 HP </v>
          </cell>
          <cell r="D1223" t="str">
            <v xml:space="preserve">Soft starter 40 HP </v>
          </cell>
          <cell r="E1223"/>
          <cell r="F1223"/>
        </row>
        <row r="1224">
          <cell r="B1224" t="str">
            <v>PPAO020NA04000</v>
          </cell>
          <cell r="C1224" t="str">
            <v xml:space="preserve">Soft starter 50 HP </v>
          </cell>
          <cell r="D1224" t="str">
            <v xml:space="preserve">Soft starter 50 HP </v>
          </cell>
          <cell r="E1224"/>
          <cell r="F1224"/>
        </row>
        <row r="1225">
          <cell r="B1225" t="str">
            <v>PPAO021NA04001</v>
          </cell>
          <cell r="C1225" t="str">
            <v xml:space="preserve">Soft starter 60 HP </v>
          </cell>
          <cell r="D1225" t="str">
            <v xml:space="preserve">Soft starter 60 HP </v>
          </cell>
          <cell r="E1225"/>
          <cell r="F1225"/>
        </row>
        <row r="1226">
          <cell r="B1226" t="str">
            <v>MISD207NA00000</v>
          </cell>
          <cell r="C1226" t="str">
            <v>Split AC 1.5 Ton  (air conditioner) with stabilizer</v>
          </cell>
          <cell r="D1226" t="str">
            <v>Split AC 1.5 Ton  (air conditioner)  with stabilizer</v>
          </cell>
        </row>
        <row r="1227">
          <cell r="B1227" t="str">
            <v>ELAD023ST00000</v>
          </cell>
          <cell r="C1227" t="str">
            <v xml:space="preserve">Metal Cable Gland Double comp. 3C*70 Sq.mm Aluminium  Armour cable </v>
          </cell>
          <cell r="D1227" t="str">
            <v xml:space="preserve">Metal Cable Gland Double comp. 3C*70 Sq.mm Aluminium  Armour cable </v>
          </cell>
          <cell r="E1227" t="str">
            <v>STANDARD</v>
          </cell>
        </row>
        <row r="1228">
          <cell r="B1228" t="str">
            <v>ELAD024ST00000</v>
          </cell>
          <cell r="C1228" t="str">
            <v xml:space="preserve">Metal Cable Gland Double comp. 3C*185 Sq.mm Aluminium  Armour cable </v>
          </cell>
          <cell r="D1228" t="str">
            <v xml:space="preserve">Metal Cable Gland Double comp. 3C*185 Sq.mm Aluminium  Armour cable </v>
          </cell>
          <cell r="E1228" t="str">
            <v>STANDARD</v>
          </cell>
        </row>
        <row r="1229">
          <cell r="B1229" t="str">
            <v>ELAD025ST00000</v>
          </cell>
          <cell r="C1229" t="str">
            <v xml:space="preserve">Metal Cable Gland Double  comp. 3C*240 Sq.mm Aluminium  Armour cable </v>
          </cell>
          <cell r="D1229" t="str">
            <v xml:space="preserve">Metal Cable Gland Double  comp. 3C*240 Sq.mm Aluminium  Armour cable </v>
          </cell>
          <cell r="E1229" t="str">
            <v>STANDARD</v>
          </cell>
        </row>
        <row r="1230">
          <cell r="B1230" t="str">
            <v>PLAI001ST00000</v>
          </cell>
          <cell r="C1230" t="str">
            <v>Thread Teflon Tape (PTFE)</v>
          </cell>
          <cell r="D1230" t="str">
            <v>Thread Teflon Tape (PTFE)</v>
          </cell>
          <cell r="E1230" t="str">
            <v>STANDARD</v>
          </cell>
        </row>
        <row r="1231">
          <cell r="B1231" t="str">
            <v>MODM008SC00500</v>
          </cell>
          <cell r="C1231" t="str">
            <v>USB to RS485 Converter (RJ 45 to USB A)</v>
          </cell>
          <cell r="D1231" t="str">
            <v xml:space="preserve"> USB to RS485 Converter (RJ 45 to USB A) , TCSMCNAM3M002P, USB to RS485</v>
          </cell>
        </row>
        <row r="1232">
          <cell r="B1232" t="str">
            <v>PLAN009ST00000</v>
          </cell>
          <cell r="C1232" t="str">
            <v xml:space="preserve">GI Bushing 1/2 " to 3/8" </v>
          </cell>
          <cell r="D1232" t="str">
            <v xml:space="preserve">GI Bushing 1/2 " to 3/8" </v>
          </cell>
        </row>
        <row r="1233">
          <cell r="B1233" t="str">
            <v>CIME006AB00000</v>
          </cell>
          <cell r="C1233" t="str">
            <v>iEdge RTU platform with application development</v>
          </cell>
          <cell r="D1233" t="str">
            <v>iEdge RTU platform with application development</v>
          </cell>
          <cell r="E1233" t="str">
            <v>CIMCON</v>
          </cell>
        </row>
        <row r="1234">
          <cell r="B1234" t="str">
            <v>MISB026KR00000</v>
          </cell>
          <cell r="C1234" t="str">
            <v xml:space="preserve">COMMISSSIONING SPARE FOR SOLAR SALT RTU  Panel System </v>
          </cell>
          <cell r="D1234" t="str">
            <v>Compact panel 1) ULT (0-10Mtr)(2) PT 0-16 Bar -05 nos. (3) EM- 8 Nos. (4) Copper cable 2C, 6C and 10 c x 1.5, sq mm etc. (Lot)</v>
          </cell>
        </row>
        <row r="1235">
          <cell r="B1235" t="str">
            <v>CIMA005NA00000</v>
          </cell>
          <cell r="C1235" t="str">
            <v>NBiOT SLC</v>
          </cell>
          <cell r="D1235" t="str">
            <v>NBiOT SLC</v>
          </cell>
        </row>
        <row r="1236">
          <cell r="B1236" t="str">
            <v>CIMA006NA00000</v>
          </cell>
          <cell r="C1236" t="str">
            <v>LCDCU</v>
          </cell>
          <cell r="D1236" t="str">
            <v>LCDCU</v>
          </cell>
        </row>
        <row r="1237">
          <cell r="B1237" t="str">
            <v>ITAI003CI00000</v>
          </cell>
          <cell r="C1237" t="str">
            <v>RS 232 to RS 485 Convertor</v>
          </cell>
          <cell r="D1237" t="str">
            <v>RS 232 to RS 485 Convertor</v>
          </cell>
          <cell r="E1237" t="str">
            <v>CIMCON</v>
          </cell>
        </row>
        <row r="1238">
          <cell r="B1238" t="str">
            <v>CIMC017AB00000</v>
          </cell>
          <cell r="C1238" t="str">
            <v>GPS MODEM</v>
          </cell>
          <cell r="D1238" t="str">
            <v>GPS MODEM</v>
          </cell>
          <cell r="E1238" t="str">
            <v>CIMCON</v>
          </cell>
        </row>
        <row r="1239">
          <cell r="B1239" t="str">
            <v>CIMC018AB00000</v>
          </cell>
          <cell r="C1239" t="str">
            <v>GPS Modem(Graylogix)</v>
          </cell>
          <cell r="D1239" t="str">
            <v>GPS Modem(Graylogix)</v>
          </cell>
          <cell r="E1239" t="str">
            <v>CIMCON</v>
          </cell>
        </row>
        <row r="1240">
          <cell r="B1240" t="str">
            <v>CIMC019AB00000</v>
          </cell>
          <cell r="C1240" t="str">
            <v>GSM MODEM SIM900</v>
          </cell>
          <cell r="D1240" t="str">
            <v>GSM MODEM SIM900</v>
          </cell>
          <cell r="E1240" t="str">
            <v>CIMCON</v>
          </cell>
        </row>
        <row r="1241">
          <cell r="B1241" t="str">
            <v>CIMC020AB00000</v>
          </cell>
          <cell r="C1241" t="str">
            <v>iFPC3000</v>
          </cell>
          <cell r="D1241" t="str">
            <v>iFPC3000</v>
          </cell>
          <cell r="E1241" t="str">
            <v>CIMCON</v>
          </cell>
        </row>
        <row r="1242">
          <cell r="B1242" t="str">
            <v>CIMC021AB00000</v>
          </cell>
          <cell r="C1242" t="str">
            <v>iPMU4000 With Memory</v>
          </cell>
          <cell r="D1242" t="str">
            <v>iPMU4000 With Memory</v>
          </cell>
          <cell r="E1242" t="str">
            <v>CIMCON</v>
          </cell>
        </row>
        <row r="1243">
          <cell r="B1243" t="str">
            <v>CIMC022AB00000</v>
          </cell>
          <cell r="C1243" t="str">
            <v>iRTU1000 V2</v>
          </cell>
          <cell r="D1243" t="str">
            <v>iRTU1000 V2</v>
          </cell>
          <cell r="E1243" t="str">
            <v>CIMCON</v>
          </cell>
        </row>
        <row r="1244">
          <cell r="B1244" t="str">
            <v>CIMC023AB00000</v>
          </cell>
          <cell r="C1244" t="str">
            <v>iRTU3000-A</v>
          </cell>
          <cell r="D1244" t="str">
            <v>iRTU3000-A</v>
          </cell>
          <cell r="E1244" t="str">
            <v>CIMCON</v>
          </cell>
        </row>
        <row r="1245">
          <cell r="B1245" t="str">
            <v>CIMC024AB00000</v>
          </cell>
          <cell r="C1245" t="str">
            <v>iSLC-10 V2 With GSM</v>
          </cell>
          <cell r="D1245" t="str">
            <v>iSLC-10 V2 With GSM</v>
          </cell>
          <cell r="E1245" t="str">
            <v>CIMCON</v>
          </cell>
        </row>
        <row r="1246">
          <cell r="B1246" t="str">
            <v>CIMC025AB00000</v>
          </cell>
          <cell r="C1246" t="str">
            <v>iRTU6000</v>
          </cell>
          <cell r="D1246" t="str">
            <v>iRTU6000</v>
          </cell>
          <cell r="E1246" t="str">
            <v>CIMCON</v>
          </cell>
        </row>
        <row r="1247">
          <cell r="B1247" t="str">
            <v>CIMC026AB00000</v>
          </cell>
          <cell r="C1247" t="str">
            <v>iSLC-10 V2 With GSM</v>
          </cell>
          <cell r="D1247" t="str">
            <v>iSLC-10 V2 With GSM</v>
          </cell>
          <cell r="E1247" t="str">
            <v>CIMCON</v>
          </cell>
        </row>
        <row r="1248">
          <cell r="B1248" t="str">
            <v>CIMC027AB00000</v>
          </cell>
          <cell r="C1248" t="str">
            <v>RF Reapeter</v>
          </cell>
          <cell r="D1248" t="str">
            <v>RF Reapeter</v>
          </cell>
          <cell r="E1248" t="str">
            <v>CIMCON</v>
          </cell>
        </row>
        <row r="1249">
          <cell r="B1249" t="str">
            <v>CIMA007NA00000</v>
          </cell>
          <cell r="C1249" t="str">
            <v>EM meter</v>
          </cell>
          <cell r="D1249" t="str">
            <v>EM Meter</v>
          </cell>
          <cell r="E1249" t="str">
            <v>CIMCON</v>
          </cell>
        </row>
        <row r="1250">
          <cell r="B1250" t="str">
            <v>ELAU203NA00000</v>
          </cell>
          <cell r="C1250" t="str">
            <v xml:space="preserve">Earthing GI Plate 600*600*3 mm </v>
          </cell>
          <cell r="D1250" t="str">
            <v xml:space="preserve">Earthing GI Plate 600*600*3 mm </v>
          </cell>
        </row>
        <row r="1251">
          <cell r="B1251" t="str">
            <v>ELAU108NA00000</v>
          </cell>
          <cell r="C1251" t="str">
            <v>Earhing Pit cover</v>
          </cell>
          <cell r="D1251" t="str">
            <v>Earhing Pit cover</v>
          </cell>
        </row>
        <row r="1252">
          <cell r="B1252" t="str">
            <v>ELAU109NA00000</v>
          </cell>
          <cell r="C1252" t="str">
            <v>GI strip 25*5 mm</v>
          </cell>
          <cell r="D1252" t="str">
            <v>GI strip 25*5 mm</v>
          </cell>
        </row>
        <row r="1253">
          <cell r="B1253" t="str">
            <v>ELAU204NA00000</v>
          </cell>
          <cell r="C1253" t="str">
            <v>Charkol solid</v>
          </cell>
          <cell r="D1253" t="str">
            <v>Charkol solid</v>
          </cell>
        </row>
        <row r="1254">
          <cell r="B1254" t="str">
            <v>ELAU000NA00000</v>
          </cell>
          <cell r="C1254" t="str">
            <v>Rock Salt</v>
          </cell>
          <cell r="D1254" t="str">
            <v>Rock Salt</v>
          </cell>
        </row>
        <row r="1255">
          <cell r="B1255" t="str">
            <v>PPAAL000061910</v>
          </cell>
          <cell r="C1255" t="str">
            <v>PANEL MOUNTING CLAMP POLE MOUNTING TYPE FOR PROJECT 6191 SINGLE PHASE PANEL AS PER DRAWING</v>
          </cell>
        </row>
        <row r="1256">
          <cell r="B1256" t="str">
            <v>CABF402NA00006</v>
          </cell>
          <cell r="C1256" t="str">
            <v xml:space="preserve"> 4 Core * 1.5 Sq, mm  Flexible Cable</v>
          </cell>
          <cell r="D1256" t="str">
            <v xml:space="preserve"> 4 Core * 1.5 Sq, mm  Flexible Cable</v>
          </cell>
        </row>
        <row r="1257">
          <cell r="B1257" t="str">
            <v>MISA017NA00000</v>
          </cell>
          <cell r="C1257" t="str">
            <v xml:space="preserve">400 RL PLC PANLE outdoor type (for 9 Nos AT Valve and 1 Nos. ULT ) </v>
          </cell>
          <cell r="D1257" t="str">
            <v xml:space="preserve">400 RL PLC PANLE outdoor type (for 9 Nos AT Valve and 1 Nos. ULT ) </v>
          </cell>
        </row>
        <row r="1258">
          <cell r="B1258" t="str">
            <v xml:space="preserve">PLAX201SP00600	</v>
          </cell>
          <cell r="C1258" t="str">
            <v>FRP DRUM 100 LTR FOR CHLORINE DOSING With 5 mm Thickness and 8 KG Weight</v>
          </cell>
          <cell r="D1258" t="str">
            <v>FRP DRUM 100 LTR FOR CHLORINE DOSING With 5 mm Thickness and 8 KG Weight</v>
          </cell>
          <cell r="E1258" t="str">
            <v>Spectron Roto Plast</v>
          </cell>
        </row>
        <row r="1261">
          <cell r="B1261" t="str">
            <v>PNLB007NA00404</v>
          </cell>
          <cell r="C1261" t="str">
            <v>RTU 600++, + 1 SCADA PANEL provision 2 Pump, 4 ACT , 1 ULT,1 Nos Chlorine and 3 Nos, PT provision</v>
          </cell>
        </row>
        <row r="1262">
          <cell r="B1262" t="str">
            <v>PNQB008NA00005</v>
          </cell>
          <cell r="C1262" t="str">
            <v xml:space="preserve">Wiman Modem Outdoor type panel 1 PT and 1 Chlorine sensor provision </v>
          </cell>
        </row>
        <row r="1263">
          <cell r="B1263" t="str">
            <v>MISAC000CI00000</v>
          </cell>
          <cell r="C1263" t="str">
            <v>Mini RTU+Energy meter+AC Relay with Base+ DC Relay with Base</v>
          </cell>
          <cell r="D1263" t="str">
            <v>Mini RTU+Energy meter+AC Relay with Base+ DC Relay with Base</v>
          </cell>
          <cell r="E1263" t="str">
            <v>CIMCON</v>
          </cell>
        </row>
        <row r="1264">
          <cell r="B1264" t="str">
            <v>WQAO001NN00501</v>
          </cell>
          <cell r="C1264" t="str">
            <v>pH sensor with in built transmitter and Flow Cell with 4-20 mA output and RS-485 Output with IP68 Rating, PPS/ABS/PVC Body</v>
          </cell>
          <cell r="D1264" t="str">
            <v>pH sensor with in built transmitter and Flow Cell with 4-20 mA output and RS-485 Output with IP68 Rating, PPS/ABS/PVC Body</v>
          </cell>
          <cell r="E1264" t="str">
            <v>NOBO</v>
          </cell>
        </row>
        <row r="1265">
          <cell r="B1265" t="str">
            <v>SERE201NA10000</v>
          </cell>
          <cell r="C1265" t="str">
            <v xml:space="preserve">ELECTROMAGENTIC FLOW METER CALIBRATION SERVICES FOR 100 MM DIA. FLOW METER </v>
          </cell>
        </row>
        <row r="1266">
          <cell r="B1266" t="str">
            <v>SERT201NA10000</v>
          </cell>
          <cell r="C1266" t="str">
            <v xml:space="preserve">ELECTROMAGENTIC FLOW METER TEST SERVICES FOR 100 MM DIA. FLOW METER </v>
          </cell>
        </row>
        <row r="1267">
          <cell r="B1267" t="str">
            <v>SERT216NA10001</v>
          </cell>
          <cell r="C1267" t="str">
            <v>Ph SENSOR TRANSMITTER IP TEST SERVICES</v>
          </cell>
          <cell r="D1267" t="str">
            <v>PH SENSOR TRANSMITTER 3RD PARTY LAB IP68 SERVICES</v>
          </cell>
        </row>
        <row r="1268">
          <cell r="B1268" t="str">
            <v>ITSC0140600000</v>
          </cell>
          <cell r="C1268" t="str">
            <v>Mobile App (android/iOS)</v>
          </cell>
          <cell r="D1268" t="str">
            <v>Mobile App (android/iOS)</v>
          </cell>
          <cell r="E1268" t="str">
            <v>Cimcon</v>
          </cell>
        </row>
        <row r="1269">
          <cell r="B1269" t="str">
            <v>PLAC015ST00013</v>
          </cell>
          <cell r="C1269" t="str">
            <v>Bolt - M10 X 75 - STAINLESS STEEL, with Nut and washer</v>
          </cell>
          <cell r="D1269" t="str">
            <v>Bolt - M10 X 75 - STAINLESS STEEL, with Nut and washer</v>
          </cell>
          <cell r="E1269" t="str">
            <v>Standard</v>
          </cell>
        </row>
        <row r="1270">
          <cell r="B1270" t="str">
            <v>PNLAB012NA0001</v>
          </cell>
          <cell r="C1270" t="str">
            <v xml:space="preserve">HT HFSR Soft starter panel  </v>
          </cell>
          <cell r="D1270" t="str">
            <v xml:space="preserve">HT HFSR Soft starter panel  </v>
          </cell>
        </row>
        <row r="1271">
          <cell r="B1271" t="str">
            <v>PNLAB012NA0002</v>
          </cell>
          <cell r="C1271" t="str">
            <v>HT SOF Spare 6.6 KV incommer Panel</v>
          </cell>
          <cell r="D1271" t="str">
            <v>HT SOF Spare 6.6 KV incommer Panel</v>
          </cell>
        </row>
        <row r="1272">
          <cell r="B1272" t="str">
            <v>PNLAB012NA0003</v>
          </cell>
          <cell r="C1272" t="str">
            <v>HT SOF Spare 6.6 KV Motor Feeder Panel</v>
          </cell>
          <cell r="D1272" t="str">
            <v>HT SOF Spare 6.6 KV Motor Feeder Panel</v>
          </cell>
        </row>
        <row r="1273">
          <cell r="B1273" t="str">
            <v>AMRB025ST00000</v>
          </cell>
          <cell r="C1273" t="str">
            <v>BATTERY OPERATED ULTRASONIC WATER METER WITH LORA MODEM 25 MM DIA.</v>
          </cell>
          <cell r="E1273" t="str">
            <v>STANDARD</v>
          </cell>
        </row>
        <row r="1274">
          <cell r="B1274" t="str">
            <v>ITAP101BR05000</v>
          </cell>
          <cell r="C1274" t="str">
            <v>Brother DCP-L3560CDW  Printer</v>
          </cell>
          <cell r="D1274" t="str">
            <v>Brother DCP-L3560CDW  Printer</v>
          </cell>
          <cell r="E1274" t="str">
            <v>Brother</v>
          </cell>
        </row>
        <row r="1275">
          <cell r="B1275" t="str">
            <v>CIMB004AB00000</v>
          </cell>
          <cell r="C1275" t="str">
            <v>iRTU9000</v>
          </cell>
          <cell r="D1275" t="str">
            <v xml:space="preserve">iRTU9000 for GMDA </v>
          </cell>
          <cell r="E1275" t="str">
            <v>cimcon</v>
          </cell>
        </row>
        <row r="1276">
          <cell r="B1276" t="str">
            <v>CIMB028AB00000</v>
          </cell>
          <cell r="C1276" t="str">
            <v>edge RTU for GMDA (4 ETHERNET 1 gHZ, 5g &amp; 4g MODEM, WIFI, BLUE TOOTH, GPS, FO, RS-485 WITH IOS</v>
          </cell>
          <cell r="D1276" t="str">
            <v>edge RTU for GMDA</v>
          </cell>
          <cell r="E1276" t="str">
            <v>CIMCON</v>
          </cell>
        </row>
        <row r="1277">
          <cell r="B1277" t="str">
            <v>EFMR012CM00003</v>
          </cell>
          <cell r="C1277" t="str">
            <v>40 mm Electromagnetic flow meter with Remote display and cable 20 m length</v>
          </cell>
          <cell r="D1277" t="str">
            <v>40 mm Electromagnetic flow meter with Remote display and cable 20 m length</v>
          </cell>
          <cell r="E1277" t="str">
            <v>cimcon</v>
          </cell>
        </row>
        <row r="1278">
          <cell r="B1278" t="str">
            <v>EFMR001CM00003</v>
          </cell>
          <cell r="C1278" t="str">
            <v>50 mm Electromagnetic flow meter with Remote display and cable 20 m length</v>
          </cell>
          <cell r="D1278" t="str">
            <v>50 mm Electromagnetic flow meter with Remote display and cable 20 m length</v>
          </cell>
          <cell r="E1278" t="str">
            <v>cimcon</v>
          </cell>
        </row>
        <row r="1279">
          <cell r="B1279" t="str">
            <v>EFMR003CM00003</v>
          </cell>
          <cell r="C1279" t="str">
            <v>80 mm Electromagnetic flow meter with Remote display and cable 20 m length</v>
          </cell>
          <cell r="D1279" t="str">
            <v>80 mm Electromagnetic flow meter with Remote display and cable 20 m length</v>
          </cell>
          <cell r="E1279" t="str">
            <v>cimcon</v>
          </cell>
        </row>
        <row r="1280">
          <cell r="B1280" t="str">
            <v>EFMR004CM00003</v>
          </cell>
          <cell r="C1280" t="str">
            <v>100 mm Electromagnetic flow meter with Remote display and cable 20 m length</v>
          </cell>
          <cell r="D1280" t="str">
            <v>100 mm Electromagnetic flow meter with Remote display and cable 20 m length</v>
          </cell>
          <cell r="E1280" t="str">
            <v>cimcon</v>
          </cell>
        </row>
        <row r="1281">
          <cell r="B1281" t="str">
            <v>EFMR006CM00003</v>
          </cell>
          <cell r="C1281" t="str">
            <v>150 mm Electromagnetic flow meter with Remote display and cable 20 m length</v>
          </cell>
          <cell r="D1281" t="str">
            <v>150 mm Electromagnetic flow meter with Remote display and cable 20 m length</v>
          </cell>
          <cell r="E1281" t="str">
            <v>cimcon</v>
          </cell>
        </row>
        <row r="1282">
          <cell r="B1282" t="str">
            <v>EFMR007CM00003</v>
          </cell>
          <cell r="C1282" t="str">
            <v>200 mm Electromagnetic flow meter  with Remote display and cable 20 m length</v>
          </cell>
          <cell r="D1282" t="str">
            <v>200 mm Electromagnetic flow meter  with Remote display and cable 20 m length</v>
          </cell>
          <cell r="E1282" t="str">
            <v>cimcon</v>
          </cell>
        </row>
        <row r="1283">
          <cell r="B1283" t="str">
            <v>EFMR008CM00003</v>
          </cell>
          <cell r="C1283" t="str">
            <v>250 mm Electromagnetic flow meter with Remote display and cable 20 m length</v>
          </cell>
          <cell r="D1283" t="str">
            <v>250 mm Electromagnetic flow meter with Remote display and cable 20 m length</v>
          </cell>
          <cell r="E1283" t="str">
            <v>cimcon</v>
          </cell>
        </row>
        <row r="1284">
          <cell r="B1284" t="str">
            <v>EFMR009CM00003</v>
          </cell>
          <cell r="C1284" t="str">
            <v>300 mm Electromagnetic flow meter with Remote display and cable 20 m length</v>
          </cell>
          <cell r="D1284" t="str">
            <v>300 mm Electromagnetic flow meter with Remote display and cable 20 m length</v>
          </cell>
          <cell r="E1284" t="str">
            <v>cimcon</v>
          </cell>
        </row>
        <row r="1285">
          <cell r="B1285" t="str">
            <v>EFMR010CM00003</v>
          </cell>
          <cell r="C1285" t="str">
            <v>350 mm Electromagnetic flow meter with Remote display and cable 20 m length</v>
          </cell>
          <cell r="D1285" t="str">
            <v>350 mm Electromagnetic flow meter with Remote display and cable 20 m length</v>
          </cell>
          <cell r="E1285" t="str">
            <v>cimcon</v>
          </cell>
        </row>
        <row r="1286">
          <cell r="B1286" t="str">
            <v>EFMR011CM00003</v>
          </cell>
          <cell r="C1286" t="str">
            <v>400 mm Electromagnetic flow meter with Remote display and cable 20 m length</v>
          </cell>
          <cell r="D1286" t="str">
            <v>400 mm Electromagnetic flow meter with Remote display and cable 20 m length</v>
          </cell>
          <cell r="E1286" t="str">
            <v>cimcon</v>
          </cell>
        </row>
        <row r="1287">
          <cell r="B1287" t="str">
            <v>EFMR013CM00003</v>
          </cell>
          <cell r="C1287" t="str">
            <v>600 mm Electromagnetic flow meter with Remote display and cable 20 m length</v>
          </cell>
          <cell r="D1287" t="str">
            <v>600 mm Electromagnetic flow meter with Remote display and cable 20 m length</v>
          </cell>
          <cell r="E1287" t="str">
            <v>cimcon</v>
          </cell>
        </row>
        <row r="1288">
          <cell r="B1288" t="str">
            <v>EFMR014CM00003</v>
          </cell>
          <cell r="C1288" t="str">
            <v>900 mm Electromagnetic flow meter with Remote display and cable 20 m length</v>
          </cell>
          <cell r="D1288" t="str">
            <v>900 mm Electromagnetic flow meter with Remote display and cable 20 m length</v>
          </cell>
          <cell r="E1288" t="str">
            <v>cimcon</v>
          </cell>
        </row>
        <row r="1289">
          <cell r="B1289" t="str">
            <v>LVLB002CI00000</v>
          </cell>
          <cell r="C1289" t="str">
            <v>0-6 METER ULTRASONIC LEVEL SENSOR</v>
          </cell>
          <cell r="D1289" t="str">
            <v>0-6 METER ULTRASONIC LEVEL SENSOR</v>
          </cell>
          <cell r="E1289" t="str">
            <v>cimcon</v>
          </cell>
        </row>
        <row r="1290">
          <cell r="B1290" t="str">
            <v>PRTA016MI00001</v>
          </cell>
          <cell r="C1290" t="str">
            <v>0-16 BAR PRESSURE TRANSMITTER</v>
          </cell>
          <cell r="D1290" t="str">
            <v>Fle</v>
          </cell>
          <cell r="E1290" t="str">
            <v>microsensor</v>
          </cell>
        </row>
        <row r="1291">
          <cell r="B1291" t="str">
            <v>EFMG004AD00000</v>
          </cell>
          <cell r="C1291" t="str">
            <v>Insertion type flow meter  400 mm</v>
          </cell>
          <cell r="D1291" t="str">
            <v>Insertion type flow meter  400 mm</v>
          </cell>
          <cell r="E1291" t="str">
            <v>ADMAAS</v>
          </cell>
        </row>
        <row r="1292">
          <cell r="B1292" t="str">
            <v>EFMG012AD00000</v>
          </cell>
          <cell r="C1292" t="str">
            <v>Insertion type flow meter  1200 mm</v>
          </cell>
          <cell r="D1292" t="str">
            <v>Insertion type flow meter  1200 mm</v>
          </cell>
          <cell r="E1292" t="str">
            <v>ADMAAS</v>
          </cell>
        </row>
        <row r="1293">
          <cell r="B1293" t="str">
            <v>EFMG013AD00000</v>
          </cell>
          <cell r="C1293" t="str">
            <v>Insertion type flow meter  1300 mm</v>
          </cell>
          <cell r="D1293" t="str">
            <v>Insertion type flow meter  1300 mm</v>
          </cell>
          <cell r="E1293" t="str">
            <v>ADMAAS</v>
          </cell>
        </row>
        <row r="1294">
          <cell r="B1294" t="str">
            <v>MOVI001CA02304</v>
          </cell>
          <cell r="C1294" t="str">
            <v>40MM flow control valve</v>
          </cell>
          <cell r="D1294" t="str">
            <v>40MM flow control valve</v>
          </cell>
          <cell r="E1294" t="str">
            <v>CAIR</v>
          </cell>
        </row>
        <row r="1295">
          <cell r="B1295" t="str">
            <v>MOVI002CA02304</v>
          </cell>
          <cell r="C1295" t="str">
            <v>50MM flow control valve</v>
          </cell>
          <cell r="D1295" t="str">
            <v>50MM flow control valve</v>
          </cell>
          <cell r="E1295" t="str">
            <v>PR</v>
          </cell>
        </row>
        <row r="1296">
          <cell r="B1296" t="str">
            <v>MOVI003CA02304</v>
          </cell>
          <cell r="C1296" t="str">
            <v>80MM flow control valve</v>
          </cell>
          <cell r="D1296" t="str">
            <v>80MM flow control valve</v>
          </cell>
          <cell r="E1296" t="str">
            <v>PR</v>
          </cell>
        </row>
        <row r="1297">
          <cell r="B1297" t="str">
            <v>MOVI004CA02304</v>
          </cell>
          <cell r="C1297" t="str">
            <v>100MM flow control valve</v>
          </cell>
          <cell r="D1297" t="str">
            <v>100MM flow control valve</v>
          </cell>
          <cell r="E1297" t="str">
            <v>PR</v>
          </cell>
        </row>
        <row r="1298">
          <cell r="B1298" t="str">
            <v>MOVI006CA02304</v>
          </cell>
          <cell r="C1298" t="str">
            <v>150MM flow control valve</v>
          </cell>
          <cell r="D1298" t="str">
            <v>150MM flow control valve</v>
          </cell>
          <cell r="E1298" t="str">
            <v>PR</v>
          </cell>
        </row>
        <row r="1299">
          <cell r="B1299" t="str">
            <v>MOVI007CA02304</v>
          </cell>
          <cell r="C1299" t="str">
            <v>200MM flow control valve</v>
          </cell>
          <cell r="D1299" t="str">
            <v>200MM flow control valve</v>
          </cell>
          <cell r="E1299" t="str">
            <v>PR</v>
          </cell>
        </row>
        <row r="1300">
          <cell r="B1300" t="str">
            <v>MOVI008CA02304</v>
          </cell>
          <cell r="C1300" t="str">
            <v>250MM flow control valve</v>
          </cell>
          <cell r="D1300" t="str">
            <v>250MM flow control valve</v>
          </cell>
          <cell r="E1300" t="str">
            <v>PR</v>
          </cell>
        </row>
        <row r="1301">
          <cell r="B1301" t="str">
            <v>MOVI009CA02304</v>
          </cell>
          <cell r="C1301" t="str">
            <v>300MM flow control valve</v>
          </cell>
          <cell r="D1301" t="str">
            <v>300MM flow control valve</v>
          </cell>
          <cell r="E1301" t="str">
            <v>PR</v>
          </cell>
        </row>
        <row r="1302">
          <cell r="B1302" t="str">
            <v>MOVI011CA02304</v>
          </cell>
          <cell r="C1302" t="str">
            <v>400MM flow control valve</v>
          </cell>
          <cell r="D1302" t="str">
            <v>400MM flow control valve</v>
          </cell>
          <cell r="E1302" t="str">
            <v>PR</v>
          </cell>
        </row>
        <row r="1303">
          <cell r="B1303" t="str">
            <v>MOVI013CA02304</v>
          </cell>
          <cell r="C1303" t="str">
            <v>600MM flow control valve</v>
          </cell>
          <cell r="D1303" t="str">
            <v>600MM flow control valve</v>
          </cell>
          <cell r="E1303" t="str">
            <v>PR</v>
          </cell>
        </row>
        <row r="1304">
          <cell r="B1304" t="str">
            <v>MOVI015CA02304</v>
          </cell>
          <cell r="C1304" t="str">
            <v>900 MM flow control valve</v>
          </cell>
          <cell r="D1304" t="str">
            <v>900 MM flow control valve</v>
          </cell>
          <cell r="E1304" t="str">
            <v>PR</v>
          </cell>
        </row>
        <row r="1305">
          <cell r="B1305" t="str">
            <v>MOVB012CA02202</v>
          </cell>
          <cell r="C1305" t="str">
            <v>600mm Sluice valve with actuator and fitting accessoies</v>
          </cell>
          <cell r="D1305" t="str">
            <v>600mm Sluice valve with actuator and fitting accessoies</v>
          </cell>
          <cell r="E1305" t="str">
            <v>CAIR</v>
          </cell>
        </row>
        <row r="1306">
          <cell r="B1306" t="str">
            <v>MOVB014CA02202</v>
          </cell>
          <cell r="C1306" t="str">
            <v>900mm Sluice valve with actuator and fitting accessoies</v>
          </cell>
          <cell r="D1306" t="str">
            <v>900mm Sluice valve with actuator and fitting accessoies</v>
          </cell>
          <cell r="E1306" t="str">
            <v>CAIR</v>
          </cell>
        </row>
        <row r="1307">
          <cell r="B1307" t="str">
            <v>MOVB015CA02202</v>
          </cell>
          <cell r="C1307" t="str">
            <v>1200mm Sluice valve with actuator and fitting accessoies</v>
          </cell>
          <cell r="D1307" t="str">
            <v>1200mm Sluice valve with actuator and fitting accessoies</v>
          </cell>
          <cell r="E1307" t="str">
            <v>CAIR</v>
          </cell>
        </row>
        <row r="1308">
          <cell r="B1308" t="str">
            <v>WQAP000CI00600</v>
          </cell>
          <cell r="C1308" t="str">
            <v>total Dissolved   solids   monitoring   Sensor</v>
          </cell>
          <cell r="D1308" t="str">
            <v>total Dissolved   solids   monitoring   Sensor</v>
          </cell>
          <cell r="E1308" t="str">
            <v>CIMCON</v>
          </cell>
        </row>
        <row r="1309">
          <cell r="B1309" t="str">
            <v>HMIA010UN00003</v>
          </cell>
          <cell r="C1309" t="str">
            <v>10" HMI</v>
          </cell>
          <cell r="D1309" t="str">
            <v>10" HMI</v>
          </cell>
          <cell r="E1309" t="str">
            <v>CIMCON</v>
          </cell>
        </row>
        <row r="1310">
          <cell r="B1310" t="str">
            <v>CABO002NA00008</v>
          </cell>
          <cell r="C1310" t="str">
            <v>FIBER OPTIC CABLE  12 CORE SINGLE MODE</v>
          </cell>
          <cell r="D1310" t="str">
            <v>FIBER OPTIC CABLE  12 CORE SINGLE MODE</v>
          </cell>
          <cell r="E1310" t="str">
            <v>STANDARD</v>
          </cell>
        </row>
        <row r="1311">
          <cell r="B1311" t="str">
            <v>WQAB002NA00400</v>
          </cell>
          <cell r="C1311" t="str">
            <v>TURBIDITY SENSOR &amp; TRANSMITTER 0 TO 4000 NTU</v>
          </cell>
          <cell r="D1311" t="str">
            <v>TURBIDITY SENSOR &amp; TRANSMITTER 0 TO 4000 NTU</v>
          </cell>
        </row>
        <row r="1312">
          <cell r="B1312" t="str">
            <v>MISO004LU00000</v>
          </cell>
          <cell r="C1312" t="str">
            <v>Solar battery charger , 10A@12V/24V DC</v>
          </cell>
          <cell r="D1312" t="str">
            <v>Solar battery charger , 10A@12V/24V DC</v>
          </cell>
        </row>
        <row r="1313">
          <cell r="B1313" t="str">
            <v>CIMB029AB00000</v>
          </cell>
          <cell r="C1313" t="str">
            <v>iRTS10</v>
          </cell>
          <cell r="D1313" t="str">
            <v>iRTS10</v>
          </cell>
          <cell r="E1313" t="str">
            <v>CIMCON</v>
          </cell>
        </row>
        <row r="1314">
          <cell r="B1314" t="str">
            <v>CIMB030AB00000</v>
          </cell>
          <cell r="C1314" t="str">
            <v>FEP</v>
          </cell>
          <cell r="D1314" t="str">
            <v>FEP</v>
          </cell>
          <cell r="E1314" t="str">
            <v>CIMCON</v>
          </cell>
        </row>
        <row r="1315">
          <cell r="B1315" t="str">
            <v>HMI010RE00803</v>
          </cell>
          <cell r="C1315" t="str">
            <v>HMI 10" with ethernet port</v>
          </cell>
          <cell r="D1315" t="str">
            <v>HMI 10" with ethernet port- FP4101TN</v>
          </cell>
          <cell r="E1315" t="str">
            <v>Renu</v>
          </cell>
        </row>
        <row r="1316">
          <cell r="B1316" t="str">
            <v>PLAG000ST00014</v>
          </cell>
          <cell r="C1316" t="str">
            <v>METAL CLAMP for Gateway</v>
          </cell>
          <cell r="D1316" t="str">
            <v>METAL CLAMP for Gateway</v>
          </cell>
          <cell r="E1316" t="str">
            <v>STANDARD</v>
          </cell>
          <cell r="F1316"/>
        </row>
        <row r="1317">
          <cell r="B1317" t="str">
            <v>PPAB007MW04200</v>
          </cell>
          <cell r="C1317" t="str">
            <v>SMPS ,AC-DC,24V, 100-264V In,Enclosed,Commercial,LRS Series</v>
          </cell>
          <cell r="D1317" t="str">
            <v>SMPS ,AC-DC,24V,2.2A 100-264V In,Enclosed,Commercial,LRS Series</v>
          </cell>
          <cell r="E1317" t="str">
            <v>Meanwell</v>
          </cell>
          <cell r="F1317"/>
        </row>
        <row r="1318">
          <cell r="B1318" t="str">
            <v>PNLR006NA00000</v>
          </cell>
          <cell r="C1318" t="str">
            <v>Enclosure for mounting Energy meter , Fuse TB and MCB for electricity board with transparent and sealable cover 250(W)* 500(H)*120 (D)</v>
          </cell>
          <cell r="D1318" t="str">
            <v>Enclosure for mounting Energy meter , Fuse TB and MCB for electricity board with transparent and sealable cover 250(W)* 500(H)*120 (D)</v>
          </cell>
          <cell r="E1318" t="str">
            <v>Standard</v>
          </cell>
        </row>
        <row r="1319">
          <cell r="B1319" t="str">
            <v>EFMF009MI00003</v>
          </cell>
          <cell r="C1319" t="str">
            <v>Electomagnetic Flow meter 300mm with 20 meter cable</v>
          </cell>
          <cell r="D1319" t="str">
            <v>Electomagnetic Flow meter 300mm with 20 meter cable</v>
          </cell>
          <cell r="E1319" t="str">
            <v>Microsensor</v>
          </cell>
        </row>
        <row r="1320">
          <cell r="B1320" t="str">
            <v>EFMF010MI00003</v>
          </cell>
          <cell r="C1320" t="str">
            <v>Electomagnetic Flow meter 350mm with 20 meter cable</v>
          </cell>
          <cell r="D1320" t="str">
            <v>Electomagnetic Flow meter 350mm with 20 meter cable</v>
          </cell>
          <cell r="E1320" t="str">
            <v>Microsensor</v>
          </cell>
        </row>
        <row r="1321">
          <cell r="B1321" t="str">
            <v>CABF203PO00001</v>
          </cell>
          <cell r="C1321" t="str">
            <v>2 Core 1Sq. mm flexible cable</v>
          </cell>
          <cell r="D1321" t="str">
            <v>2 Core 1Sq. mm flexible cable</v>
          </cell>
          <cell r="E1321" t="str">
            <v>Standard</v>
          </cell>
        </row>
        <row r="1322">
          <cell r="B1322" t="str">
            <v>MISA000CI00000</v>
          </cell>
          <cell r="C1322" t="str">
            <v>4204 Flow meter panel</v>
          </cell>
          <cell r="D1322" t="str">
            <v>4204 Flow meter panel</v>
          </cell>
          <cell r="E1322" t="str">
            <v>CIMCON</v>
          </cell>
        </row>
        <row r="1323">
          <cell r="B1323" t="str">
            <v>ITA010XI00000</v>
          </cell>
          <cell r="C1323" t="str">
            <v>75” LED screen</v>
          </cell>
          <cell r="D1323" t="str">
            <v>75” LED screen</v>
          </cell>
          <cell r="E1323" t="str">
            <v>XIAOMI</v>
          </cell>
        </row>
        <row r="1324">
          <cell r="B1324" t="str">
            <v>UPSD411KR01006</v>
          </cell>
          <cell r="C1324" t="str">
            <v>DG SET 50 KVA KOEL IGREEN WITH INBUILT STARTER PANEL</v>
          </cell>
          <cell r="D1324" t="str">
            <v>DG SET 50 KVA KOEL IGREEN WITH INBUILT STARTER PANEL</v>
          </cell>
          <cell r="E1324" t="str">
            <v>KRILOSKAR - KOEL iGREEN</v>
          </cell>
          <cell r="F1324" t="str">
            <v>KG4-58.5WS</v>
          </cell>
        </row>
        <row r="1325">
          <cell r="B1325" t="str">
            <v>ELAU113KA00600</v>
          </cell>
          <cell r="C1325" t="str">
            <v>Early Streamer Emission (ESE) Lightning Rod - 87 meters radius</v>
          </cell>
          <cell r="D1325" t="str">
            <v>Early Streamer Emission (ESE) Lightning Rod - 87 meters radius</v>
          </cell>
          <cell r="E1325" t="str">
            <v>KALRE</v>
          </cell>
          <cell r="F1325" t="str">
            <v>ALR04</v>
          </cell>
        </row>
        <row r="1326">
          <cell r="B1326" t="str">
            <v>PPAC004NA00002</v>
          </cell>
          <cell r="C1326" t="str">
            <v>Cable Duct (100 *60 ) (H *W)</v>
          </cell>
          <cell r="D1326" t="str">
            <v>Cable Duct (100 *60 ) (H *W)</v>
          </cell>
          <cell r="E1326" t="str">
            <v>Standard</v>
          </cell>
        </row>
        <row r="1327">
          <cell r="B1327" t="str">
            <v xml:space="preserve">MOVC005NA00000	</v>
          </cell>
          <cell r="C1327" t="str">
            <v xml:space="preserve">Motorised Butterfly valve with Actuator 150 mm	</v>
          </cell>
          <cell r="D1327" t="str">
            <v xml:space="preserve">Motorised Butterfly valve with Actuator 150 mm	</v>
          </cell>
          <cell r="E1327" t="str">
            <v>CIMCON</v>
          </cell>
        </row>
        <row r="1328">
          <cell r="B1328" t="str">
            <v>MOVC003NA00000</v>
          </cell>
          <cell r="C1328" t="str">
            <v xml:space="preserve">Motorised Butterfly valve with Actuator 100 mm	</v>
          </cell>
          <cell r="D1328" t="str">
            <v xml:space="preserve">Motorised Butterfly valve with Actuator 100 mm	</v>
          </cell>
          <cell r="E1328" t="str">
            <v>CIMCON</v>
          </cell>
        </row>
        <row r="1329">
          <cell r="B1329" t="str">
            <v>PNLP027NA00000</v>
          </cell>
          <cell r="C1329" t="str">
            <v>RTU + ACT + SCADA + Starter panel inlet chamber with 2 HP starter panel</v>
          </cell>
          <cell r="D1329" t="str">
            <v>RTU + ACT + SCADA + Starter panel inlet chamber with 2 HP starter panel</v>
          </cell>
        </row>
        <row r="1330">
          <cell r="B1330" t="str">
            <v>PNLP028NA00000</v>
          </cell>
          <cell r="C1330" t="str">
            <v>RTU + ACT + SCADA + Starter panel inlet chamber with 10 HP +5 HP starter panel</v>
          </cell>
          <cell r="D1330" t="str">
            <v>RTU + ACT + SCADA + Starter panel inlet chamber with 10 HP +5 HP starter panel</v>
          </cell>
        </row>
        <row r="1331">
          <cell r="B1331" t="str">
            <v xml:space="preserve">ITAK017NA00000	</v>
          </cell>
          <cell r="C1331" t="str">
            <v>i3_x000D_8th generation processor(4GB/1TB/DVD writer,17"" Monitor, mouse and key_x000D_board</v>
          </cell>
          <cell r="D1331" t="str">
            <v>i3_x000D_8th generation processor(4GB/1TB/DVD writer,17"" Monitor, mouse and key_x000D_board,</v>
          </cell>
        </row>
        <row r="1332">
          <cell r="B1332" t="str">
            <v>CABF108NA00003</v>
          </cell>
          <cell r="C1332" t="str">
            <v>1C-6 SQ MM FLEXIBLE FRLS CABLE</v>
          </cell>
          <cell r="D1332" t="str">
            <v>1C-6 SQ MM FLEXIBLE FRLS CABLE</v>
          </cell>
        </row>
        <row r="1333">
          <cell r="B1333" t="str">
            <v>ELAP007NA00000</v>
          </cell>
          <cell r="C1333" t="str">
            <v xml:space="preserve">Cable tray 75x50x1.6x mm perforated </v>
          </cell>
          <cell r="D1333" t="str">
            <v xml:space="preserve">Cable tray 75x50x1.6x mm perforated </v>
          </cell>
        </row>
        <row r="1334">
          <cell r="B1334" t="str">
            <v>MISA027KR00000</v>
          </cell>
          <cell r="C1334" t="str">
            <v xml:space="preserve">5268 LCC Kapadvanj </v>
          </cell>
          <cell r="D1334" t="str">
            <v xml:space="preserve">5268 LCC Kapadvanj </v>
          </cell>
          <cell r="E1334" t="str">
            <v>Standrad</v>
          </cell>
        </row>
        <row r="1335">
          <cell r="B1335" t="str">
            <v>PRTA020XT00901</v>
          </cell>
          <cell r="C1335" t="str">
            <v>Pressure transmitter (0-20 Bar)</v>
          </cell>
          <cell r="D1335" t="str">
            <v>Pressure transmitter (0-20 Bar)</v>
          </cell>
          <cell r="E1335" t="str">
            <v>XYT</v>
          </cell>
        </row>
        <row r="1336">
          <cell r="B1336" t="str">
            <v>LVLA005SP00002</v>
          </cell>
          <cell r="C1336" t="str">
            <v xml:space="preserve">Conductivity Level Switch </v>
          </cell>
          <cell r="D1336" t="str">
            <v xml:space="preserve">Conductivity Level Switch </v>
          </cell>
          <cell r="E1336" t="str">
            <v>SAPCON</v>
          </cell>
        </row>
        <row r="1337">
          <cell r="B1337" t="str">
            <v>PNLH002NA00000</v>
          </cell>
          <cell r="C1337" t="str">
            <v>5HP VFD PANEL WITHOUT -VFD FROM VENDOR</v>
          </cell>
          <cell r="D1337" t="str">
            <v>5HP VFD PANEL WITHOUT -VFD FROM VENDOR</v>
          </cell>
        </row>
        <row r="1338">
          <cell r="B1338" t="str">
            <v>PPAO030DE00000</v>
          </cell>
          <cell r="C1338" t="str">
            <v>VFD 7.5 HP - 415 VAC -Delixi</v>
          </cell>
          <cell r="D1338" t="str">
            <v>VFD 7.5 HP - 415 VAC -Delixi</v>
          </cell>
        </row>
        <row r="1339">
          <cell r="B1339" t="str">
            <v>PNLB004NA00300</v>
          </cell>
          <cell r="C1339" t="str">
            <v xml:space="preserve">RTU+4 SCADA PANEL WITH HMI </v>
          </cell>
          <cell r="D1339" t="str">
            <v xml:space="preserve">RTU+4 SCADA PANEL WITH HMI </v>
          </cell>
        </row>
        <row r="1340">
          <cell r="B1340" t="str">
            <v>PNLB003NA00300</v>
          </cell>
          <cell r="C1340" t="str">
            <v xml:space="preserve">RTU+3 SCADA PANEL WITH HMI </v>
          </cell>
          <cell r="D1340" t="str">
            <v xml:space="preserve">RTU+3 SCADA PANEL WITH HMI </v>
          </cell>
        </row>
        <row r="1341">
          <cell r="B1341" t="str">
            <v>ITAH007DE00000</v>
          </cell>
          <cell r="C1341" t="str">
            <v>Dell-Poweredge-Xenon E5-2440 or higher - 1600MT/s RDIMMS or higher 8 GB RDIMM, RAID 5 software or hardware controller compatible 5-1TB 7.2 K RPM near line SAS 6 bps 2.5 in Hot plu hard drive or higher compatible with 23 " TFT monitor</v>
          </cell>
          <cell r="D1341"/>
        </row>
        <row r="1342">
          <cell r="B1342" t="str">
            <v>MISS000BL00000</v>
          </cell>
          <cell r="C1342" t="str">
            <v>Cyber Security Audit (Web Scada Software Cert in Audit)</v>
          </cell>
          <cell r="D1342" t="str">
            <v>Cyber Security Audit (Web Scada Software Cert in Audit)</v>
          </cell>
          <cell r="E1342" t="str">
            <v>Black Box Limited.</v>
          </cell>
        </row>
        <row r="1343">
          <cell r="B1343" t="str">
            <v>ITAF002ST00000</v>
          </cell>
          <cell r="C1343" t="str">
            <v>Laptop:(i5, 12th gen, 16GB RAM,512 SSD, 1TB HDD Display:15")</v>
          </cell>
          <cell r="D1343" t="str">
            <v>Laptop:(i5, 12th gen, 16GB RAM,512 SSD, 1TB HDD Display:15")</v>
          </cell>
          <cell r="E1343" t="str">
            <v>Standard</v>
          </cell>
        </row>
        <row r="1344">
          <cell r="B1344" t="str">
            <v>ITSA0150100000</v>
          </cell>
          <cell r="C1344" t="str">
            <v>MS Office  licensed oftwares 2019</v>
          </cell>
          <cell r="D1344" t="str">
            <v>MS Office  licensed oftwares 2019</v>
          </cell>
        </row>
        <row r="1345">
          <cell r="B1345" t="str">
            <v>ITSO0070000000</v>
          </cell>
          <cell r="C1345" t="str">
            <v>License Windows 10 pro(64bit))</v>
          </cell>
          <cell r="D1345" t="str">
            <v>License Windows 10 pro(64bit))</v>
          </cell>
        </row>
        <row r="1346">
          <cell r="B1346" t="str">
            <v>ITSA0160100000</v>
          </cell>
          <cell r="C1346" t="str">
            <v>Office  licensed softwares 2019</v>
          </cell>
          <cell r="D1346" t="str">
            <v>Office  licensed softwares 2019</v>
          </cell>
        </row>
        <row r="1347">
          <cell r="B1347" t="str">
            <v>MISA210SC02600</v>
          </cell>
          <cell r="C1347" t="str">
            <v>PLC for Intake well- 4203</v>
          </cell>
          <cell r="D1347" t="str">
            <v>PLC for Intake well- 4203</v>
          </cell>
          <cell r="E1347" t="str">
            <v>SChneider</v>
          </cell>
          <cell r="F1347" t="str">
            <v>M241</v>
          </cell>
        </row>
        <row r="1348">
          <cell r="B1348" t="str">
            <v>MISA211SC02600</v>
          </cell>
          <cell r="C1348" t="str">
            <v>PLC for CWPH- 4203</v>
          </cell>
          <cell r="D1348" t="str">
            <v>PLC for CWPH- 4203</v>
          </cell>
          <cell r="E1348" t="str">
            <v>SChneider</v>
          </cell>
          <cell r="F1348" t="str">
            <v>M241</v>
          </cell>
        </row>
        <row r="1349">
          <cell r="B1349" t="str">
            <v>MISA212SC02600</v>
          </cell>
          <cell r="C1349" t="str">
            <v>PLC for Filter House-1 - 4203</v>
          </cell>
          <cell r="D1349" t="str">
            <v>PLC for Filter House-1 - 4203</v>
          </cell>
          <cell r="E1349" t="str">
            <v>SChneider</v>
          </cell>
          <cell r="F1349" t="str">
            <v>M241</v>
          </cell>
        </row>
        <row r="1350">
          <cell r="B1350" t="str">
            <v>MISA213SC02600</v>
          </cell>
          <cell r="C1350" t="str">
            <v>PLC for  Filter House-2 - 4203</v>
          </cell>
          <cell r="D1350" t="str">
            <v>PLC Panel  Filterl House-2 - 4203</v>
          </cell>
          <cell r="E1350" t="str">
            <v>SChneider</v>
          </cell>
          <cell r="F1350" t="str">
            <v>M241</v>
          </cell>
        </row>
        <row r="1351">
          <cell r="B1351" t="str">
            <v>MISA214SC02600</v>
          </cell>
          <cell r="C1351" t="str">
            <v>PLC for Filter House-3 - 4203</v>
          </cell>
          <cell r="D1351" t="str">
            <v>PLC Panel  Filterl House-3 - 4203</v>
          </cell>
          <cell r="E1351" t="str">
            <v>SChneider</v>
          </cell>
          <cell r="F1351" t="str">
            <v>M241</v>
          </cell>
        </row>
        <row r="1352">
          <cell r="B1352" t="str">
            <v>MISA215SC02600</v>
          </cell>
          <cell r="C1352" t="str">
            <v>PLC for Filter House-4 - 4203</v>
          </cell>
          <cell r="D1352" t="str">
            <v>PLC Panel Filterl House-4 - 4203</v>
          </cell>
          <cell r="E1352" t="str">
            <v>SChneider</v>
          </cell>
          <cell r="F1352" t="str">
            <v>M241</v>
          </cell>
        </row>
        <row r="1353">
          <cell r="B1353" t="str">
            <v>MISA216SC02600</v>
          </cell>
          <cell r="C1353" t="str">
            <v>PLC for chemical house - 4203</v>
          </cell>
          <cell r="D1353" t="str">
            <v>PLC for chemical house - 4203</v>
          </cell>
          <cell r="E1353" t="str">
            <v>SChneider</v>
          </cell>
          <cell r="F1353" t="str">
            <v>M241</v>
          </cell>
        </row>
        <row r="1354">
          <cell r="B1354" t="str">
            <v>MISA217SC02600</v>
          </cell>
          <cell r="C1354" t="str">
            <v>PLC for chlorination- 4203</v>
          </cell>
          <cell r="D1354" t="str">
            <v>PLC for chlorination- 4203</v>
          </cell>
          <cell r="E1354" t="str">
            <v>SChneider</v>
          </cell>
          <cell r="F1354" t="str">
            <v>M241</v>
          </cell>
        </row>
        <row r="1355">
          <cell r="B1355" t="str">
            <v>MISA218SC02600</v>
          </cell>
          <cell r="C1355" t="str">
            <v>PLC for DG set - 4203</v>
          </cell>
          <cell r="D1355" t="str">
            <v>PLC for DG set - 4203</v>
          </cell>
          <cell r="E1355" t="str">
            <v>SChneider</v>
          </cell>
          <cell r="F1355" t="str">
            <v>M241</v>
          </cell>
        </row>
        <row r="1356">
          <cell r="B1356" t="str">
            <v>PNLA016ST00000</v>
          </cell>
          <cell r="C1356" t="str">
            <v>PLC  panel for Intake well- 4203</v>
          </cell>
          <cell r="D1356" t="str">
            <v>PLC  panel for Intake well- 4203</v>
          </cell>
          <cell r="E1356" t="str">
            <v>Standard</v>
          </cell>
        </row>
        <row r="1357">
          <cell r="B1357" t="str">
            <v>PNLA017ST00000</v>
          </cell>
          <cell r="C1357" t="str">
            <v>PLC  panel for CWPH- 4203</v>
          </cell>
          <cell r="D1357" t="str">
            <v>PLC  panel for CWPH- 4203</v>
          </cell>
          <cell r="E1357" t="str">
            <v>Standard</v>
          </cell>
        </row>
        <row r="1358">
          <cell r="B1358" t="str">
            <v>PNLA018ST00000</v>
          </cell>
          <cell r="C1358" t="str">
            <v>PLC  panel for Filter House-1 - 4203</v>
          </cell>
          <cell r="D1358" t="str">
            <v>PLC  panel for Filter House-1 - 4203</v>
          </cell>
          <cell r="E1358" t="str">
            <v>Standard</v>
          </cell>
        </row>
        <row r="1359">
          <cell r="B1359" t="str">
            <v>PNLA019ST00000</v>
          </cell>
          <cell r="C1359" t="str">
            <v>PLC  panel for  Filter House-2 - 4203</v>
          </cell>
          <cell r="D1359" t="str">
            <v>PLC  panel for  Filter House-2 - 4203</v>
          </cell>
          <cell r="E1359" t="str">
            <v>Standard</v>
          </cell>
        </row>
        <row r="1360">
          <cell r="B1360" t="str">
            <v>PNLA020ST00000</v>
          </cell>
          <cell r="C1360" t="str">
            <v>PLC Panel for Filter House-3 - 4203</v>
          </cell>
          <cell r="D1360" t="str">
            <v>PLC Panel for Filter House-3 - 4203</v>
          </cell>
          <cell r="E1360" t="str">
            <v>Standard</v>
          </cell>
        </row>
        <row r="1361">
          <cell r="B1361" t="str">
            <v>PNLA021ST00000</v>
          </cell>
          <cell r="C1361" t="str">
            <v>PLC panel for Filter House-4 - 4203</v>
          </cell>
          <cell r="D1361" t="str">
            <v>PLC panel for Filter House-4 - 4203</v>
          </cell>
          <cell r="E1361" t="str">
            <v>Standard</v>
          </cell>
        </row>
        <row r="1362">
          <cell r="B1362" t="str">
            <v>PNLA022ST00000</v>
          </cell>
          <cell r="C1362" t="str">
            <v>PLC Panel for chemical house - 4203</v>
          </cell>
          <cell r="D1362" t="str">
            <v>PLC Panel for chemical house - 4203</v>
          </cell>
          <cell r="E1362" t="str">
            <v>Standard</v>
          </cell>
        </row>
        <row r="1363">
          <cell r="B1363" t="str">
            <v>PNLA023ST00000</v>
          </cell>
          <cell r="C1363" t="str">
            <v>PLC  Panel for chlorination- 4203</v>
          </cell>
          <cell r="D1363" t="str">
            <v>PLC  Panel for chlorination- 4203</v>
          </cell>
          <cell r="E1363" t="str">
            <v>Standard</v>
          </cell>
        </row>
        <row r="1364">
          <cell r="B1364" t="str">
            <v>PNLA024ST00000</v>
          </cell>
          <cell r="C1364" t="str">
            <v>PLC  Panel for DG set - 4203</v>
          </cell>
          <cell r="D1364" t="str">
            <v>PLC  Panel for DG set - 4203</v>
          </cell>
          <cell r="E1364" t="str">
            <v>Standard</v>
          </cell>
        </row>
        <row r="1365">
          <cell r="B1365" t="str">
            <v>PNLA025ST00000</v>
          </cell>
          <cell r="C1365" t="str">
            <v>RTU Panel for Chlariflocculater</v>
          </cell>
          <cell r="D1365" t="str">
            <v>RTU Panel for Chlariflocculater</v>
          </cell>
          <cell r="E1365" t="str">
            <v>Standard</v>
          </cell>
        </row>
        <row r="1366">
          <cell r="B1366" t="str">
            <v>PNLA026ST00000</v>
          </cell>
          <cell r="C1366" t="str">
            <v>Rtu Panel for OHT</v>
          </cell>
          <cell r="D1366" t="str">
            <v>Rtu Panel for OHT</v>
          </cell>
          <cell r="E1366" t="str">
            <v>Standard</v>
          </cell>
        </row>
        <row r="1367">
          <cell r="B1367" t="str">
            <v>ONGB101SA00001</v>
          </cell>
          <cell r="C1367" t="str">
            <v>Coupan with single core 4 sq.mm (min 10 meter)</v>
          </cell>
          <cell r="D1367" t="str">
            <v>Coupan with single core 4 sq.mm (min 10 meter)</v>
          </cell>
          <cell r="E1367" t="str">
            <v>SARK</v>
          </cell>
        </row>
        <row r="1368">
          <cell r="B1368" t="str">
            <v>MISD018NA00000</v>
          </cell>
          <cell r="C1368" t="str">
            <v>SC simplex coupler adapter (Fiber accessories)</v>
          </cell>
          <cell r="D1368" t="str">
            <v>SC simplex coupler adapter (Fiber accessories)</v>
          </cell>
        </row>
        <row r="1369">
          <cell r="B1369" t="str">
            <v>MISD019NA00000</v>
          </cell>
          <cell r="C1369" t="str">
            <v>Adapter panel complete (Fiber Accessories)</v>
          </cell>
          <cell r="D1369" t="str">
            <v>Adapter panel complete (Fiber Accessories)</v>
          </cell>
        </row>
        <row r="1370">
          <cell r="B1370" t="str">
            <v>LVLB007NA00001</v>
          </cell>
          <cell r="C1370" t="str">
            <v>Ultrasonic Level Transmitter0-4 meter</v>
          </cell>
          <cell r="D1370" t="str">
            <v>Ultrasonic Level Transmitter0-4 meter</v>
          </cell>
          <cell r="E1370" t="str">
            <v>CIMCON</v>
          </cell>
        </row>
        <row r="1371">
          <cell r="B1371" t="str">
            <v>LVLB008NA00001</v>
          </cell>
          <cell r="C1371" t="str">
            <v>Ultrasonic Level Transmitter0-3 meter</v>
          </cell>
          <cell r="D1371" t="str">
            <v>Ultrasonic Level Transmitter0-3 meter</v>
          </cell>
          <cell r="E1371" t="str">
            <v>CIMCON</v>
          </cell>
        </row>
        <row r="1372">
          <cell r="B1372" t="str">
            <v>LVLB003CI00001</v>
          </cell>
          <cell r="C1372" t="str">
            <v>ULTRASONIC LEVEL TRANSMITTER 0 TO 8 MTR 2 WIRE 4 TO 20 mA</v>
          </cell>
          <cell r="D1372" t="str">
            <v>ULTRASONIC LEVEL TRANSMITTER 0 TO 8 MTR 2 WIRE 4 TO 20 mA</v>
          </cell>
          <cell r="E1372" t="str">
            <v>CIMCON</v>
          </cell>
        </row>
        <row r="1373">
          <cell r="B1373" t="str">
            <v>LVLC003CI00000</v>
          </cell>
          <cell r="C1373" t="str">
            <v>Radar LEVEL TRANSMITTER 0 TO 4 Mtr - CIMCON make</v>
          </cell>
          <cell r="D1373" t="str">
            <v>Radar LEVEL TRANSMITTER 0 TO 4 Mtr - CIMCON make</v>
          </cell>
          <cell r="E1373" t="str">
            <v>CIMCON</v>
          </cell>
        </row>
        <row r="1374">
          <cell r="B1374" t="str">
            <v>PPAAL000061911</v>
          </cell>
          <cell r="C1374" t="str">
            <v>PANEL MOUNTING CLAMP POLE MOUNTING TYPE FOR PROJECT 6191 SINGLE PHASE PANEL AS PER DRAWING</v>
          </cell>
          <cell r="D1374"/>
          <cell r="E1374" t="str">
            <v>CIMCON</v>
          </cell>
        </row>
        <row r="1375">
          <cell r="B1375" t="str">
            <v>WQAMPT000NA000</v>
          </cell>
          <cell r="C1375" t="str">
            <v>Mutliparameter Transmitter + PH + TDS + TU + DO</v>
          </cell>
          <cell r="D1375" t="str">
            <v>Multiparameter water quality transmitter with PH + TDS + Turbidity + DO sensor</v>
          </cell>
          <cell r="E1375" t="str">
            <v>CIMCON</v>
          </cell>
        </row>
        <row r="1376">
          <cell r="B1376" t="str">
            <v>WQAMPT001NA000</v>
          </cell>
          <cell r="C1376" t="str">
            <v>Mutliparameter Transmitter + PH + TDS + TU + DO + RCA</v>
          </cell>
          <cell r="D1376" t="str">
            <v>Multiparameter water quality transmitter with PH + TDS + Turbidity + DO sensor + Residual chlorine sensor</v>
          </cell>
          <cell r="E1376" t="str">
            <v>CIMCON</v>
          </cell>
        </row>
        <row r="1377">
          <cell r="B1377" t="str">
            <v>WQAMPT002NA000</v>
          </cell>
          <cell r="C1377" t="str">
            <v>Mutliparameter Transmitter + PH + TDS + TU + RCA</v>
          </cell>
          <cell r="D1377" t="str">
            <v>Multiparameter water quality transmitter with PH + TDS + Turbidity + Residual chlorine sensor</v>
          </cell>
          <cell r="E1377" t="str">
            <v>CIMCON</v>
          </cell>
        </row>
        <row r="1378">
          <cell r="B1378" t="str">
            <v>PNLC013ST00000</v>
          </cell>
          <cell r="C1378" t="str">
            <v>RTU+7 SCADA + 1 SINGLE PHASE ACT PANEL</v>
          </cell>
          <cell r="D1378" t="str">
            <v>RTU+7 SCADA + 1 SINGLE PHASE ACT PANEL</v>
          </cell>
        </row>
        <row r="1379">
          <cell r="B1379" t="str">
            <v>PNLC014ST00000</v>
          </cell>
          <cell r="C1379" t="str">
            <v>RTU+4 SCADA + 10 SINGLE PHASE ACT PANEL</v>
          </cell>
          <cell r="D1379" t="str">
            <v>RTU+4 SCADA + 10 SINGLE PHASE ACT PANEL</v>
          </cell>
        </row>
        <row r="1380">
          <cell r="B1380" t="str">
            <v>ITAD012NA04500</v>
          </cell>
          <cell r="C1380" t="str">
            <v>laptop  Intel Core i7, 15.6-inch touch screen, 16GB RAM, 1TB SSD, Windows 11 Pro, and Bluetooth with a 200m range.</v>
          </cell>
          <cell r="D1380" t="str">
            <v>laptop  Intel Core i7, 15.6-inch touch screen, 16GB RAM, 1TB SSD, Windows 11 Pro, and Bluetooth with a 200m range.</v>
          </cell>
        </row>
        <row r="1381">
          <cell r="B1381" t="str">
            <v>MOVB006CA00000</v>
          </cell>
          <cell r="C1381" t="str">
            <v>200mm Modulating Sluice valve with actuator</v>
          </cell>
          <cell r="D1381" t="str">
            <v>200mm Modulating Sluice valve with actuator</v>
          </cell>
          <cell r="E1381" t="str">
            <v>CAIR</v>
          </cell>
        </row>
        <row r="1382">
          <cell r="B1382" t="str">
            <v>MOVM005CA00000</v>
          </cell>
          <cell r="C1382" t="str">
            <v xml:space="preserve">150 mm Modulating Flow control device valve  </v>
          </cell>
          <cell r="D1382" t="str">
            <v xml:space="preserve">150 mm Modulating Flow control device valve  </v>
          </cell>
          <cell r="E1382" t="str">
            <v>CAIR</v>
          </cell>
        </row>
        <row r="1383">
          <cell r="B1383" t="str">
            <v>MISD208CI00000</v>
          </cell>
          <cell r="C1383" t="str">
            <v>VIBit Wi-Fi VIBit Tr-Axial Vibration, temp and audio sensor</v>
          </cell>
          <cell r="D1383" t="str">
            <v>VIBit Wi-Fi VIBit Tr-Axial Vibration, temp and audio sensor</v>
          </cell>
          <cell r="E1383" t="str">
            <v>Cimcon</v>
          </cell>
        </row>
        <row r="1384">
          <cell r="B1384" t="str">
            <v>SERB001CI00000</v>
          </cell>
          <cell r="C1384" t="str">
            <v>Vibration sensor installation and commissioning work</v>
          </cell>
          <cell r="D1384" t="str">
            <v>Vibration sensor installation and commissioning work</v>
          </cell>
          <cell r="E1384" t="str">
            <v>Cimcon</v>
          </cell>
        </row>
        <row r="1385">
          <cell r="B1385" t="str">
            <v>CIMF029AB00000</v>
          </cell>
          <cell r="C1385" t="str">
            <v>iRTS-20 , GSM BASE DATA LOGGER FOR COMPUTERISED  TEST  STATION UNIT (CTSU)</v>
          </cell>
          <cell r="D1385" t="str">
            <v>iRTS -20 , GSM BASE DATA LOGGER FOR COMPUTERISED  TEST  STATION UNIT (CTSU)</v>
          </cell>
          <cell r="E1385" t="str">
            <v>Cimcon</v>
          </cell>
        </row>
        <row r="1386">
          <cell r="B1386" t="str">
            <v>ELAD013NA00000</v>
          </cell>
          <cell r="C1386" t="str">
            <v>PG 29 PVC Gland</v>
          </cell>
          <cell r="D1386" t="str">
            <v>PG 29 PVC Gland</v>
          </cell>
          <cell r="E1386" t="str">
            <v>Standard</v>
          </cell>
        </row>
        <row r="1387">
          <cell r="B1387" t="str">
            <v>CABF162PO00009</v>
          </cell>
          <cell r="C1387" t="str">
            <v xml:space="preserve">12C*1Sq mm XLPE Insulated Copper Conductor Industrial Armour Cables </v>
          </cell>
          <cell r="D1387" t="str">
            <v xml:space="preserve">12C*1Sq mm XLPE Insulated Copper Conductor Industrial Armour Cables </v>
          </cell>
          <cell r="E1387" t="str">
            <v>Polycab</v>
          </cell>
        </row>
        <row r="1388">
          <cell r="B1388" t="str">
            <v>MISI003MS00000</v>
          </cell>
          <cell r="C1388" t="str">
            <v>Transducer AC to DC</v>
          </cell>
          <cell r="D1388" t="str">
            <v>Transducer AC to DC</v>
          </cell>
          <cell r="E1388" t="str">
            <v>Multispan/ Masibus</v>
          </cell>
        </row>
        <row r="1389">
          <cell r="B1389" t="str">
            <v>CABC500PO00002</v>
          </cell>
          <cell r="C1389" t="str">
            <v>1 Pair x 0.75 sq mm, twisted pair, FR Type, with Al. mylar tape (White Positive, Blue Negative), GI armored cable</v>
          </cell>
          <cell r="D1389" t="str">
            <v>1 Pair x 0.75 sq mm, twisted pair, FR Type, with Al. mylar tape (White Positive, Blue Negative), GI armored cable</v>
          </cell>
          <cell r="E1389" t="str">
            <v>Polycab</v>
          </cell>
        </row>
        <row r="1390">
          <cell r="B1390" t="str">
            <v>CABC509PO00002</v>
          </cell>
          <cell r="C1390" t="str">
            <v>2 Pair x 0.75 sq mm, twisted pair, FR Type, with Al. mylar tape (White Positive, Blue Negative), GI armored cable</v>
          </cell>
          <cell r="D1390" t="str">
            <v>2 Pair x 0.75 sq mm, twisted pair, FR Type, with Al. mylar tape (White Positive, Blue Negative), GI armored cable</v>
          </cell>
          <cell r="E1390" t="str">
            <v>Polycab</v>
          </cell>
        </row>
        <row r="1391">
          <cell r="B1391" t="str">
            <v>CABC505PO00002</v>
          </cell>
          <cell r="C1391" t="str">
            <v>6 Pair x 0.75 sq mm, twisted pair, FR Type, with Al. mylar tape (White Positive, Blue Negative), GI armored cable</v>
          </cell>
          <cell r="D1391" t="str">
            <v>6 Pair x 0.75 sq mm, twisted pair, FR Type, with Al. mylar tape (White Positive, Blue Negative), GI armored cable</v>
          </cell>
          <cell r="E1391" t="str">
            <v>Polycab</v>
          </cell>
        </row>
        <row r="1392">
          <cell r="B1392" t="str">
            <v>PNLQ004ST00000</v>
          </cell>
          <cell r="C1392" t="str">
            <v>Metal/ ABS/PVC Panel Box  outdoor type , floor ounting ,for pH, Chlorine , Tu and TDS  Flow cell mounting tentative size  (H900*W450*D150mm)</v>
          </cell>
          <cell r="D1392" t="str">
            <v>Metal/ ABS/PVC Panel Box  outdoor type , floor ounting ,for pH, Chlorine , Tu and TDS  Flow cell mounting tentative size  (H900*W450*D150mm)</v>
          </cell>
          <cell r="E1392" t="str">
            <v>Standard</v>
          </cell>
        </row>
        <row r="1393">
          <cell r="B1393" t="str">
            <v>ELAS002ST00000</v>
          </cell>
          <cell r="C1393" t="str">
            <v xml:space="preserve">5A 3 PIN TOP (pack of 2) Three Pin Plug </v>
          </cell>
          <cell r="D1393" t="str">
            <v xml:space="preserve">5A 3 PIN TOP (pack of 2) Three Pin Plug </v>
          </cell>
          <cell r="E1393" t="str">
            <v>STANDARD</v>
          </cell>
        </row>
        <row r="1394">
          <cell r="B1394" t="str">
            <v>MISD020RI00000</v>
          </cell>
          <cell r="C1394" t="str">
            <v>RD6018W DC Power Supply Variable Adjustable Module Buck Converter Voltmeter Multimeter 60V 18A 1080W- RD6018- RS2723</v>
          </cell>
          <cell r="D1394"/>
        </row>
        <row r="1395">
          <cell r="B1395" t="str">
            <v>PNLN001ST00000</v>
          </cell>
          <cell r="C1395" t="str">
            <v>100 AMP Change Over switch X 2 nos Qty</v>
          </cell>
          <cell r="D1395" t="str">
            <v>100 AMP Change over switch with panel 500 X 500 gland hole 32 mm</v>
          </cell>
        </row>
        <row r="1396">
          <cell r="B1396" t="str">
            <v>PPAO017CI00000</v>
          </cell>
          <cell r="C1396" t="str">
            <v>VFD 25 HP  rating (Delixi)</v>
          </cell>
          <cell r="D1396" t="str">
            <v>VFD 25 HP  rating (Delixi)</v>
          </cell>
          <cell r="E1396" t="str">
            <v>Cimcon</v>
          </cell>
        </row>
        <row r="1397">
          <cell r="B1397" t="str">
            <v>PNLH006ST00000</v>
          </cell>
          <cell r="C1397" t="str">
            <v xml:space="preserve">25HP VFD Panel enclosure with accessories </v>
          </cell>
          <cell r="D1397" t="str">
            <v xml:space="preserve">25HP VFD Panel enclosure with accessories </v>
          </cell>
          <cell r="E1397" t="str">
            <v>Standard</v>
          </cell>
        </row>
        <row r="1398">
          <cell r="B1398" t="str">
            <v>CABC510PO00007</v>
          </cell>
          <cell r="C1398" t="str">
            <v xml:space="preserve">2 Pair x 1 sq.mm as per IS 694 copper Shielded twisted, multistranded armoured cablew on </v>
          </cell>
          <cell r="D1398" t="str">
            <v xml:space="preserve">2 Pair x 1 sq.mm as per IS 694 copper Shielded twisted, multistranded armoured cablew on </v>
          </cell>
          <cell r="E1398" t="str">
            <v>Polycab</v>
          </cell>
        </row>
        <row r="1399">
          <cell r="B1399" t="str">
            <v>MISD089NG00000</v>
          </cell>
          <cell r="C1399" t="str">
            <v>25 HP VFD, Enclosure panel with accessories</v>
          </cell>
          <cell r="D1399" t="str">
            <v>25 HP VFD, Enclosure panel with accessories</v>
          </cell>
          <cell r="E1399" t="str">
            <v>Cimcon</v>
          </cell>
        </row>
        <row r="1400">
          <cell r="B1400" t="str">
            <v>PRTA010ST00005</v>
          </cell>
          <cell r="C1400" t="str">
            <v>Pressure transmitter 0 to 10 bar , BAttery operated with GSM/GPRS</v>
          </cell>
          <cell r="D1400" t="str">
            <v>Pressure transmitter 0 to 10 bar , BAttery operated with GSM/GPRS</v>
          </cell>
        </row>
        <row r="1401">
          <cell r="B1401" t="str">
            <v>PLCA002SC02200</v>
          </cell>
          <cell r="C1401" t="str">
            <v>CONTROLLER M241-40IO Tr.PNP Ethernet</v>
          </cell>
          <cell r="D1401" t="str">
            <v>CONTROLLER M241-40IO Tr.PNP Ethernet</v>
          </cell>
          <cell r="E1401" t="str">
            <v>SCHNIEDER</v>
          </cell>
        </row>
        <row r="1402">
          <cell r="B1402" t="str">
            <v>PLCC004SC02300</v>
          </cell>
          <cell r="C1402" t="str">
            <v>MODULE TM3-32 INPUTS HE10</v>
          </cell>
          <cell r="D1402" t="str">
            <v>MODULE TM3-32 INPUTS HE10</v>
          </cell>
          <cell r="E1402" t="str">
            <v>SCHNIEDER</v>
          </cell>
        </row>
        <row r="1403">
          <cell r="B1403" t="str">
            <v>PLCE003SC02400</v>
          </cell>
          <cell r="C1403" t="str">
            <v>MODULE TM3-16 OUT TR.PNP</v>
          </cell>
          <cell r="D1403" t="str">
            <v>MODULE TM3-16 OUT TR.PNP</v>
          </cell>
          <cell r="E1403" t="str">
            <v>SCHNIEDER</v>
          </cell>
        </row>
        <row r="1404">
          <cell r="B1404" t="str">
            <v>PLCD003SC02500</v>
          </cell>
          <cell r="C1404" t="str">
            <v>MODULE TM3-8 ANALOG INPUTS SPRING</v>
          </cell>
          <cell r="D1404" t="str">
            <v>MODULE TM3-8 ANALOG INPUTS SPRING</v>
          </cell>
          <cell r="E1404" t="str">
            <v>SCHNIEDER</v>
          </cell>
        </row>
        <row r="1405">
          <cell r="B1405" t="str">
            <v>HMIA012SC00905</v>
          </cell>
          <cell r="C1405" t="str">
            <v>12"W Easy Touch Panel, Ethernet model</v>
          </cell>
          <cell r="D1405" t="str">
            <v>12"W Easy Touch Panel, Ethernet model</v>
          </cell>
          <cell r="E1405" t="str">
            <v>SCHNIEDER</v>
          </cell>
        </row>
        <row r="1406">
          <cell r="B1406" t="str">
            <v>HMIA007SC01005</v>
          </cell>
          <cell r="C1406" t="str">
            <v>7"W Easy Touch Panel, Ethernet model</v>
          </cell>
          <cell r="D1406" t="str">
            <v>7"W Easy Touch Panel, Ethernet model</v>
          </cell>
          <cell r="E1406" t="str">
            <v>SCHNIEDER</v>
          </cell>
        </row>
        <row r="1407">
          <cell r="B1407" t="str">
            <v>PLCJ001SC02600</v>
          </cell>
          <cell r="C1407" t="str">
            <v>3M CABLE, CNTR FOR EXTENSION, FREE WIRE</v>
          </cell>
          <cell r="D1407" t="str">
            <v>3M CABLE, CNTR FOR EXTENSION, FREE WIRE</v>
          </cell>
          <cell r="E1407" t="str">
            <v>SCHNIEDER</v>
          </cell>
        </row>
        <row r="1408">
          <cell r="B1408" t="str">
            <v>PLCE004SC02700</v>
          </cell>
          <cell r="C1408" t="str">
            <v>MODULE TM3-32 OUT TR.PNP HE10</v>
          </cell>
          <cell r="D1408" t="str">
            <v>MODULE TM3-32 OUT TR.PNP HE10</v>
          </cell>
          <cell r="E1408" t="str">
            <v>SCHNIEDER</v>
          </cell>
        </row>
        <row r="1409">
          <cell r="B1409" t="str">
            <v>PLCD002SC02800</v>
          </cell>
          <cell r="C1409" t="str">
            <v>analog input module, Modicon TM3, 4 inputs, spring, 24V DC, TM3AI4G</v>
          </cell>
          <cell r="D1409" t="str">
            <v>analog input module, Modicon TM3, 4 inputs, spring, 24V DC, TM3AI4G</v>
          </cell>
          <cell r="E1409" t="str">
            <v>SCHNIEDER</v>
          </cell>
        </row>
        <row r="1410">
          <cell r="B1410" t="str">
            <v>PLCO001SC02900</v>
          </cell>
          <cell r="C1410" t="str">
            <v>distributed IO module, Modicon TM3, IP20 optimized bus coupler, Ethernet interface,TM3BCEIP</v>
          </cell>
          <cell r="D1410" t="str">
            <v>distributed IO module, Modicon TM3, IP20 optimized bus coupler, Ethernet interface,TM3BCEIP</v>
          </cell>
          <cell r="E1410" t="str">
            <v>SCHNIEDER</v>
          </cell>
        </row>
        <row r="1411">
          <cell r="B1411" t="str">
            <v>PLCA003SC03000</v>
          </cell>
          <cell r="C1411" t="str">
            <v>controller M200 40 IO transistor SINK+ Ethernet, TM200CE40U</v>
          </cell>
          <cell r="D1411" t="str">
            <v>controller M200 40 IO transistor SINK+ Ethernet, TM200CE40U</v>
          </cell>
          <cell r="E1411" t="str">
            <v>SCHNIEDER</v>
          </cell>
        </row>
        <row r="1412">
          <cell r="B1412" t="str">
            <v>PLCB003SC03100</v>
          </cell>
          <cell r="C1412" t="str">
            <v>STANDARD ISOL DC POWER SUPPLY, BMXCPS2010</v>
          </cell>
          <cell r="D1412" t="str">
            <v>STANDARD ISOL DC POWER SUPPLY, BMXCPS2010</v>
          </cell>
          <cell r="E1412" t="str">
            <v>SCHNIEDER</v>
          </cell>
        </row>
        <row r="1413">
          <cell r="B1413" t="str">
            <v>PLCC002SC03200</v>
          </cell>
          <cell r="C1413" t="str">
            <v>discrete input module, Modicon TM3, 8 inputs, spring, 24V DC, TM3DI8G</v>
          </cell>
          <cell r="D1413" t="str">
            <v>discrete input module, Modicon TM3, 8 inputs, spring, 24V DC, TM3DI8G</v>
          </cell>
          <cell r="E1413" t="str">
            <v>SCHNIEDER</v>
          </cell>
        </row>
        <row r="1414">
          <cell r="B1414" t="str">
            <v>PLCE002SC03300</v>
          </cell>
          <cell r="C1414" t="str">
            <v>discrete output module, Modicon TM3, 8 outputs transistor NPN, screw , TM3DQ8U</v>
          </cell>
          <cell r="D1414" t="str">
            <v>discrete output module, Modicon TM3, 8 outputs transistor NPN, screw , TM3DQ8U</v>
          </cell>
          <cell r="E1414" t="str">
            <v>SCHNIEDER</v>
          </cell>
        </row>
        <row r="1415">
          <cell r="B1415" t="str">
            <v>PLCG001SC03400</v>
          </cell>
          <cell r="C1415" t="str">
            <v>4 slots Eth backplane, BMEXBP0400</v>
          </cell>
          <cell r="D1415" t="str">
            <v>4 slots Eth backplane, BMEXBP0400</v>
          </cell>
          <cell r="E1415" t="str">
            <v>SCHNIEDER</v>
          </cell>
        </row>
        <row r="1416">
          <cell r="B1416" t="str">
            <v>PLCG001SC03500</v>
          </cell>
          <cell r="C1416" t="str">
            <v>8 SLOTS BACKPLANE, BMXXBP0800</v>
          </cell>
          <cell r="D1416" t="str">
            <v>8 SLOTS BACKPLANE, BMXXBP0800</v>
          </cell>
          <cell r="E1416" t="str">
            <v>SCHNIEDER</v>
          </cell>
        </row>
        <row r="1417">
          <cell r="B1417" t="str">
            <v>PLCA004SC03600</v>
          </cell>
          <cell r="C1417" t="str">
            <v>CPU340-20 MODBUS ETHERNET,  BMXP342020</v>
          </cell>
          <cell r="D1417" t="str">
            <v>CPU340-20 MODBUS ETHERNET,  BMXP342020</v>
          </cell>
          <cell r="E1417" t="str">
            <v>SCHNIEDER</v>
          </cell>
        </row>
        <row r="1418">
          <cell r="B1418" t="str">
            <v>PLCC004SC03700</v>
          </cell>
          <cell r="C1418" t="str">
            <v>DIG 32I 24 VDC SINK, BMXDDI3202K</v>
          </cell>
          <cell r="D1418" t="str">
            <v>DIG 32I 24 VDC SINK, BMXDDI3202K</v>
          </cell>
          <cell r="E1418" t="str">
            <v>SCHNIEDER</v>
          </cell>
        </row>
        <row r="1419">
          <cell r="B1419" t="str">
            <v>PLCE004SC03800</v>
          </cell>
          <cell r="C1419" t="str">
            <v>DIG 32Q TRANS SOURCE 0.1A,  BMXDDO3202K</v>
          </cell>
          <cell r="D1419" t="str">
            <v>DIG 32Q TRANS SOURCE 0.1A,  BMXDDO3202K</v>
          </cell>
          <cell r="E1419" t="str">
            <v>SCHNIEDER</v>
          </cell>
        </row>
        <row r="1420">
          <cell r="B1420" t="str">
            <v>PLCJ001SC03900</v>
          </cell>
          <cell r="C1420" t="str">
            <v>FCN 2 X 20 WIRE 3M CABLE, BMXFCW303</v>
          </cell>
          <cell r="D1420" t="str">
            <v>FCN 2 X 20 WIRE 3M CABLE, BMXFCW303</v>
          </cell>
          <cell r="E1420" t="str">
            <v>SCHNIEDER</v>
          </cell>
        </row>
        <row r="1421">
          <cell r="B1421" t="str">
            <v>PLCD003SC04100</v>
          </cell>
          <cell r="C1421" t="str">
            <v>Ana 8 U/I In No Isol Fast,BMXAMI0800</v>
          </cell>
          <cell r="D1421" t="str">
            <v>Ana 8 U/I In No Isol Fast,BMXAMI0800</v>
          </cell>
          <cell r="E1421" t="str">
            <v>SCHNIEDER</v>
          </cell>
        </row>
        <row r="1422">
          <cell r="B1422" t="str">
            <v>PLCI001SC04200</v>
          </cell>
          <cell r="C1422" t="str">
            <v>CAGED TERMINAL STRIP 28 POINTS, BMXFTB2800</v>
          </cell>
          <cell r="D1422" t="str">
            <v>CAGED TERMINAL STRIP 28 POINTS, BMXFTB2800</v>
          </cell>
          <cell r="E1422" t="str">
            <v>SCHNIEDER</v>
          </cell>
        </row>
        <row r="1423">
          <cell r="B1423" t="str">
            <v>PLCE003SC04300</v>
          </cell>
          <cell r="C1423" t="str">
            <v>MODULE TM3-16 OUT TR.NPN,TM3DQ16U</v>
          </cell>
          <cell r="D1423" t="str">
            <v>MODULE TM3-16 OUT TR.NPN,TM3DQ16U</v>
          </cell>
          <cell r="E1423" t="str">
            <v>SCHNIEDER</v>
          </cell>
        </row>
        <row r="1424">
          <cell r="B1424" t="str">
            <v>ITAK018ST00000</v>
          </cell>
          <cell r="C1424" t="str">
            <v>Desktop PC i5 , 12 th GEN CPU , 16 GB RAM, 128 GB SSD , 500 GB HDD, RS232/RS 485 port ,2 RJ port , Keyboard, optical Mouse , 32" TFT color Monitor, Latest Win pro OS, MS and Antivirus</v>
          </cell>
          <cell r="D1424" t="str">
            <v>Desktop PC i5 , 12 th GEN CPU , 16 GB RAM, 128 GB SSD , 500 GB HDD, RS232/RS 485 port ,2 RJ port , Keyboard, optical Mouse , 32" TFT color Monitor, Latest Win pro OS, MS and Antivirus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B9CE2A-F477-4A79-B79C-62835922D685}" name="Table1" displayName="Table1" ref="A1:C2" insertRow="1" insertRowShift="1" totalsRowShown="0" headerRowDxfId="16" dataDxfId="15">
  <autoFilter ref="A1:C2" xr:uid="{03B9CE2A-F477-4A79-B79C-62835922D685}"/>
  <tableColumns count="3">
    <tableColumn id="1" xr3:uid="{81068360-1626-4E38-A098-51CD10D5CE8B}" name="main_category_code" dataDxfId="14"/>
    <tableColumn id="2" xr3:uid="{35F26E31-0038-4AC7-80FF-01F37A16B878}" name="main_category_name" dataDxfId="13"/>
    <tableColumn id="3" xr3:uid="{F87B558F-5A42-4DC4-91B4-0B9B391F65D7}" name="ID" dataDxfId="1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selection activeCell="O31" sqref="O31"/>
    </sheetView>
  </sheetViews>
  <sheetFormatPr defaultColWidth="9.140625" defaultRowHeight="15" x14ac:dyDescent="0.25"/>
  <cols>
    <col min="1" max="1" width="21.7109375" style="8" bestFit="1" customWidth="1"/>
    <col min="2" max="2" width="28" style="8" bestFit="1" customWidth="1"/>
    <col min="3" max="3" width="5" style="8" bestFit="1" customWidth="1"/>
    <col min="4" max="16384" width="9.140625" style="8"/>
  </cols>
  <sheetData>
    <row r="1" spans="1:3" x14ac:dyDescent="0.25">
      <c r="A1" s="1" t="s">
        <v>0</v>
      </c>
      <c r="B1" s="1" t="s">
        <v>1</v>
      </c>
      <c r="C1" s="8" t="s">
        <v>2</v>
      </c>
    </row>
    <row r="2" spans="1:3" x14ac:dyDescent="0.25">
      <c r="A2" s="2"/>
      <c r="B2" s="2"/>
    </row>
    <row r="3" spans="1:3" x14ac:dyDescent="0.25">
      <c r="A3" s="8" t="s">
        <v>3</v>
      </c>
      <c r="B3" s="8" t="s">
        <v>4</v>
      </c>
      <c r="C3" s="8">
        <v>1</v>
      </c>
    </row>
    <row r="4" spans="1:3" x14ac:dyDescent="0.25">
      <c r="A4" s="8" t="s">
        <v>5</v>
      </c>
      <c r="B4" s="8" t="s">
        <v>6</v>
      </c>
      <c r="C4" s="8">
        <v>2</v>
      </c>
    </row>
    <row r="5" spans="1:3" x14ac:dyDescent="0.25">
      <c r="A5" s="8" t="s">
        <v>7</v>
      </c>
      <c r="B5" s="8" t="s">
        <v>8</v>
      </c>
      <c r="C5" s="8">
        <v>3</v>
      </c>
    </row>
    <row r="6" spans="1:3" x14ac:dyDescent="0.25">
      <c r="A6" s="8" t="s">
        <v>9</v>
      </c>
      <c r="B6" s="8" t="s">
        <v>10</v>
      </c>
      <c r="C6" s="8">
        <v>4</v>
      </c>
    </row>
    <row r="7" spans="1:3" x14ac:dyDescent="0.25">
      <c r="A7" s="8" t="s">
        <v>11</v>
      </c>
      <c r="B7" s="8" t="s">
        <v>12</v>
      </c>
      <c r="C7" s="8">
        <v>5</v>
      </c>
    </row>
    <row r="8" spans="1:3" x14ac:dyDescent="0.25">
      <c r="A8" s="8" t="s">
        <v>13</v>
      </c>
      <c r="B8" s="8" t="s">
        <v>14</v>
      </c>
      <c r="C8" s="8">
        <v>6</v>
      </c>
    </row>
    <row r="9" spans="1:3" x14ac:dyDescent="0.25">
      <c r="A9" s="8" t="s">
        <v>15</v>
      </c>
      <c r="B9" s="8" t="s">
        <v>16</v>
      </c>
      <c r="C9" s="8">
        <v>7</v>
      </c>
    </row>
    <row r="10" spans="1:3" x14ac:dyDescent="0.25">
      <c r="A10" s="8" t="s">
        <v>17</v>
      </c>
      <c r="B10" s="8" t="s">
        <v>18</v>
      </c>
      <c r="C10" s="8">
        <v>8</v>
      </c>
    </row>
    <row r="11" spans="1:3" x14ac:dyDescent="0.25">
      <c r="A11" s="8" t="s">
        <v>19</v>
      </c>
      <c r="B11" s="8" t="s">
        <v>20</v>
      </c>
      <c r="C11" s="8">
        <v>9</v>
      </c>
    </row>
    <row r="12" spans="1:3" x14ac:dyDescent="0.25">
      <c r="A12" s="8" t="s">
        <v>21</v>
      </c>
      <c r="B12" s="8" t="s">
        <v>22</v>
      </c>
      <c r="C12" s="8">
        <v>10</v>
      </c>
    </row>
    <row r="13" spans="1:3" x14ac:dyDescent="0.25">
      <c r="A13" s="8" t="s">
        <v>23</v>
      </c>
      <c r="B13" s="8" t="s">
        <v>24</v>
      </c>
      <c r="C13" s="8">
        <v>11</v>
      </c>
    </row>
    <row r="14" spans="1:3" x14ac:dyDescent="0.25">
      <c r="A14" s="8" t="s">
        <v>25</v>
      </c>
      <c r="B14" s="8" t="s">
        <v>26</v>
      </c>
      <c r="C14" s="8">
        <v>12</v>
      </c>
    </row>
    <row r="15" spans="1:3" x14ac:dyDescent="0.25">
      <c r="A15" s="8" t="s">
        <v>27</v>
      </c>
      <c r="B15" s="8" t="s">
        <v>28</v>
      </c>
      <c r="C15" s="8">
        <v>13</v>
      </c>
    </row>
    <row r="16" spans="1:3" x14ac:dyDescent="0.25">
      <c r="A16" s="8" t="s">
        <v>29</v>
      </c>
      <c r="B16" s="8" t="s">
        <v>30</v>
      </c>
      <c r="C16" s="8">
        <v>14</v>
      </c>
    </row>
    <row r="17" spans="1:3" x14ac:dyDescent="0.25">
      <c r="A17" s="8" t="s">
        <v>31</v>
      </c>
      <c r="B17" s="8" t="s">
        <v>32</v>
      </c>
      <c r="C17" s="8">
        <v>15</v>
      </c>
    </row>
    <row r="18" spans="1:3" x14ac:dyDescent="0.25">
      <c r="A18" s="8" t="s">
        <v>33</v>
      </c>
      <c r="B18" s="8" t="s">
        <v>34</v>
      </c>
      <c r="C18" s="8">
        <v>16</v>
      </c>
    </row>
    <row r="19" spans="1:3" x14ac:dyDescent="0.25">
      <c r="A19" s="8" t="s">
        <v>35</v>
      </c>
      <c r="B19" s="8" t="s">
        <v>36</v>
      </c>
      <c r="C19" s="8">
        <v>17</v>
      </c>
    </row>
    <row r="20" spans="1:3" x14ac:dyDescent="0.25">
      <c r="A20" s="8" t="s">
        <v>37</v>
      </c>
      <c r="B20" s="8" t="s">
        <v>38</v>
      </c>
      <c r="C20" s="8">
        <v>18</v>
      </c>
    </row>
    <row r="21" spans="1:3" x14ac:dyDescent="0.25">
      <c r="A21" s="8" t="s">
        <v>39</v>
      </c>
      <c r="B21" s="8" t="s">
        <v>40</v>
      </c>
      <c r="C21" s="8">
        <v>19</v>
      </c>
    </row>
    <row r="22" spans="1:3" x14ac:dyDescent="0.25">
      <c r="A22" s="8" t="s">
        <v>41</v>
      </c>
      <c r="B22" s="8" t="s">
        <v>42</v>
      </c>
      <c r="C22" s="8">
        <v>20</v>
      </c>
    </row>
    <row r="23" spans="1:3" x14ac:dyDescent="0.25">
      <c r="A23" s="8" t="s">
        <v>43</v>
      </c>
      <c r="B23" s="8" t="s">
        <v>44</v>
      </c>
      <c r="C23" s="8">
        <v>21</v>
      </c>
    </row>
    <row r="24" spans="1:3" x14ac:dyDescent="0.25">
      <c r="A24" s="8" t="s">
        <v>45</v>
      </c>
      <c r="B24" s="8" t="s">
        <v>46</v>
      </c>
      <c r="C24" s="8">
        <v>22</v>
      </c>
    </row>
    <row r="25" spans="1:3" x14ac:dyDescent="0.25">
      <c r="A25" s="8" t="s">
        <v>47</v>
      </c>
      <c r="B25" s="8" t="s">
        <v>48</v>
      </c>
      <c r="C25" s="8">
        <v>23</v>
      </c>
    </row>
    <row r="26" spans="1:3" x14ac:dyDescent="0.25">
      <c r="A26" s="8" t="s">
        <v>49</v>
      </c>
      <c r="B26" s="8" t="s">
        <v>50</v>
      </c>
      <c r="C26" s="8">
        <v>24</v>
      </c>
    </row>
    <row r="27" spans="1:3" x14ac:dyDescent="0.25">
      <c r="A27" s="8" t="s">
        <v>51</v>
      </c>
      <c r="B27" s="8" t="s">
        <v>52</v>
      </c>
      <c r="C27" s="8">
        <v>25</v>
      </c>
    </row>
    <row r="28" spans="1:3" x14ac:dyDescent="0.25">
      <c r="A28" s="8" t="s">
        <v>53</v>
      </c>
      <c r="B28" s="8" t="s">
        <v>53</v>
      </c>
      <c r="C28" s="8">
        <v>26</v>
      </c>
    </row>
    <row r="29" spans="1:3" x14ac:dyDescent="0.25">
      <c r="A29" s="8" t="s">
        <v>54</v>
      </c>
      <c r="B29" s="8" t="s">
        <v>55</v>
      </c>
      <c r="C29" s="8">
        <v>27</v>
      </c>
    </row>
    <row r="30" spans="1:3" x14ac:dyDescent="0.25">
      <c r="A30" s="8" t="s">
        <v>56</v>
      </c>
      <c r="B30" s="8" t="s">
        <v>57</v>
      </c>
      <c r="C30" s="8">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33"/>
  <sheetViews>
    <sheetView topLeftCell="A25" workbookViewId="0">
      <selection activeCell="C11" sqref="C11"/>
    </sheetView>
  </sheetViews>
  <sheetFormatPr defaultColWidth="9.140625" defaultRowHeight="15" x14ac:dyDescent="0.25"/>
  <cols>
    <col min="1" max="2" width="19.5703125" style="8" bestFit="1" customWidth="1"/>
    <col min="3" max="3" width="61.7109375" style="12" customWidth="1"/>
    <col min="4" max="4" width="16.85546875" style="8" bestFit="1" customWidth="1"/>
    <col min="5" max="5" width="7" style="8" customWidth="1"/>
    <col min="6" max="16384" width="9.140625" style="8"/>
  </cols>
  <sheetData>
    <row r="1" spans="1:4" x14ac:dyDescent="0.25">
      <c r="A1" s="1" t="s">
        <v>58</v>
      </c>
      <c r="B1" s="1" t="s">
        <v>7616</v>
      </c>
      <c r="C1" s="1" t="s">
        <v>59</v>
      </c>
      <c r="D1" s="1" t="s">
        <v>60</v>
      </c>
    </row>
    <row r="2" spans="1:4" x14ac:dyDescent="0.25">
      <c r="A2" s="8" t="str">
        <f>TEXT(B2,"000")</f>
        <v>010</v>
      </c>
      <c r="B2" s="8" t="s">
        <v>61</v>
      </c>
      <c r="C2" s="12" t="s">
        <v>62</v>
      </c>
      <c r="D2" s="8">
        <v>1</v>
      </c>
    </row>
    <row r="3" spans="1:4" x14ac:dyDescent="0.25">
      <c r="A3" s="8" t="str">
        <f t="shared" ref="A3:A66" si="0">TEXT(B3,"000")</f>
        <v>020</v>
      </c>
      <c r="B3" s="8" t="s">
        <v>63</v>
      </c>
      <c r="C3" s="12" t="s">
        <v>64</v>
      </c>
      <c r="D3" s="8">
        <v>1</v>
      </c>
    </row>
    <row r="4" spans="1:4" x14ac:dyDescent="0.25">
      <c r="A4" s="8" t="str">
        <f t="shared" si="0"/>
        <v>000</v>
      </c>
      <c r="B4" s="8" t="s">
        <v>65</v>
      </c>
      <c r="C4" s="12" t="s">
        <v>66</v>
      </c>
      <c r="D4" s="8">
        <v>3</v>
      </c>
    </row>
    <row r="5" spans="1:4" x14ac:dyDescent="0.25">
      <c r="A5" s="8" t="str">
        <f t="shared" si="0"/>
        <v>003</v>
      </c>
      <c r="B5" s="8" t="s">
        <v>67</v>
      </c>
      <c r="C5" s="12" t="s">
        <v>68</v>
      </c>
      <c r="D5" s="8">
        <v>3</v>
      </c>
    </row>
    <row r="6" spans="1:4" x14ac:dyDescent="0.25">
      <c r="A6" s="8" t="str">
        <f t="shared" si="0"/>
        <v>004</v>
      </c>
      <c r="B6" s="8" t="s">
        <v>69</v>
      </c>
      <c r="C6" s="12" t="s">
        <v>70</v>
      </c>
      <c r="D6" s="8">
        <v>3</v>
      </c>
    </row>
    <row r="7" spans="1:4" x14ac:dyDescent="0.25">
      <c r="A7" s="8" t="str">
        <f t="shared" si="0"/>
        <v>007</v>
      </c>
      <c r="B7" s="8" t="s">
        <v>71</v>
      </c>
      <c r="C7" s="12" t="s">
        <v>72</v>
      </c>
      <c r="D7" s="8">
        <v>3</v>
      </c>
    </row>
    <row r="8" spans="1:4" x14ac:dyDescent="0.25">
      <c r="A8" s="8" t="str">
        <f t="shared" si="0"/>
        <v>010</v>
      </c>
      <c r="B8" s="8" t="s">
        <v>61</v>
      </c>
      <c r="C8" s="12" t="s">
        <v>73</v>
      </c>
      <c r="D8" s="8">
        <v>3</v>
      </c>
    </row>
    <row r="9" spans="1:4" x14ac:dyDescent="0.25">
      <c r="A9" s="8" t="str">
        <f t="shared" si="0"/>
        <v>011</v>
      </c>
      <c r="B9" s="8" t="s">
        <v>74</v>
      </c>
      <c r="C9" s="12" t="s">
        <v>75</v>
      </c>
      <c r="D9" s="8">
        <v>3</v>
      </c>
    </row>
    <row r="10" spans="1:4" x14ac:dyDescent="0.25">
      <c r="A10" s="8" t="str">
        <f t="shared" si="0"/>
        <v>012</v>
      </c>
      <c r="B10" s="8" t="s">
        <v>76</v>
      </c>
      <c r="C10" s="12" t="s">
        <v>77</v>
      </c>
      <c r="D10" s="8">
        <v>3</v>
      </c>
    </row>
    <row r="11" spans="1:4" x14ac:dyDescent="0.25">
      <c r="A11" s="8" t="str">
        <f t="shared" si="0"/>
        <v>005</v>
      </c>
      <c r="B11" s="8" t="s">
        <v>78</v>
      </c>
      <c r="C11" s="12" t="s">
        <v>79</v>
      </c>
      <c r="D11" s="8">
        <v>4</v>
      </c>
    </row>
    <row r="12" spans="1:4" x14ac:dyDescent="0.25">
      <c r="A12" s="8" t="str">
        <f t="shared" si="0"/>
        <v>006</v>
      </c>
      <c r="B12" s="8" t="s">
        <v>80</v>
      </c>
      <c r="C12" s="12" t="s">
        <v>81</v>
      </c>
      <c r="D12" s="8">
        <v>4</v>
      </c>
    </row>
    <row r="13" spans="1:4" x14ac:dyDescent="0.25">
      <c r="A13" s="8" t="str">
        <f t="shared" si="0"/>
        <v>010</v>
      </c>
      <c r="B13" s="8" t="s">
        <v>61</v>
      </c>
      <c r="C13" s="12" t="s">
        <v>62</v>
      </c>
      <c r="D13" s="8">
        <v>4</v>
      </c>
    </row>
    <row r="14" spans="1:4" x14ac:dyDescent="0.25">
      <c r="A14" s="8" t="str">
        <f t="shared" si="0"/>
        <v>016</v>
      </c>
      <c r="B14" s="8" t="s">
        <v>82</v>
      </c>
      <c r="C14" s="12" t="s">
        <v>83</v>
      </c>
      <c r="D14" s="8">
        <v>4</v>
      </c>
    </row>
    <row r="15" spans="1:4" x14ac:dyDescent="0.25">
      <c r="A15" s="8" t="str">
        <f t="shared" si="0"/>
        <v>025</v>
      </c>
      <c r="B15" s="8" t="s">
        <v>84</v>
      </c>
      <c r="C15" s="12" t="s">
        <v>85</v>
      </c>
      <c r="D15" s="8">
        <v>4</v>
      </c>
    </row>
    <row r="16" spans="1:4" x14ac:dyDescent="0.25">
      <c r="A16" s="8" t="str">
        <f t="shared" si="0"/>
        <v>040</v>
      </c>
      <c r="B16" s="8" t="s">
        <v>86</v>
      </c>
      <c r="C16" s="12" t="s">
        <v>87</v>
      </c>
      <c r="D16" s="8">
        <v>4</v>
      </c>
    </row>
    <row r="17" spans="1:4" x14ac:dyDescent="0.25">
      <c r="A17" s="8" t="str">
        <f t="shared" si="0"/>
        <v>060</v>
      </c>
      <c r="B17" s="8" t="s">
        <v>88</v>
      </c>
      <c r="C17" s="12" t="s">
        <v>89</v>
      </c>
      <c r="D17" s="8">
        <v>4</v>
      </c>
    </row>
    <row r="18" spans="1:4" x14ac:dyDescent="0.25">
      <c r="A18" s="8" t="str">
        <f t="shared" si="0"/>
        <v>100</v>
      </c>
      <c r="B18" s="8" t="s">
        <v>90</v>
      </c>
      <c r="C18" s="12" t="s">
        <v>91</v>
      </c>
      <c r="D18" s="8">
        <v>4</v>
      </c>
    </row>
    <row r="19" spans="1:4" x14ac:dyDescent="0.25">
      <c r="A19" s="8" t="str">
        <f t="shared" si="0"/>
        <v>150</v>
      </c>
      <c r="B19" s="8" t="s">
        <v>92</v>
      </c>
      <c r="C19" s="12" t="s">
        <v>93</v>
      </c>
      <c r="D19" s="8">
        <v>4</v>
      </c>
    </row>
    <row r="20" spans="1:4" x14ac:dyDescent="0.25">
      <c r="A20" s="8" t="str">
        <f t="shared" si="0"/>
        <v>000</v>
      </c>
      <c r="B20" s="8" t="s">
        <v>65</v>
      </c>
      <c r="C20" s="12" t="s">
        <v>66</v>
      </c>
      <c r="D20" s="8">
        <v>5</v>
      </c>
    </row>
    <row r="21" spans="1:4" x14ac:dyDescent="0.25">
      <c r="A21" s="8" t="str">
        <f t="shared" si="0"/>
        <v>100</v>
      </c>
      <c r="B21" s="8" t="s">
        <v>90</v>
      </c>
      <c r="C21" s="12" t="s">
        <v>94</v>
      </c>
      <c r="D21" s="8">
        <v>5</v>
      </c>
    </row>
    <row r="22" spans="1:4" x14ac:dyDescent="0.25">
      <c r="A22" s="8" t="str">
        <f t="shared" si="0"/>
        <v>101</v>
      </c>
      <c r="B22" s="8" t="s">
        <v>95</v>
      </c>
      <c r="C22" s="12" t="s">
        <v>96</v>
      </c>
      <c r="D22" s="8">
        <v>5</v>
      </c>
    </row>
    <row r="23" spans="1:4" x14ac:dyDescent="0.25">
      <c r="A23" s="8" t="str">
        <f t="shared" si="0"/>
        <v>102</v>
      </c>
      <c r="B23" s="8" t="s">
        <v>97</v>
      </c>
      <c r="C23" s="12" t="s">
        <v>98</v>
      </c>
      <c r="D23" s="8">
        <v>5</v>
      </c>
    </row>
    <row r="24" spans="1:4" x14ac:dyDescent="0.25">
      <c r="A24" s="8" t="str">
        <f t="shared" si="0"/>
        <v>103</v>
      </c>
      <c r="B24" s="8" t="s">
        <v>99</v>
      </c>
      <c r="C24" s="12" t="s">
        <v>100</v>
      </c>
      <c r="D24" s="8">
        <v>5</v>
      </c>
    </row>
    <row r="25" spans="1:4" x14ac:dyDescent="0.25">
      <c r="A25" s="8" t="str">
        <f t="shared" si="0"/>
        <v>105</v>
      </c>
      <c r="B25" s="8" t="s">
        <v>101</v>
      </c>
      <c r="C25" s="12" t="s">
        <v>102</v>
      </c>
      <c r="D25" s="8">
        <v>5</v>
      </c>
    </row>
    <row r="26" spans="1:4" x14ac:dyDescent="0.25">
      <c r="A26" s="8" t="str">
        <f t="shared" si="0"/>
        <v>310</v>
      </c>
      <c r="B26" s="8" t="s">
        <v>103</v>
      </c>
      <c r="C26" s="12" t="s">
        <v>104</v>
      </c>
      <c r="D26" s="8">
        <v>5</v>
      </c>
    </row>
    <row r="27" spans="1:4" x14ac:dyDescent="0.25">
      <c r="A27" s="8" t="str">
        <f t="shared" si="0"/>
        <v>410</v>
      </c>
      <c r="B27" s="8" t="s">
        <v>105</v>
      </c>
      <c r="C27" s="12" t="s">
        <v>106</v>
      </c>
      <c r="D27" s="8">
        <v>5</v>
      </c>
    </row>
    <row r="28" spans="1:4" x14ac:dyDescent="0.25">
      <c r="A28" s="8" t="str">
        <f t="shared" si="0"/>
        <v>411</v>
      </c>
      <c r="B28" s="8" t="s">
        <v>107</v>
      </c>
      <c r="C28" s="12" t="s">
        <v>108</v>
      </c>
      <c r="D28" s="8">
        <v>5</v>
      </c>
    </row>
    <row r="29" spans="1:4" x14ac:dyDescent="0.25">
      <c r="A29" s="8" t="str">
        <f t="shared" si="0"/>
        <v>501</v>
      </c>
      <c r="B29" s="8" t="s">
        <v>109</v>
      </c>
      <c r="C29" s="12" t="s">
        <v>110</v>
      </c>
      <c r="D29" s="8">
        <v>5</v>
      </c>
    </row>
    <row r="30" spans="1:4" x14ac:dyDescent="0.25">
      <c r="A30" s="8" t="str">
        <f t="shared" si="0"/>
        <v>502</v>
      </c>
      <c r="B30" s="8" t="s">
        <v>111</v>
      </c>
      <c r="C30" s="12" t="s">
        <v>112</v>
      </c>
      <c r="D30" s="8">
        <v>5</v>
      </c>
    </row>
    <row r="31" spans="1:4" x14ac:dyDescent="0.25">
      <c r="A31" s="8" t="str">
        <f t="shared" si="0"/>
        <v>503</v>
      </c>
      <c r="B31" s="8" t="s">
        <v>113</v>
      </c>
      <c r="C31" s="12" t="s">
        <v>114</v>
      </c>
      <c r="D31" s="8">
        <v>5</v>
      </c>
    </row>
    <row r="32" spans="1:4" x14ac:dyDescent="0.25">
      <c r="A32" s="8" t="str">
        <f t="shared" si="0"/>
        <v>504</v>
      </c>
      <c r="B32" s="8" t="s">
        <v>115</v>
      </c>
      <c r="C32" s="12" t="s">
        <v>116</v>
      </c>
      <c r="D32" s="8">
        <v>5</v>
      </c>
    </row>
    <row r="33" spans="1:4" x14ac:dyDescent="0.25">
      <c r="A33" s="8" t="str">
        <f t="shared" si="0"/>
        <v>505</v>
      </c>
      <c r="B33" s="8" t="s">
        <v>117</v>
      </c>
      <c r="C33" s="12" t="s">
        <v>118</v>
      </c>
      <c r="D33" s="8">
        <v>5</v>
      </c>
    </row>
    <row r="34" spans="1:4" x14ac:dyDescent="0.25">
      <c r="A34" s="8" t="str">
        <f t="shared" si="0"/>
        <v>506</v>
      </c>
      <c r="B34" s="8" t="s">
        <v>119</v>
      </c>
      <c r="C34" s="12" t="s">
        <v>120</v>
      </c>
      <c r="D34" s="8">
        <v>5</v>
      </c>
    </row>
    <row r="35" spans="1:4" x14ac:dyDescent="0.25">
      <c r="A35" s="8" t="str">
        <f t="shared" si="0"/>
        <v>101</v>
      </c>
      <c r="B35" s="8" t="s">
        <v>95</v>
      </c>
      <c r="C35" s="12" t="s">
        <v>121</v>
      </c>
      <c r="D35" s="8">
        <v>6</v>
      </c>
    </row>
    <row r="36" spans="1:4" x14ac:dyDescent="0.25">
      <c r="A36" s="8" t="str">
        <f t="shared" si="0"/>
        <v>102</v>
      </c>
      <c r="B36" s="8" t="s">
        <v>97</v>
      </c>
      <c r="C36" s="12" t="s">
        <v>122</v>
      </c>
      <c r="D36" s="8">
        <v>6</v>
      </c>
    </row>
    <row r="37" spans="1:4" x14ac:dyDescent="0.25">
      <c r="A37" s="8" t="str">
        <f t="shared" si="0"/>
        <v>103</v>
      </c>
      <c r="B37" s="8" t="s">
        <v>99</v>
      </c>
      <c r="C37" s="12" t="s">
        <v>123</v>
      </c>
      <c r="D37" s="8">
        <v>6</v>
      </c>
    </row>
    <row r="38" spans="1:4" x14ac:dyDescent="0.25">
      <c r="A38" s="8" t="str">
        <f t="shared" si="0"/>
        <v>104</v>
      </c>
      <c r="B38" s="8" t="s">
        <v>124</v>
      </c>
      <c r="C38" s="12" t="s">
        <v>125</v>
      </c>
      <c r="D38" s="8">
        <v>6</v>
      </c>
    </row>
    <row r="39" spans="1:4" x14ac:dyDescent="0.25">
      <c r="A39" s="8" t="str">
        <f t="shared" si="0"/>
        <v>105</v>
      </c>
      <c r="B39" s="8" t="s">
        <v>101</v>
      </c>
      <c r="C39" s="12" t="s">
        <v>126</v>
      </c>
      <c r="D39" s="8">
        <v>6</v>
      </c>
    </row>
    <row r="40" spans="1:4" x14ac:dyDescent="0.25">
      <c r="A40" s="8" t="str">
        <f t="shared" si="0"/>
        <v>106</v>
      </c>
      <c r="B40" s="8" t="s">
        <v>127</v>
      </c>
      <c r="C40" s="12" t="s">
        <v>128</v>
      </c>
      <c r="D40" s="8">
        <v>6</v>
      </c>
    </row>
    <row r="41" spans="1:4" x14ac:dyDescent="0.25">
      <c r="A41" s="8" t="str">
        <f t="shared" si="0"/>
        <v>107</v>
      </c>
      <c r="B41" s="8" t="s">
        <v>129</v>
      </c>
      <c r="C41" s="12" t="s">
        <v>130</v>
      </c>
      <c r="D41" s="8">
        <v>6</v>
      </c>
    </row>
    <row r="42" spans="1:4" x14ac:dyDescent="0.25">
      <c r="A42" s="8" t="str">
        <f t="shared" si="0"/>
        <v>108</v>
      </c>
      <c r="B42" s="8" t="s">
        <v>131</v>
      </c>
      <c r="C42" s="12" t="s">
        <v>132</v>
      </c>
      <c r="D42" s="8">
        <v>6</v>
      </c>
    </row>
    <row r="43" spans="1:4" x14ac:dyDescent="0.25">
      <c r="A43" s="8" t="str">
        <f t="shared" si="0"/>
        <v>109</v>
      </c>
      <c r="B43" s="8" t="s">
        <v>133</v>
      </c>
      <c r="C43" s="12" t="s">
        <v>132</v>
      </c>
      <c r="D43" s="8">
        <v>6</v>
      </c>
    </row>
    <row r="44" spans="1:4" x14ac:dyDescent="0.25">
      <c r="A44" s="8" t="str">
        <f t="shared" si="0"/>
        <v>110</v>
      </c>
      <c r="B44" s="8" t="s">
        <v>134</v>
      </c>
      <c r="C44" s="12" t="s">
        <v>135</v>
      </c>
      <c r="D44" s="8">
        <v>6</v>
      </c>
    </row>
    <row r="45" spans="1:4" x14ac:dyDescent="0.25">
      <c r="A45" s="8" t="str">
        <f t="shared" si="0"/>
        <v>111</v>
      </c>
      <c r="B45" s="8" t="s">
        <v>136</v>
      </c>
      <c r="C45" s="12" t="s">
        <v>137</v>
      </c>
      <c r="D45" s="8">
        <v>6</v>
      </c>
    </row>
    <row r="46" spans="1:4" x14ac:dyDescent="0.25">
      <c r="A46" s="8" t="str">
        <f t="shared" si="0"/>
        <v>201</v>
      </c>
      <c r="B46" s="8" t="s">
        <v>138</v>
      </c>
      <c r="C46" s="12" t="s">
        <v>139</v>
      </c>
      <c r="D46" s="8">
        <v>6</v>
      </c>
    </row>
    <row r="47" spans="1:4" x14ac:dyDescent="0.25">
      <c r="A47" s="8" t="str">
        <f t="shared" si="0"/>
        <v>202</v>
      </c>
      <c r="B47" s="8" t="s">
        <v>140</v>
      </c>
      <c r="C47" s="12" t="s">
        <v>141</v>
      </c>
      <c r="D47" s="8">
        <v>6</v>
      </c>
    </row>
    <row r="48" spans="1:4" x14ac:dyDescent="0.25">
      <c r="A48" s="8" t="str">
        <f t="shared" si="0"/>
        <v>203</v>
      </c>
      <c r="B48" s="8" t="s">
        <v>142</v>
      </c>
      <c r="C48" s="12" t="s">
        <v>143</v>
      </c>
      <c r="D48" s="8">
        <v>6</v>
      </c>
    </row>
    <row r="49" spans="1:4" x14ac:dyDescent="0.25">
      <c r="A49" s="8" t="str">
        <f t="shared" si="0"/>
        <v>204</v>
      </c>
      <c r="B49" s="8" t="s">
        <v>144</v>
      </c>
      <c r="C49" s="12" t="s">
        <v>145</v>
      </c>
      <c r="D49" s="8">
        <v>6</v>
      </c>
    </row>
    <row r="50" spans="1:4" x14ac:dyDescent="0.25">
      <c r="A50" s="8" t="str">
        <f t="shared" si="0"/>
        <v>205</v>
      </c>
      <c r="B50" s="8" t="s">
        <v>146</v>
      </c>
      <c r="C50" s="12" t="s">
        <v>147</v>
      </c>
      <c r="D50" s="8">
        <v>6</v>
      </c>
    </row>
    <row r="51" spans="1:4" x14ac:dyDescent="0.25">
      <c r="A51" s="8" t="str">
        <f t="shared" si="0"/>
        <v>206</v>
      </c>
      <c r="B51" s="8" t="s">
        <v>148</v>
      </c>
      <c r="C51" s="12" t="s">
        <v>149</v>
      </c>
      <c r="D51" s="8">
        <v>6</v>
      </c>
    </row>
    <row r="52" spans="1:4" x14ac:dyDescent="0.25">
      <c r="A52" s="8" t="str">
        <f t="shared" si="0"/>
        <v>207</v>
      </c>
      <c r="B52" s="8" t="s">
        <v>150</v>
      </c>
      <c r="C52" s="12" t="s">
        <v>151</v>
      </c>
      <c r="D52" s="8">
        <v>6</v>
      </c>
    </row>
    <row r="53" spans="1:4" x14ac:dyDescent="0.25">
      <c r="A53" s="8" t="str">
        <f t="shared" si="0"/>
        <v>301</v>
      </c>
      <c r="B53" s="8" t="s">
        <v>152</v>
      </c>
      <c r="C53" s="12" t="s">
        <v>153</v>
      </c>
      <c r="D53" s="8">
        <v>6</v>
      </c>
    </row>
    <row r="54" spans="1:4" x14ac:dyDescent="0.25">
      <c r="A54" s="8" t="str">
        <f t="shared" si="0"/>
        <v>302</v>
      </c>
      <c r="B54" s="8" t="s">
        <v>154</v>
      </c>
      <c r="C54" s="12" t="s">
        <v>155</v>
      </c>
      <c r="D54" s="8">
        <v>6</v>
      </c>
    </row>
    <row r="55" spans="1:4" x14ac:dyDescent="0.25">
      <c r="A55" s="8" t="str">
        <f t="shared" si="0"/>
        <v>303</v>
      </c>
      <c r="B55" s="8" t="s">
        <v>156</v>
      </c>
      <c r="C55" s="12" t="s">
        <v>157</v>
      </c>
      <c r="D55" s="8">
        <v>6</v>
      </c>
    </row>
    <row r="56" spans="1:4" x14ac:dyDescent="0.25">
      <c r="A56" s="8" t="str">
        <f t="shared" si="0"/>
        <v>304</v>
      </c>
      <c r="B56" s="8" t="s">
        <v>158</v>
      </c>
      <c r="C56" s="12" t="s">
        <v>159</v>
      </c>
      <c r="D56" s="8">
        <v>6</v>
      </c>
    </row>
    <row r="57" spans="1:4" x14ac:dyDescent="0.25">
      <c r="A57" s="8" t="str">
        <f t="shared" si="0"/>
        <v>305</v>
      </c>
      <c r="B57" s="8" t="s">
        <v>160</v>
      </c>
      <c r="C57" s="12" t="s">
        <v>161</v>
      </c>
      <c r="D57" s="8">
        <v>6</v>
      </c>
    </row>
    <row r="58" spans="1:4" x14ac:dyDescent="0.25">
      <c r="A58" s="8" t="str">
        <f t="shared" si="0"/>
        <v>306</v>
      </c>
      <c r="B58" s="8" t="s">
        <v>162</v>
      </c>
      <c r="C58" s="12" t="s">
        <v>163</v>
      </c>
      <c r="D58" s="8">
        <v>6</v>
      </c>
    </row>
    <row r="59" spans="1:4" x14ac:dyDescent="0.25">
      <c r="A59" s="8" t="str">
        <f t="shared" si="0"/>
        <v>307</v>
      </c>
      <c r="B59" s="8" t="s">
        <v>164</v>
      </c>
      <c r="C59" s="12" t="s">
        <v>165</v>
      </c>
      <c r="D59" s="8">
        <v>6</v>
      </c>
    </row>
    <row r="60" spans="1:4" x14ac:dyDescent="0.25">
      <c r="A60" s="8" t="str">
        <f t="shared" si="0"/>
        <v>308</v>
      </c>
      <c r="B60" s="8" t="s">
        <v>166</v>
      </c>
      <c r="C60" s="12" t="s">
        <v>167</v>
      </c>
      <c r="D60" s="8">
        <v>6</v>
      </c>
    </row>
    <row r="61" spans="1:4" x14ac:dyDescent="0.25">
      <c r="A61" s="8" t="str">
        <f t="shared" si="0"/>
        <v>309</v>
      </c>
      <c r="B61" s="8" t="s">
        <v>168</v>
      </c>
      <c r="C61" s="12" t="s">
        <v>169</v>
      </c>
      <c r="D61" s="8">
        <v>6</v>
      </c>
    </row>
    <row r="62" spans="1:4" x14ac:dyDescent="0.25">
      <c r="A62" s="8" t="str">
        <f t="shared" si="0"/>
        <v>310</v>
      </c>
      <c r="B62" s="8" t="s">
        <v>103</v>
      </c>
      <c r="C62" s="12" t="s">
        <v>170</v>
      </c>
      <c r="D62" s="8">
        <v>6</v>
      </c>
    </row>
    <row r="63" spans="1:4" x14ac:dyDescent="0.25">
      <c r="A63" s="8" t="str">
        <f t="shared" si="0"/>
        <v>311</v>
      </c>
      <c r="B63" s="8" t="s">
        <v>171</v>
      </c>
      <c r="C63" s="12" t="s">
        <v>172</v>
      </c>
      <c r="D63" s="8">
        <v>6</v>
      </c>
    </row>
    <row r="64" spans="1:4" x14ac:dyDescent="0.25">
      <c r="A64" s="8" t="str">
        <f t="shared" si="0"/>
        <v>312</v>
      </c>
      <c r="B64" s="8" t="s">
        <v>173</v>
      </c>
      <c r="C64" s="12" t="s">
        <v>174</v>
      </c>
      <c r="D64" s="8">
        <v>6</v>
      </c>
    </row>
    <row r="65" spans="1:4" x14ac:dyDescent="0.25">
      <c r="A65" s="8" t="str">
        <f t="shared" si="0"/>
        <v>313</v>
      </c>
      <c r="B65" s="8" t="s">
        <v>175</v>
      </c>
      <c r="C65" s="12" t="s">
        <v>176</v>
      </c>
      <c r="D65" s="8">
        <v>6</v>
      </c>
    </row>
    <row r="66" spans="1:4" x14ac:dyDescent="0.25">
      <c r="A66" s="8" t="str">
        <f t="shared" si="0"/>
        <v>314</v>
      </c>
      <c r="B66" s="8" t="s">
        <v>177</v>
      </c>
      <c r="C66" s="12" t="s">
        <v>178</v>
      </c>
      <c r="D66" s="8">
        <v>6</v>
      </c>
    </row>
    <row r="67" spans="1:4" x14ac:dyDescent="0.25">
      <c r="A67" s="8" t="str">
        <f t="shared" ref="A67:A130" si="1">TEXT(B67,"000")</f>
        <v>315</v>
      </c>
      <c r="B67" s="8" t="s">
        <v>179</v>
      </c>
      <c r="C67" s="12" t="s">
        <v>180</v>
      </c>
      <c r="D67" s="8">
        <v>6</v>
      </c>
    </row>
    <row r="68" spans="1:4" x14ac:dyDescent="0.25">
      <c r="A68" s="8" t="str">
        <f t="shared" si="1"/>
        <v>316</v>
      </c>
      <c r="B68" s="8" t="s">
        <v>181</v>
      </c>
      <c r="C68" s="12" t="s">
        <v>182</v>
      </c>
      <c r="D68" s="8">
        <v>6</v>
      </c>
    </row>
    <row r="69" spans="1:4" x14ac:dyDescent="0.25">
      <c r="A69" s="8" t="str">
        <f t="shared" si="1"/>
        <v>317</v>
      </c>
      <c r="B69" s="8" t="s">
        <v>183</v>
      </c>
      <c r="C69" s="12" t="s">
        <v>184</v>
      </c>
      <c r="D69" s="8">
        <v>6</v>
      </c>
    </row>
    <row r="70" spans="1:4" x14ac:dyDescent="0.25">
      <c r="A70" s="8" t="str">
        <f t="shared" si="1"/>
        <v>318</v>
      </c>
      <c r="B70" s="8" t="s">
        <v>185</v>
      </c>
      <c r="C70" s="12" t="s">
        <v>186</v>
      </c>
      <c r="D70" s="8">
        <v>6</v>
      </c>
    </row>
    <row r="71" spans="1:4" x14ac:dyDescent="0.25">
      <c r="A71" s="8" t="str">
        <f t="shared" si="1"/>
        <v>319</v>
      </c>
      <c r="B71" s="8" t="s">
        <v>187</v>
      </c>
      <c r="C71" s="12" t="s">
        <v>188</v>
      </c>
      <c r="D71" s="8">
        <v>6</v>
      </c>
    </row>
    <row r="72" spans="1:4" x14ac:dyDescent="0.25">
      <c r="A72" s="8" t="str">
        <f t="shared" si="1"/>
        <v>323</v>
      </c>
      <c r="B72" s="8" t="s">
        <v>189</v>
      </c>
      <c r="C72" s="12" t="s">
        <v>190</v>
      </c>
      <c r="D72" s="8">
        <v>6</v>
      </c>
    </row>
    <row r="73" spans="1:4" x14ac:dyDescent="0.25">
      <c r="A73" s="8" t="str">
        <f t="shared" si="1"/>
        <v>324</v>
      </c>
      <c r="B73" s="8" t="s">
        <v>191</v>
      </c>
      <c r="C73" s="12" t="s">
        <v>192</v>
      </c>
      <c r="D73" s="8">
        <v>6</v>
      </c>
    </row>
    <row r="74" spans="1:4" x14ac:dyDescent="0.25">
      <c r="A74" s="8" t="str">
        <f t="shared" si="1"/>
        <v>401</v>
      </c>
      <c r="B74" s="8" t="s">
        <v>193</v>
      </c>
      <c r="C74" s="12" t="s">
        <v>194</v>
      </c>
      <c r="D74" s="8">
        <v>6</v>
      </c>
    </row>
    <row r="75" spans="1:4" x14ac:dyDescent="0.25">
      <c r="A75" s="8" t="str">
        <f t="shared" si="1"/>
        <v>402</v>
      </c>
      <c r="B75" s="8" t="s">
        <v>195</v>
      </c>
      <c r="C75" s="12" t="s">
        <v>196</v>
      </c>
      <c r="D75" s="8">
        <v>6</v>
      </c>
    </row>
    <row r="76" spans="1:4" x14ac:dyDescent="0.25">
      <c r="A76" s="8" t="str">
        <f t="shared" si="1"/>
        <v>403</v>
      </c>
      <c r="B76" s="8" t="s">
        <v>197</v>
      </c>
      <c r="C76" s="12" t="s">
        <v>198</v>
      </c>
      <c r="D76" s="8">
        <v>6</v>
      </c>
    </row>
    <row r="77" spans="1:4" x14ac:dyDescent="0.25">
      <c r="A77" s="8" t="str">
        <f t="shared" si="1"/>
        <v>404</v>
      </c>
      <c r="B77" s="8" t="s">
        <v>199</v>
      </c>
      <c r="C77" s="12" t="s">
        <v>200</v>
      </c>
      <c r="D77" s="8">
        <v>6</v>
      </c>
    </row>
    <row r="78" spans="1:4" x14ac:dyDescent="0.25">
      <c r="A78" s="8" t="str">
        <f t="shared" si="1"/>
        <v>405</v>
      </c>
      <c r="B78" s="8" t="s">
        <v>201</v>
      </c>
      <c r="C78" s="12" t="s">
        <v>202</v>
      </c>
      <c r="D78" s="8">
        <v>6</v>
      </c>
    </row>
    <row r="79" spans="1:4" x14ac:dyDescent="0.25">
      <c r="A79" s="8" t="str">
        <f t="shared" si="1"/>
        <v>406</v>
      </c>
      <c r="B79" s="8" t="s">
        <v>203</v>
      </c>
      <c r="C79" s="12" t="s">
        <v>204</v>
      </c>
      <c r="D79" s="8">
        <v>6</v>
      </c>
    </row>
    <row r="80" spans="1:4" x14ac:dyDescent="0.25">
      <c r="A80" s="8" t="str">
        <f t="shared" si="1"/>
        <v>407</v>
      </c>
      <c r="B80" s="8" t="s">
        <v>205</v>
      </c>
      <c r="C80" s="12" t="s">
        <v>206</v>
      </c>
      <c r="D80" s="8">
        <v>6</v>
      </c>
    </row>
    <row r="81" spans="1:4" x14ac:dyDescent="0.25">
      <c r="A81" s="8" t="str">
        <f t="shared" si="1"/>
        <v>501</v>
      </c>
      <c r="B81" s="8" t="s">
        <v>109</v>
      </c>
      <c r="C81" s="12" t="s">
        <v>207</v>
      </c>
      <c r="D81" s="8">
        <v>6</v>
      </c>
    </row>
    <row r="82" spans="1:4" x14ac:dyDescent="0.25">
      <c r="A82" s="8" t="str">
        <f t="shared" si="1"/>
        <v>502</v>
      </c>
      <c r="B82" s="8" t="s">
        <v>111</v>
      </c>
      <c r="C82" s="12" t="s">
        <v>208</v>
      </c>
      <c r="D82" s="8">
        <v>6</v>
      </c>
    </row>
    <row r="83" spans="1:4" x14ac:dyDescent="0.25">
      <c r="A83" s="8" t="str">
        <f t="shared" si="1"/>
        <v>601</v>
      </c>
      <c r="B83" s="8" t="s">
        <v>209</v>
      </c>
      <c r="C83" s="12" t="s">
        <v>210</v>
      </c>
      <c r="D83" s="8">
        <v>6</v>
      </c>
    </row>
    <row r="84" spans="1:4" x14ac:dyDescent="0.25">
      <c r="A84" s="8" t="str">
        <f t="shared" si="1"/>
        <v>602</v>
      </c>
      <c r="B84" s="8" t="s">
        <v>211</v>
      </c>
      <c r="C84" s="12" t="s">
        <v>212</v>
      </c>
      <c r="D84" s="8">
        <v>6</v>
      </c>
    </row>
    <row r="85" spans="1:4" x14ac:dyDescent="0.25">
      <c r="A85" s="8" t="str">
        <f t="shared" si="1"/>
        <v>603</v>
      </c>
      <c r="B85" s="8" t="s">
        <v>213</v>
      </c>
      <c r="C85" s="12" t="s">
        <v>214</v>
      </c>
      <c r="D85" s="8">
        <v>6</v>
      </c>
    </row>
    <row r="86" spans="1:4" x14ac:dyDescent="0.25">
      <c r="A86" s="8" t="str">
        <f t="shared" si="1"/>
        <v>604</v>
      </c>
      <c r="B86" s="8" t="s">
        <v>215</v>
      </c>
      <c r="C86" s="12" t="s">
        <v>216</v>
      </c>
      <c r="D86" s="8">
        <v>6</v>
      </c>
    </row>
    <row r="87" spans="1:4" x14ac:dyDescent="0.25">
      <c r="A87" s="8" t="str">
        <f t="shared" si="1"/>
        <v>701</v>
      </c>
      <c r="B87" s="8" t="s">
        <v>217</v>
      </c>
      <c r="C87" s="12" t="s">
        <v>218</v>
      </c>
      <c r="D87" s="8">
        <v>6</v>
      </c>
    </row>
    <row r="88" spans="1:4" x14ac:dyDescent="0.25">
      <c r="A88" s="8" t="str">
        <f t="shared" si="1"/>
        <v>702</v>
      </c>
      <c r="B88" s="8" t="s">
        <v>219</v>
      </c>
      <c r="C88" s="12" t="s">
        <v>220</v>
      </c>
      <c r="D88" s="8">
        <v>6</v>
      </c>
    </row>
    <row r="89" spans="1:4" x14ac:dyDescent="0.25">
      <c r="A89" s="8" t="str">
        <f t="shared" si="1"/>
        <v>703</v>
      </c>
      <c r="B89" s="8" t="s">
        <v>221</v>
      </c>
      <c r="C89" s="12" t="s">
        <v>222</v>
      </c>
      <c r="D89" s="8">
        <v>6</v>
      </c>
    </row>
    <row r="90" spans="1:4" x14ac:dyDescent="0.25">
      <c r="A90" s="8" t="str">
        <f t="shared" si="1"/>
        <v>704</v>
      </c>
      <c r="B90" s="8" t="s">
        <v>223</v>
      </c>
      <c r="C90" s="12" t="s">
        <v>224</v>
      </c>
      <c r="D90" s="8">
        <v>6</v>
      </c>
    </row>
    <row r="91" spans="1:4" x14ac:dyDescent="0.25">
      <c r="A91" s="8" t="str">
        <f t="shared" si="1"/>
        <v>801</v>
      </c>
      <c r="B91" s="8" t="s">
        <v>225</v>
      </c>
      <c r="C91" s="12" t="s">
        <v>226</v>
      </c>
      <c r="D91" s="8">
        <v>6</v>
      </c>
    </row>
    <row r="92" spans="1:4" x14ac:dyDescent="0.25">
      <c r="A92" s="8" t="str">
        <f t="shared" si="1"/>
        <v>802</v>
      </c>
      <c r="B92" s="8" t="s">
        <v>227</v>
      </c>
      <c r="C92" s="12" t="s">
        <v>228</v>
      </c>
      <c r="D92" s="8">
        <v>6</v>
      </c>
    </row>
    <row r="93" spans="1:4" x14ac:dyDescent="0.25">
      <c r="A93" s="8" t="str">
        <f t="shared" si="1"/>
        <v>803</v>
      </c>
      <c r="B93" s="8" t="s">
        <v>229</v>
      </c>
      <c r="C93" s="12" t="s">
        <v>230</v>
      </c>
      <c r="D93" s="8">
        <v>6</v>
      </c>
    </row>
    <row r="94" spans="1:4" x14ac:dyDescent="0.25">
      <c r="A94" s="8" t="str">
        <f t="shared" si="1"/>
        <v>804</v>
      </c>
      <c r="B94" s="8" t="s">
        <v>231</v>
      </c>
      <c r="C94" s="12" t="s">
        <v>232</v>
      </c>
      <c r="D94" s="8">
        <v>6</v>
      </c>
    </row>
    <row r="95" spans="1:4" x14ac:dyDescent="0.25">
      <c r="A95" s="8" t="str">
        <f t="shared" si="1"/>
        <v>901</v>
      </c>
      <c r="B95" s="8" t="s">
        <v>233</v>
      </c>
      <c r="C95" s="12" t="s">
        <v>234</v>
      </c>
      <c r="D95" s="8">
        <v>6</v>
      </c>
    </row>
    <row r="96" spans="1:4" x14ac:dyDescent="0.25">
      <c r="A96" s="8" t="str">
        <f t="shared" si="1"/>
        <v>902</v>
      </c>
      <c r="B96" s="8" t="s">
        <v>235</v>
      </c>
      <c r="C96" s="12" t="s">
        <v>236</v>
      </c>
      <c r="D96" s="8">
        <v>6</v>
      </c>
    </row>
    <row r="97" spans="1:4" x14ac:dyDescent="0.25">
      <c r="A97" s="8" t="str">
        <f t="shared" si="1"/>
        <v>903</v>
      </c>
      <c r="B97" s="8" t="s">
        <v>237</v>
      </c>
      <c r="C97" s="12" t="s">
        <v>238</v>
      </c>
      <c r="D97" s="8">
        <v>6</v>
      </c>
    </row>
    <row r="98" spans="1:4" x14ac:dyDescent="0.25">
      <c r="A98" s="8" t="str">
        <f t="shared" si="1"/>
        <v>904</v>
      </c>
      <c r="B98" s="8" t="s">
        <v>239</v>
      </c>
      <c r="C98" s="12" t="s">
        <v>240</v>
      </c>
      <c r="D98" s="8">
        <v>6</v>
      </c>
    </row>
    <row r="99" spans="1:4" x14ac:dyDescent="0.25">
      <c r="A99" s="8" t="str">
        <f t="shared" si="1"/>
        <v>500</v>
      </c>
      <c r="B99" s="8" t="s">
        <v>241</v>
      </c>
      <c r="C99" s="12" t="s">
        <v>242</v>
      </c>
      <c r="D99" s="8">
        <v>6</v>
      </c>
    </row>
    <row r="100" spans="1:4" x14ac:dyDescent="0.25">
      <c r="A100" s="8" t="str">
        <f t="shared" si="1"/>
        <v>501</v>
      </c>
      <c r="B100" s="8" t="s">
        <v>109</v>
      </c>
      <c r="C100" s="12" t="s">
        <v>243</v>
      </c>
      <c r="D100" s="8">
        <v>6</v>
      </c>
    </row>
    <row r="101" spans="1:4" x14ac:dyDescent="0.25">
      <c r="A101" s="8" t="str">
        <f t="shared" si="1"/>
        <v>502</v>
      </c>
      <c r="B101" s="8" t="s">
        <v>111</v>
      </c>
      <c r="C101" s="12" t="s">
        <v>244</v>
      </c>
      <c r="D101" s="8">
        <v>6</v>
      </c>
    </row>
    <row r="102" spans="1:4" x14ac:dyDescent="0.25">
      <c r="A102" s="8" t="str">
        <f t="shared" si="1"/>
        <v>503</v>
      </c>
      <c r="B102" s="8" t="s">
        <v>113</v>
      </c>
      <c r="C102" s="12" t="s">
        <v>245</v>
      </c>
      <c r="D102" s="8">
        <v>6</v>
      </c>
    </row>
    <row r="103" spans="1:4" x14ac:dyDescent="0.25">
      <c r="A103" s="8" t="str">
        <f t="shared" si="1"/>
        <v>504</v>
      </c>
      <c r="B103" s="8" t="s">
        <v>115</v>
      </c>
      <c r="C103" s="12" t="s">
        <v>246</v>
      </c>
      <c r="D103" s="8">
        <v>6</v>
      </c>
    </row>
    <row r="104" spans="1:4" x14ac:dyDescent="0.25">
      <c r="A104" s="8" t="str">
        <f t="shared" si="1"/>
        <v>505</v>
      </c>
      <c r="B104" s="8" t="s">
        <v>117</v>
      </c>
      <c r="C104" s="12" t="s">
        <v>247</v>
      </c>
      <c r="D104" s="8">
        <v>6</v>
      </c>
    </row>
    <row r="105" spans="1:4" x14ac:dyDescent="0.25">
      <c r="A105" s="8" t="str">
        <f t="shared" si="1"/>
        <v>506</v>
      </c>
      <c r="B105" s="8" t="s">
        <v>119</v>
      </c>
      <c r="C105" s="12" t="s">
        <v>248</v>
      </c>
      <c r="D105" s="8">
        <v>6</v>
      </c>
    </row>
    <row r="106" spans="1:4" x14ac:dyDescent="0.25">
      <c r="A106" s="8" t="str">
        <f t="shared" si="1"/>
        <v>507</v>
      </c>
      <c r="B106" s="8" t="s">
        <v>249</v>
      </c>
      <c r="C106" s="12" t="s">
        <v>250</v>
      </c>
      <c r="D106" s="8">
        <v>6</v>
      </c>
    </row>
    <row r="107" spans="1:4" x14ac:dyDescent="0.25">
      <c r="A107" s="8" t="str">
        <f t="shared" si="1"/>
        <v>508</v>
      </c>
      <c r="B107" s="8" t="s">
        <v>251</v>
      </c>
      <c r="C107" s="12" t="s">
        <v>252</v>
      </c>
      <c r="D107" s="8">
        <v>6</v>
      </c>
    </row>
    <row r="108" spans="1:4" x14ac:dyDescent="0.25">
      <c r="A108" s="8" t="str">
        <f t="shared" si="1"/>
        <v>509</v>
      </c>
      <c r="B108" s="8" t="s">
        <v>253</v>
      </c>
      <c r="C108" s="12" t="s">
        <v>254</v>
      </c>
      <c r="D108" s="8">
        <v>6</v>
      </c>
    </row>
    <row r="109" spans="1:4" x14ac:dyDescent="0.25">
      <c r="A109" s="8" t="str">
        <f t="shared" si="1"/>
        <v>161</v>
      </c>
      <c r="B109" s="8" t="s">
        <v>255</v>
      </c>
      <c r="C109" s="12" t="s">
        <v>256</v>
      </c>
      <c r="D109" s="8">
        <v>6</v>
      </c>
    </row>
    <row r="110" spans="1:4" x14ac:dyDescent="0.25">
      <c r="A110" s="8" t="str">
        <f t="shared" si="1"/>
        <v>162</v>
      </c>
      <c r="B110" s="8" t="s">
        <v>257</v>
      </c>
      <c r="C110" s="12" t="s">
        <v>258</v>
      </c>
      <c r="D110" s="8">
        <v>6</v>
      </c>
    </row>
    <row r="111" spans="1:4" x14ac:dyDescent="0.25">
      <c r="A111" s="8" t="str">
        <f t="shared" si="1"/>
        <v>000</v>
      </c>
      <c r="B111" s="8" t="s">
        <v>65</v>
      </c>
      <c r="C111" s="12" t="s">
        <v>259</v>
      </c>
      <c r="D111" s="8">
        <v>6</v>
      </c>
    </row>
    <row r="112" spans="1:4" x14ac:dyDescent="0.25">
      <c r="A112" s="8" t="str">
        <f t="shared" si="1"/>
        <v>006</v>
      </c>
      <c r="B112" s="8" t="s">
        <v>80</v>
      </c>
      <c r="C112" s="12" t="s">
        <v>81</v>
      </c>
      <c r="D112" s="8">
        <v>7</v>
      </c>
    </row>
    <row r="113" spans="1:4" x14ac:dyDescent="0.25">
      <c r="A113" s="8" t="str">
        <f t="shared" si="1"/>
        <v>010</v>
      </c>
      <c r="B113" s="8" t="s">
        <v>61</v>
      </c>
      <c r="C113" s="12" t="s">
        <v>62</v>
      </c>
      <c r="D113" s="8">
        <v>7</v>
      </c>
    </row>
    <row r="114" spans="1:4" x14ac:dyDescent="0.25">
      <c r="A114" s="8" t="str">
        <f t="shared" si="1"/>
        <v>016</v>
      </c>
      <c r="B114" s="8" t="s">
        <v>82</v>
      </c>
      <c r="C114" s="12" t="s">
        <v>83</v>
      </c>
      <c r="D114" s="8">
        <v>7</v>
      </c>
    </row>
    <row r="115" spans="1:4" x14ac:dyDescent="0.25">
      <c r="A115" s="8" t="str">
        <f t="shared" si="1"/>
        <v>025</v>
      </c>
      <c r="B115" s="8" t="s">
        <v>84</v>
      </c>
      <c r="C115" s="12" t="s">
        <v>85</v>
      </c>
      <c r="D115" s="8">
        <v>7</v>
      </c>
    </row>
    <row r="116" spans="1:4" x14ac:dyDescent="0.25">
      <c r="A116" s="8" t="str">
        <f t="shared" si="1"/>
        <v>040</v>
      </c>
      <c r="B116" s="8" t="s">
        <v>86</v>
      </c>
      <c r="C116" s="12" t="s">
        <v>87</v>
      </c>
      <c r="D116" s="8">
        <v>7</v>
      </c>
    </row>
    <row r="117" spans="1:4" x14ac:dyDescent="0.25">
      <c r="A117" s="8" t="str">
        <f t="shared" si="1"/>
        <v>060</v>
      </c>
      <c r="B117" s="8" t="s">
        <v>88</v>
      </c>
      <c r="C117" s="12" t="s">
        <v>89</v>
      </c>
      <c r="D117" s="8">
        <v>7</v>
      </c>
    </row>
    <row r="118" spans="1:4" x14ac:dyDescent="0.25">
      <c r="A118" s="8" t="str">
        <f t="shared" si="1"/>
        <v>070</v>
      </c>
      <c r="B118" s="8" t="s">
        <v>260</v>
      </c>
      <c r="C118" s="12" t="s">
        <v>261</v>
      </c>
      <c r="D118" s="8">
        <v>7</v>
      </c>
    </row>
    <row r="119" spans="1:4" x14ac:dyDescent="0.25">
      <c r="A119" s="8" t="str">
        <f t="shared" si="1"/>
        <v>100</v>
      </c>
      <c r="B119" s="8" t="s">
        <v>90</v>
      </c>
      <c r="C119" s="12" t="s">
        <v>91</v>
      </c>
      <c r="D119" s="8">
        <v>7</v>
      </c>
    </row>
    <row r="120" spans="1:4" x14ac:dyDescent="0.25">
      <c r="A120" s="8" t="str">
        <f t="shared" si="1"/>
        <v>000</v>
      </c>
      <c r="B120" s="8" t="s">
        <v>65</v>
      </c>
      <c r="C120" s="12" t="s">
        <v>66</v>
      </c>
      <c r="D120" s="8">
        <v>8</v>
      </c>
    </row>
    <row r="121" spans="1:4" x14ac:dyDescent="0.25">
      <c r="A121" s="8" t="str">
        <f t="shared" si="1"/>
        <v>001</v>
      </c>
      <c r="B121" s="8" t="s">
        <v>262</v>
      </c>
      <c r="C121" s="12" t="s">
        <v>263</v>
      </c>
      <c r="D121" s="8">
        <v>8</v>
      </c>
    </row>
    <row r="122" spans="1:4" x14ac:dyDescent="0.25">
      <c r="A122" s="8" t="str">
        <f t="shared" si="1"/>
        <v>002</v>
      </c>
      <c r="B122" s="8" t="s">
        <v>264</v>
      </c>
      <c r="C122" s="12" t="s">
        <v>265</v>
      </c>
      <c r="D122" s="8">
        <v>8</v>
      </c>
    </row>
    <row r="123" spans="1:4" x14ac:dyDescent="0.25">
      <c r="A123" s="8" t="str">
        <f t="shared" si="1"/>
        <v>003</v>
      </c>
      <c r="B123" s="8" t="s">
        <v>67</v>
      </c>
      <c r="C123" s="12" t="s">
        <v>266</v>
      </c>
      <c r="D123" s="8">
        <v>8</v>
      </c>
    </row>
    <row r="124" spans="1:4" x14ac:dyDescent="0.25">
      <c r="A124" s="8" t="str">
        <f t="shared" si="1"/>
        <v>004</v>
      </c>
      <c r="B124" s="8" t="s">
        <v>69</v>
      </c>
      <c r="C124" s="12" t="s">
        <v>267</v>
      </c>
      <c r="D124" s="8">
        <v>8</v>
      </c>
    </row>
    <row r="125" spans="1:4" x14ac:dyDescent="0.25">
      <c r="A125" s="8" t="str">
        <f t="shared" si="1"/>
        <v>005</v>
      </c>
      <c r="B125" s="8" t="s">
        <v>78</v>
      </c>
      <c r="C125" s="12" t="s">
        <v>268</v>
      </c>
      <c r="D125" s="8">
        <v>8</v>
      </c>
    </row>
    <row r="126" spans="1:4" x14ac:dyDescent="0.25">
      <c r="A126" s="8" t="str">
        <f t="shared" si="1"/>
        <v>006</v>
      </c>
      <c r="B126" s="8" t="s">
        <v>80</v>
      </c>
      <c r="C126" s="12" t="s">
        <v>269</v>
      </c>
      <c r="D126" s="8">
        <v>8</v>
      </c>
    </row>
    <row r="127" spans="1:4" x14ac:dyDescent="0.25">
      <c r="A127" s="8" t="str">
        <f t="shared" si="1"/>
        <v>007</v>
      </c>
      <c r="B127" s="8" t="s">
        <v>71</v>
      </c>
      <c r="C127" s="12" t="s">
        <v>270</v>
      </c>
      <c r="D127" s="8">
        <v>8</v>
      </c>
    </row>
    <row r="128" spans="1:4" x14ac:dyDescent="0.25">
      <c r="A128" s="8" t="str">
        <f t="shared" si="1"/>
        <v>008</v>
      </c>
      <c r="B128" s="8" t="s">
        <v>271</v>
      </c>
      <c r="C128" s="12" t="s">
        <v>272</v>
      </c>
      <c r="D128" s="8">
        <v>8</v>
      </c>
    </row>
    <row r="129" spans="1:5" x14ac:dyDescent="0.25">
      <c r="A129" s="8" t="str">
        <f t="shared" si="1"/>
        <v>009</v>
      </c>
      <c r="B129" s="8" t="s">
        <v>273</v>
      </c>
      <c r="C129" s="12" t="s">
        <v>274</v>
      </c>
      <c r="D129" s="8">
        <v>8</v>
      </c>
    </row>
    <row r="130" spans="1:5" x14ac:dyDescent="0.25">
      <c r="A130" s="8" t="str">
        <f t="shared" si="1"/>
        <v>010</v>
      </c>
      <c r="B130" s="8" t="s">
        <v>61</v>
      </c>
      <c r="C130" s="12" t="s">
        <v>275</v>
      </c>
      <c r="D130" s="8">
        <v>8</v>
      </c>
    </row>
    <row r="131" spans="1:5" x14ac:dyDescent="0.25">
      <c r="A131" s="8" t="str">
        <f t="shared" ref="A131:A194" si="2">TEXT(B131,"000")</f>
        <v>011</v>
      </c>
      <c r="B131" s="8" t="s">
        <v>74</v>
      </c>
      <c r="C131" s="12" t="s">
        <v>276</v>
      </c>
      <c r="D131" s="8">
        <v>8</v>
      </c>
    </row>
    <row r="132" spans="1:5" x14ac:dyDescent="0.25">
      <c r="A132" s="8" t="str">
        <f t="shared" si="2"/>
        <v>012</v>
      </c>
      <c r="B132" s="8" t="s">
        <v>76</v>
      </c>
      <c r="C132" s="12" t="s">
        <v>277</v>
      </c>
      <c r="D132" s="8">
        <v>8</v>
      </c>
    </row>
    <row r="133" spans="1:5" x14ac:dyDescent="0.25">
      <c r="A133" s="8" t="str">
        <f t="shared" si="2"/>
        <v>013</v>
      </c>
      <c r="B133" s="8" t="s">
        <v>278</v>
      </c>
      <c r="C133" s="12" t="s">
        <v>279</v>
      </c>
      <c r="D133" s="8">
        <v>8</v>
      </c>
    </row>
    <row r="134" spans="1:5" x14ac:dyDescent="0.25">
      <c r="A134" s="8" t="str">
        <f t="shared" si="2"/>
        <v>014</v>
      </c>
      <c r="B134" s="8" t="s">
        <v>280</v>
      </c>
      <c r="C134" s="12" t="s">
        <v>281</v>
      </c>
      <c r="D134" s="8">
        <v>8</v>
      </c>
    </row>
    <row r="135" spans="1:5" x14ac:dyDescent="0.25">
      <c r="A135" s="8" t="str">
        <f t="shared" si="2"/>
        <v>000</v>
      </c>
      <c r="B135" s="8" t="s">
        <v>65</v>
      </c>
      <c r="C135" s="12" t="s">
        <v>66</v>
      </c>
      <c r="D135" s="8">
        <v>9</v>
      </c>
      <c r="E135" s="8" t="s">
        <v>282</v>
      </c>
    </row>
    <row r="136" spans="1:5" x14ac:dyDescent="0.25">
      <c r="A136" s="8" t="str">
        <f t="shared" si="2"/>
        <v>001</v>
      </c>
      <c r="B136" s="8" t="s">
        <v>262</v>
      </c>
      <c r="C136" s="12" t="s">
        <v>283</v>
      </c>
      <c r="D136" s="8">
        <v>9</v>
      </c>
      <c r="E136" s="8" t="s">
        <v>282</v>
      </c>
    </row>
    <row r="137" spans="1:5" x14ac:dyDescent="0.25">
      <c r="A137" s="8" t="str">
        <f t="shared" si="2"/>
        <v>002</v>
      </c>
      <c r="B137" s="8" t="s">
        <v>264</v>
      </c>
      <c r="C137" s="12" t="s">
        <v>284</v>
      </c>
      <c r="D137" s="8">
        <v>9</v>
      </c>
      <c r="E137" s="8" t="s">
        <v>282</v>
      </c>
    </row>
    <row r="138" spans="1:5" x14ac:dyDescent="0.25">
      <c r="A138" s="8" t="str">
        <f t="shared" si="2"/>
        <v>003</v>
      </c>
      <c r="B138" s="8" t="s">
        <v>67</v>
      </c>
      <c r="C138" s="12" t="s">
        <v>285</v>
      </c>
      <c r="D138" s="8">
        <v>9</v>
      </c>
      <c r="E138" s="8" t="s">
        <v>282</v>
      </c>
    </row>
    <row r="139" spans="1:5" x14ac:dyDescent="0.25">
      <c r="A139" s="8" t="str">
        <f t="shared" si="2"/>
        <v>004</v>
      </c>
      <c r="B139" s="8" t="s">
        <v>69</v>
      </c>
      <c r="C139" s="12" t="s">
        <v>286</v>
      </c>
      <c r="D139" s="8">
        <v>9</v>
      </c>
      <c r="E139" s="8" t="s">
        <v>282</v>
      </c>
    </row>
    <row r="140" spans="1:5" x14ac:dyDescent="0.25">
      <c r="A140" s="8" t="str">
        <f t="shared" si="2"/>
        <v>000</v>
      </c>
      <c r="B140" s="8" t="s">
        <v>65</v>
      </c>
      <c r="C140" s="12" t="s">
        <v>66</v>
      </c>
      <c r="D140" s="8">
        <v>9</v>
      </c>
      <c r="E140" s="8" t="s">
        <v>282</v>
      </c>
    </row>
    <row r="141" spans="1:5" x14ac:dyDescent="0.25">
      <c r="A141" s="8" t="str">
        <f t="shared" si="2"/>
        <v>001</v>
      </c>
      <c r="B141" s="8" t="s">
        <v>262</v>
      </c>
      <c r="C141" s="12" t="s">
        <v>287</v>
      </c>
      <c r="D141" s="8">
        <v>9</v>
      </c>
      <c r="E141" s="8" t="s">
        <v>288</v>
      </c>
    </row>
    <row r="142" spans="1:5" x14ac:dyDescent="0.25">
      <c r="A142" s="8" t="str">
        <f t="shared" si="2"/>
        <v>002</v>
      </c>
      <c r="B142" s="8" t="s">
        <v>264</v>
      </c>
      <c r="C142" s="12" t="s">
        <v>289</v>
      </c>
      <c r="D142" s="8">
        <v>9</v>
      </c>
      <c r="E142" s="8" t="s">
        <v>288</v>
      </c>
    </row>
    <row r="143" spans="1:5" x14ac:dyDescent="0.25">
      <c r="A143" s="8" t="str">
        <f t="shared" si="2"/>
        <v>003</v>
      </c>
      <c r="B143" s="8" t="s">
        <v>67</v>
      </c>
      <c r="C143" s="12" t="s">
        <v>290</v>
      </c>
      <c r="D143" s="8">
        <v>9</v>
      </c>
      <c r="E143" s="8" t="s">
        <v>288</v>
      </c>
    </row>
    <row r="144" spans="1:5" x14ac:dyDescent="0.25">
      <c r="A144" s="8" t="str">
        <f t="shared" si="2"/>
        <v>004</v>
      </c>
      <c r="B144" s="8" t="s">
        <v>69</v>
      </c>
      <c r="C144" s="12" t="s">
        <v>291</v>
      </c>
      <c r="D144" s="8">
        <v>9</v>
      </c>
      <c r="E144" s="8" t="s">
        <v>288</v>
      </c>
    </row>
    <row r="145" spans="1:5" x14ac:dyDescent="0.25">
      <c r="A145" s="8" t="str">
        <f t="shared" si="2"/>
        <v>005</v>
      </c>
      <c r="B145" s="8" t="s">
        <v>78</v>
      </c>
      <c r="C145" s="12" t="s">
        <v>292</v>
      </c>
      <c r="D145" s="8">
        <v>9</v>
      </c>
      <c r="E145" s="8" t="s">
        <v>288</v>
      </c>
    </row>
    <row r="146" spans="1:5" x14ac:dyDescent="0.25">
      <c r="A146" s="8" t="str">
        <f t="shared" si="2"/>
        <v>006</v>
      </c>
      <c r="B146" s="8" t="s">
        <v>80</v>
      </c>
      <c r="C146" s="12" t="s">
        <v>293</v>
      </c>
      <c r="D146" s="8">
        <v>9</v>
      </c>
      <c r="E146" s="8" t="s">
        <v>288</v>
      </c>
    </row>
    <row r="147" spans="1:5" x14ac:dyDescent="0.25">
      <c r="A147" s="8" t="str">
        <f t="shared" si="2"/>
        <v>007</v>
      </c>
      <c r="B147" s="8" t="s">
        <v>71</v>
      </c>
      <c r="C147" s="12" t="s">
        <v>294</v>
      </c>
      <c r="D147" s="8">
        <v>9</v>
      </c>
      <c r="E147" s="8" t="s">
        <v>288</v>
      </c>
    </row>
    <row r="148" spans="1:5" x14ac:dyDescent="0.25">
      <c r="A148" s="8" t="str">
        <f t="shared" si="2"/>
        <v>008</v>
      </c>
      <c r="B148" s="8" t="s">
        <v>271</v>
      </c>
      <c r="C148" s="12" t="s">
        <v>295</v>
      </c>
      <c r="D148" s="8">
        <v>9</v>
      </c>
      <c r="E148" s="8" t="s">
        <v>288</v>
      </c>
    </row>
    <row r="149" spans="1:5" x14ac:dyDescent="0.25">
      <c r="A149" s="8" t="str">
        <f t="shared" si="2"/>
        <v>000</v>
      </c>
      <c r="B149" s="8" t="s">
        <v>65</v>
      </c>
      <c r="C149" s="12" t="s">
        <v>66</v>
      </c>
      <c r="D149" s="8">
        <v>9</v>
      </c>
      <c r="E149" s="8" t="s">
        <v>296</v>
      </c>
    </row>
    <row r="150" spans="1:5" x14ac:dyDescent="0.25">
      <c r="A150" s="8" t="str">
        <f t="shared" si="2"/>
        <v>001</v>
      </c>
      <c r="B150" s="8" t="s">
        <v>262</v>
      </c>
      <c r="C150" s="12" t="s">
        <v>297</v>
      </c>
      <c r="D150" s="8">
        <v>9</v>
      </c>
      <c r="E150" s="8" t="s">
        <v>296</v>
      </c>
    </row>
    <row r="151" spans="1:5" x14ac:dyDescent="0.25">
      <c r="A151" s="8" t="str">
        <f t="shared" si="2"/>
        <v>002</v>
      </c>
      <c r="B151" s="8" t="s">
        <v>264</v>
      </c>
      <c r="C151" s="12" t="s">
        <v>298</v>
      </c>
      <c r="D151" s="8">
        <v>9</v>
      </c>
      <c r="E151" s="8" t="s">
        <v>296</v>
      </c>
    </row>
    <row r="152" spans="1:5" x14ac:dyDescent="0.25">
      <c r="A152" s="8" t="str">
        <f t="shared" si="2"/>
        <v>003</v>
      </c>
      <c r="B152" s="8" t="s">
        <v>67</v>
      </c>
      <c r="C152" s="12" t="s">
        <v>299</v>
      </c>
      <c r="D152" s="8">
        <v>9</v>
      </c>
      <c r="E152" s="8" t="s">
        <v>296</v>
      </c>
    </row>
    <row r="153" spans="1:5" x14ac:dyDescent="0.25">
      <c r="A153" s="8" t="str">
        <f t="shared" si="2"/>
        <v>000</v>
      </c>
      <c r="B153" s="8" t="s">
        <v>65</v>
      </c>
      <c r="C153" s="12" t="s">
        <v>66</v>
      </c>
      <c r="D153" s="8">
        <v>9</v>
      </c>
      <c r="E153" s="8" t="s">
        <v>300</v>
      </c>
    </row>
    <row r="154" spans="1:5" x14ac:dyDescent="0.25">
      <c r="A154" s="8" t="str">
        <f t="shared" si="2"/>
        <v>001</v>
      </c>
      <c r="B154" s="8" t="s">
        <v>262</v>
      </c>
      <c r="C154" s="12" t="s">
        <v>287</v>
      </c>
      <c r="D154" s="8">
        <v>9</v>
      </c>
      <c r="E154" s="8" t="s">
        <v>300</v>
      </c>
    </row>
    <row r="155" spans="1:5" x14ac:dyDescent="0.25">
      <c r="A155" s="8" t="str">
        <f t="shared" si="2"/>
        <v>002</v>
      </c>
      <c r="B155" s="8" t="s">
        <v>264</v>
      </c>
      <c r="C155" s="12" t="s">
        <v>289</v>
      </c>
      <c r="D155" s="8">
        <v>9</v>
      </c>
      <c r="E155" s="8" t="s">
        <v>300</v>
      </c>
    </row>
    <row r="156" spans="1:5" x14ac:dyDescent="0.25">
      <c r="A156" s="8" t="str">
        <f t="shared" si="2"/>
        <v>003</v>
      </c>
      <c r="B156" s="8" t="s">
        <v>67</v>
      </c>
      <c r="C156" s="12" t="s">
        <v>290</v>
      </c>
      <c r="D156" s="8">
        <v>9</v>
      </c>
      <c r="E156" s="8" t="s">
        <v>300</v>
      </c>
    </row>
    <row r="157" spans="1:5" x14ac:dyDescent="0.25">
      <c r="A157" s="8" t="str">
        <f t="shared" si="2"/>
        <v>004</v>
      </c>
      <c r="B157" s="8" t="s">
        <v>69</v>
      </c>
      <c r="C157" s="12" t="s">
        <v>291</v>
      </c>
      <c r="D157" s="8">
        <v>9</v>
      </c>
      <c r="E157" s="8" t="s">
        <v>300</v>
      </c>
    </row>
    <row r="158" spans="1:5" x14ac:dyDescent="0.25">
      <c r="A158" s="8" t="str">
        <f t="shared" si="2"/>
        <v>005</v>
      </c>
      <c r="B158" s="8" t="s">
        <v>78</v>
      </c>
      <c r="C158" s="12" t="s">
        <v>292</v>
      </c>
      <c r="D158" s="8">
        <v>9</v>
      </c>
      <c r="E158" s="8" t="s">
        <v>300</v>
      </c>
    </row>
    <row r="159" spans="1:5" x14ac:dyDescent="0.25">
      <c r="A159" s="8" t="str">
        <f t="shared" si="2"/>
        <v>005</v>
      </c>
      <c r="B159" s="8" t="s">
        <v>78</v>
      </c>
      <c r="C159" s="12" t="s">
        <v>301</v>
      </c>
      <c r="D159" s="8">
        <v>9</v>
      </c>
      <c r="E159" s="8" t="s">
        <v>302</v>
      </c>
    </row>
    <row r="160" spans="1:5" x14ac:dyDescent="0.25">
      <c r="A160" s="8" t="str">
        <f t="shared" si="2"/>
        <v>010</v>
      </c>
      <c r="B160" s="8" t="s">
        <v>61</v>
      </c>
      <c r="C160" s="12" t="s">
        <v>303</v>
      </c>
      <c r="D160" s="8">
        <v>9</v>
      </c>
      <c r="E160" s="8" t="s">
        <v>302</v>
      </c>
    </row>
    <row r="161" spans="1:5" x14ac:dyDescent="0.25">
      <c r="A161" s="8" t="str">
        <f t="shared" si="2"/>
        <v>050</v>
      </c>
      <c r="B161" s="8" t="s">
        <v>304</v>
      </c>
      <c r="C161" s="12" t="s">
        <v>305</v>
      </c>
      <c r="D161" s="8">
        <v>9</v>
      </c>
      <c r="E161" s="8" t="s">
        <v>302</v>
      </c>
    </row>
    <row r="162" spans="1:5" x14ac:dyDescent="0.25">
      <c r="A162" s="8" t="str">
        <f t="shared" si="2"/>
        <v>100</v>
      </c>
      <c r="B162" s="8" t="s">
        <v>90</v>
      </c>
      <c r="C162" s="12" t="s">
        <v>306</v>
      </c>
      <c r="D162" s="8">
        <v>9</v>
      </c>
      <c r="E162" s="8" t="s">
        <v>302</v>
      </c>
    </row>
    <row r="163" spans="1:5" x14ac:dyDescent="0.25">
      <c r="A163" s="8" t="str">
        <f t="shared" si="2"/>
        <v>120</v>
      </c>
      <c r="B163" s="8">
        <v>120</v>
      </c>
      <c r="C163" s="12" t="s">
        <v>307</v>
      </c>
      <c r="D163" s="8">
        <v>9</v>
      </c>
      <c r="E163" s="8" t="s">
        <v>302</v>
      </c>
    </row>
    <row r="164" spans="1:5" x14ac:dyDescent="0.25">
      <c r="A164" s="8" t="str">
        <f t="shared" si="2"/>
        <v>150</v>
      </c>
      <c r="B164" s="8">
        <v>150</v>
      </c>
      <c r="C164" s="12" t="s">
        <v>308</v>
      </c>
      <c r="D164" s="8">
        <v>9</v>
      </c>
      <c r="E164" s="8" t="s">
        <v>302</v>
      </c>
    </row>
    <row r="165" spans="1:5" x14ac:dyDescent="0.25">
      <c r="A165" s="8" t="str">
        <f t="shared" si="2"/>
        <v>175</v>
      </c>
      <c r="B165" s="8">
        <v>175</v>
      </c>
      <c r="C165" s="12" t="s">
        <v>309</v>
      </c>
      <c r="D165" s="8">
        <v>9</v>
      </c>
      <c r="E165" s="8" t="s">
        <v>302</v>
      </c>
    </row>
    <row r="166" spans="1:5" x14ac:dyDescent="0.25">
      <c r="A166" s="8" t="str">
        <f t="shared" si="2"/>
        <v>200</v>
      </c>
      <c r="B166" s="8">
        <v>200</v>
      </c>
      <c r="C166" s="12" t="s">
        <v>310</v>
      </c>
      <c r="D166" s="8">
        <v>9</v>
      </c>
      <c r="E166" s="8" t="s">
        <v>302</v>
      </c>
    </row>
    <row r="167" spans="1:5" x14ac:dyDescent="0.25">
      <c r="A167" s="8" t="str">
        <f t="shared" si="2"/>
        <v>000</v>
      </c>
      <c r="B167" s="8" t="s">
        <v>65</v>
      </c>
      <c r="C167" s="12" t="s">
        <v>311</v>
      </c>
      <c r="D167" s="8">
        <v>10</v>
      </c>
      <c r="E167" s="8" t="s">
        <v>288</v>
      </c>
    </row>
    <row r="168" spans="1:5" x14ac:dyDescent="0.25">
      <c r="A168" s="8" t="str">
        <f t="shared" si="2"/>
        <v>001</v>
      </c>
      <c r="B168" s="8" t="s">
        <v>262</v>
      </c>
      <c r="C168" s="12" t="s">
        <v>312</v>
      </c>
      <c r="D168" s="8">
        <v>10</v>
      </c>
      <c r="E168" s="8" t="s">
        <v>288</v>
      </c>
    </row>
    <row r="169" spans="1:5" x14ac:dyDescent="0.25">
      <c r="A169" s="8" t="str">
        <f t="shared" si="2"/>
        <v>002</v>
      </c>
      <c r="B169" s="8" t="s">
        <v>264</v>
      </c>
      <c r="C169" s="12" t="s">
        <v>313</v>
      </c>
      <c r="D169" s="8">
        <v>10</v>
      </c>
      <c r="E169" s="8" t="s">
        <v>288</v>
      </c>
    </row>
    <row r="170" spans="1:5" x14ac:dyDescent="0.25">
      <c r="A170" s="8" t="str">
        <f t="shared" si="2"/>
        <v>001</v>
      </c>
      <c r="B170" s="8" t="s">
        <v>262</v>
      </c>
      <c r="C170" s="12" t="s">
        <v>314</v>
      </c>
      <c r="D170" s="8">
        <v>10</v>
      </c>
      <c r="E170" s="8" t="s">
        <v>296</v>
      </c>
    </row>
    <row r="171" spans="1:5" x14ac:dyDescent="0.25">
      <c r="A171" s="8" t="str">
        <f t="shared" si="2"/>
        <v>001</v>
      </c>
      <c r="B171" s="8" t="s">
        <v>262</v>
      </c>
      <c r="C171" s="12" t="s">
        <v>315</v>
      </c>
      <c r="D171" s="8">
        <v>10</v>
      </c>
    </row>
    <row r="172" spans="1:5" x14ac:dyDescent="0.25">
      <c r="A172" s="8" t="str">
        <f t="shared" si="2"/>
        <v>000</v>
      </c>
      <c r="B172" s="8" t="s">
        <v>65</v>
      </c>
      <c r="C172" s="12" t="s">
        <v>316</v>
      </c>
      <c r="D172" s="8">
        <v>10</v>
      </c>
      <c r="E172" s="8" t="s">
        <v>317</v>
      </c>
    </row>
    <row r="173" spans="1:5" x14ac:dyDescent="0.25">
      <c r="A173" s="8" t="str">
        <f t="shared" si="2"/>
        <v>001</v>
      </c>
      <c r="B173" s="8" t="s">
        <v>262</v>
      </c>
      <c r="C173" s="12" t="s">
        <v>318</v>
      </c>
      <c r="D173" s="8">
        <v>10</v>
      </c>
      <c r="E173" s="8" t="s">
        <v>317</v>
      </c>
    </row>
    <row r="174" spans="1:5" x14ac:dyDescent="0.25">
      <c r="A174" s="8" t="str">
        <f t="shared" si="2"/>
        <v>002</v>
      </c>
      <c r="B174" s="8" t="s">
        <v>264</v>
      </c>
      <c r="C174" s="12" t="s">
        <v>319</v>
      </c>
      <c r="D174" s="8">
        <v>10</v>
      </c>
      <c r="E174" s="8" t="s">
        <v>317</v>
      </c>
    </row>
    <row r="175" spans="1:5" x14ac:dyDescent="0.25">
      <c r="A175" s="8" t="str">
        <f t="shared" si="2"/>
        <v>003</v>
      </c>
      <c r="B175" s="8" t="s">
        <v>67</v>
      </c>
      <c r="C175" s="12" t="s">
        <v>320</v>
      </c>
      <c r="D175" s="8">
        <v>10</v>
      </c>
      <c r="E175" s="8" t="s">
        <v>317</v>
      </c>
    </row>
    <row r="176" spans="1:5" x14ac:dyDescent="0.25">
      <c r="A176" s="8" t="str">
        <f t="shared" si="2"/>
        <v>004</v>
      </c>
      <c r="B176" s="8" t="s">
        <v>69</v>
      </c>
      <c r="C176" s="12" t="s">
        <v>321</v>
      </c>
      <c r="D176" s="8">
        <v>10</v>
      </c>
      <c r="E176" s="8" t="s">
        <v>317</v>
      </c>
    </row>
    <row r="177" spans="1:5" x14ac:dyDescent="0.25">
      <c r="A177" s="8" t="str">
        <f t="shared" si="2"/>
        <v>005</v>
      </c>
      <c r="B177" s="8" t="s">
        <v>78</v>
      </c>
      <c r="C177" s="12" t="s">
        <v>322</v>
      </c>
      <c r="D177" s="8">
        <v>10</v>
      </c>
      <c r="E177" s="8" t="s">
        <v>317</v>
      </c>
    </row>
    <row r="178" spans="1:5" x14ac:dyDescent="0.25">
      <c r="A178" s="8" t="str">
        <f t="shared" si="2"/>
        <v>001</v>
      </c>
      <c r="B178" s="8" t="s">
        <v>262</v>
      </c>
      <c r="C178" s="12" t="s">
        <v>323</v>
      </c>
      <c r="D178" s="8">
        <v>10</v>
      </c>
      <c r="E178" s="8" t="s">
        <v>324</v>
      </c>
    </row>
    <row r="179" spans="1:5" x14ac:dyDescent="0.25">
      <c r="A179" s="8" t="str">
        <f t="shared" si="2"/>
        <v>001</v>
      </c>
      <c r="B179" s="8" t="s">
        <v>262</v>
      </c>
      <c r="C179" s="12" t="s">
        <v>325</v>
      </c>
      <c r="D179" s="8">
        <v>10</v>
      </c>
      <c r="E179" s="8" t="s">
        <v>326</v>
      </c>
    </row>
    <row r="180" spans="1:5" x14ac:dyDescent="0.25">
      <c r="A180" s="8" t="str">
        <f t="shared" si="2"/>
        <v>000</v>
      </c>
      <c r="B180" s="8" t="s">
        <v>65</v>
      </c>
      <c r="C180" s="12" t="s">
        <v>66</v>
      </c>
      <c r="D180" s="8">
        <v>11</v>
      </c>
      <c r="E180" s="8" t="s">
        <v>282</v>
      </c>
    </row>
    <row r="181" spans="1:5" x14ac:dyDescent="0.25">
      <c r="A181" s="8" t="str">
        <f t="shared" si="2"/>
        <v>001</v>
      </c>
      <c r="B181" s="8" t="s">
        <v>262</v>
      </c>
      <c r="C181" s="12" t="s">
        <v>327</v>
      </c>
      <c r="D181" s="8">
        <v>11</v>
      </c>
      <c r="E181" s="8" t="s">
        <v>282</v>
      </c>
    </row>
    <row r="182" spans="1:5" x14ac:dyDescent="0.25">
      <c r="A182" s="8" t="str">
        <f t="shared" si="2"/>
        <v>002</v>
      </c>
      <c r="B182" s="8" t="s">
        <v>264</v>
      </c>
      <c r="C182" s="12" t="s">
        <v>328</v>
      </c>
      <c r="D182" s="8">
        <v>11</v>
      </c>
      <c r="E182" s="8" t="s">
        <v>282</v>
      </c>
    </row>
    <row r="183" spans="1:5" x14ac:dyDescent="0.25">
      <c r="A183" s="8" t="str">
        <f t="shared" si="2"/>
        <v>003</v>
      </c>
      <c r="B183" s="8" t="s">
        <v>67</v>
      </c>
      <c r="C183" s="12" t="s">
        <v>329</v>
      </c>
      <c r="D183" s="8">
        <v>11</v>
      </c>
      <c r="E183" s="8" t="s">
        <v>282</v>
      </c>
    </row>
    <row r="184" spans="1:5" x14ac:dyDescent="0.25">
      <c r="A184" s="8" t="str">
        <f t="shared" si="2"/>
        <v>004</v>
      </c>
      <c r="B184" s="8" t="s">
        <v>69</v>
      </c>
      <c r="C184" s="12" t="s">
        <v>330</v>
      </c>
      <c r="D184" s="8">
        <v>11</v>
      </c>
      <c r="E184" s="8" t="s">
        <v>282</v>
      </c>
    </row>
    <row r="185" spans="1:5" x14ac:dyDescent="0.25">
      <c r="A185" s="8" t="str">
        <f t="shared" si="2"/>
        <v>005</v>
      </c>
      <c r="B185" s="8" t="s">
        <v>78</v>
      </c>
      <c r="C185" s="12" t="s">
        <v>331</v>
      </c>
      <c r="D185" s="8">
        <v>11</v>
      </c>
      <c r="E185" s="8" t="s">
        <v>282</v>
      </c>
    </row>
    <row r="186" spans="1:5" x14ac:dyDescent="0.25">
      <c r="A186" s="8" t="str">
        <f t="shared" si="2"/>
        <v>000</v>
      </c>
      <c r="B186" s="8" t="s">
        <v>65</v>
      </c>
      <c r="C186" s="12" t="s">
        <v>66</v>
      </c>
      <c r="D186" s="8">
        <v>11</v>
      </c>
      <c r="E186" s="8" t="s">
        <v>288</v>
      </c>
    </row>
    <row r="187" spans="1:5" x14ac:dyDescent="0.25">
      <c r="A187" s="8" t="str">
        <f t="shared" si="2"/>
        <v>001</v>
      </c>
      <c r="B187" s="8" t="s">
        <v>262</v>
      </c>
      <c r="C187" s="12" t="s">
        <v>332</v>
      </c>
      <c r="D187" s="8">
        <v>11</v>
      </c>
      <c r="E187" s="8" t="s">
        <v>288</v>
      </c>
    </row>
    <row r="188" spans="1:5" x14ac:dyDescent="0.25">
      <c r="A188" s="8" t="str">
        <f t="shared" si="2"/>
        <v>002</v>
      </c>
      <c r="B188" s="8" t="s">
        <v>264</v>
      </c>
      <c r="C188" s="12" t="s">
        <v>333</v>
      </c>
      <c r="D188" s="8">
        <v>11</v>
      </c>
      <c r="E188" s="8" t="s">
        <v>288</v>
      </c>
    </row>
    <row r="189" spans="1:5" x14ac:dyDescent="0.25">
      <c r="A189" s="8" t="str">
        <f t="shared" si="2"/>
        <v>003</v>
      </c>
      <c r="B189" s="8" t="s">
        <v>67</v>
      </c>
      <c r="C189" s="12" t="s">
        <v>334</v>
      </c>
      <c r="D189" s="8">
        <v>11</v>
      </c>
      <c r="E189" s="8" t="s">
        <v>288</v>
      </c>
    </row>
    <row r="190" spans="1:5" x14ac:dyDescent="0.25">
      <c r="A190" s="8" t="str">
        <f t="shared" si="2"/>
        <v>004</v>
      </c>
      <c r="B190" s="8" t="s">
        <v>69</v>
      </c>
      <c r="C190" s="12" t="s">
        <v>335</v>
      </c>
      <c r="D190" s="8">
        <v>11</v>
      </c>
      <c r="E190" s="8" t="s">
        <v>288</v>
      </c>
    </row>
    <row r="191" spans="1:5" x14ac:dyDescent="0.25">
      <c r="A191" s="8" t="str">
        <f t="shared" si="2"/>
        <v>005</v>
      </c>
      <c r="B191" s="8" t="s">
        <v>78</v>
      </c>
      <c r="C191" s="12" t="s">
        <v>336</v>
      </c>
      <c r="D191" s="8">
        <v>11</v>
      </c>
      <c r="E191" s="8" t="s">
        <v>288</v>
      </c>
    </row>
    <row r="192" spans="1:5" x14ac:dyDescent="0.25">
      <c r="A192" s="8" t="str">
        <f t="shared" si="2"/>
        <v>006</v>
      </c>
      <c r="B192" s="8" t="s">
        <v>80</v>
      </c>
      <c r="C192" s="12" t="s">
        <v>337</v>
      </c>
      <c r="D192" s="8">
        <v>11</v>
      </c>
      <c r="E192" s="8" t="s">
        <v>288</v>
      </c>
    </row>
    <row r="193" spans="1:5" x14ac:dyDescent="0.25">
      <c r="A193" s="8" t="str">
        <f t="shared" si="2"/>
        <v>007</v>
      </c>
      <c r="B193" s="8" t="s">
        <v>71</v>
      </c>
      <c r="C193" s="12" t="s">
        <v>338</v>
      </c>
      <c r="D193" s="8">
        <v>11</v>
      </c>
      <c r="E193" s="8" t="s">
        <v>288</v>
      </c>
    </row>
    <row r="194" spans="1:5" x14ac:dyDescent="0.25">
      <c r="A194" s="8" t="str">
        <f t="shared" si="2"/>
        <v>008</v>
      </c>
      <c r="B194" s="8" t="s">
        <v>271</v>
      </c>
      <c r="C194" s="12" t="s">
        <v>339</v>
      </c>
      <c r="D194" s="8">
        <v>11</v>
      </c>
      <c r="E194" s="8" t="s">
        <v>288</v>
      </c>
    </row>
    <row r="195" spans="1:5" x14ac:dyDescent="0.25">
      <c r="A195" s="8" t="str">
        <f t="shared" ref="A195:A258" si="3">TEXT(B195,"000")</f>
        <v>009</v>
      </c>
      <c r="B195" s="8" t="s">
        <v>273</v>
      </c>
      <c r="C195" s="12" t="s">
        <v>340</v>
      </c>
      <c r="D195" s="8">
        <v>11</v>
      </c>
      <c r="E195" s="8" t="s">
        <v>288</v>
      </c>
    </row>
    <row r="196" spans="1:5" x14ac:dyDescent="0.25">
      <c r="A196" s="8" t="str">
        <f t="shared" si="3"/>
        <v>010</v>
      </c>
      <c r="B196" s="8" t="s">
        <v>61</v>
      </c>
      <c r="C196" s="12" t="s">
        <v>341</v>
      </c>
      <c r="D196" s="8">
        <v>11</v>
      </c>
      <c r="E196" s="8" t="s">
        <v>288</v>
      </c>
    </row>
    <row r="197" spans="1:5" x14ac:dyDescent="0.25">
      <c r="A197" s="8" t="str">
        <f t="shared" si="3"/>
        <v>011</v>
      </c>
      <c r="B197" s="8" t="s">
        <v>74</v>
      </c>
      <c r="C197" s="12" t="s">
        <v>342</v>
      </c>
      <c r="D197" s="8">
        <v>11</v>
      </c>
      <c r="E197" s="8" t="s">
        <v>288</v>
      </c>
    </row>
    <row r="198" spans="1:5" x14ac:dyDescent="0.25">
      <c r="A198" s="8" t="str">
        <f t="shared" si="3"/>
        <v>012</v>
      </c>
      <c r="B198" s="8" t="s">
        <v>76</v>
      </c>
      <c r="C198" s="12" t="s">
        <v>343</v>
      </c>
      <c r="D198" s="8">
        <v>11</v>
      </c>
      <c r="E198" s="8" t="s">
        <v>288</v>
      </c>
    </row>
    <row r="199" spans="1:5" x14ac:dyDescent="0.25">
      <c r="A199" s="8" t="str">
        <f t="shared" si="3"/>
        <v>013</v>
      </c>
      <c r="B199" s="8" t="s">
        <v>278</v>
      </c>
      <c r="C199" s="12" t="s">
        <v>344</v>
      </c>
      <c r="D199" s="8">
        <v>11</v>
      </c>
      <c r="E199" s="8" t="s">
        <v>288</v>
      </c>
    </row>
    <row r="200" spans="1:5" x14ac:dyDescent="0.25">
      <c r="A200" s="8" t="str">
        <f t="shared" si="3"/>
        <v>014</v>
      </c>
      <c r="B200" s="8" t="s">
        <v>280</v>
      </c>
      <c r="C200" s="12" t="s">
        <v>345</v>
      </c>
      <c r="D200" s="8">
        <v>11</v>
      </c>
      <c r="E200" s="8" t="s">
        <v>288</v>
      </c>
    </row>
    <row r="201" spans="1:5" x14ac:dyDescent="0.25">
      <c r="A201" s="8" t="str">
        <f t="shared" si="3"/>
        <v>015</v>
      </c>
      <c r="B201" s="8" t="s">
        <v>346</v>
      </c>
      <c r="C201" s="12" t="s">
        <v>347</v>
      </c>
      <c r="D201" s="8">
        <v>11</v>
      </c>
      <c r="E201" s="8" t="s">
        <v>288</v>
      </c>
    </row>
    <row r="202" spans="1:5" x14ac:dyDescent="0.25">
      <c r="A202" s="8" t="str">
        <f t="shared" si="3"/>
        <v>016</v>
      </c>
      <c r="B202" s="8" t="s">
        <v>82</v>
      </c>
      <c r="C202" s="12" t="s">
        <v>348</v>
      </c>
      <c r="D202" s="8">
        <v>11</v>
      </c>
      <c r="E202" s="8" t="s">
        <v>288</v>
      </c>
    </row>
    <row r="203" spans="1:5" x14ac:dyDescent="0.25">
      <c r="A203" s="8" t="str">
        <f t="shared" si="3"/>
        <v>017</v>
      </c>
      <c r="B203" s="8" t="s">
        <v>349</v>
      </c>
      <c r="C203" s="12" t="s">
        <v>350</v>
      </c>
      <c r="D203" s="8">
        <v>11</v>
      </c>
      <c r="E203" s="8" t="s">
        <v>288</v>
      </c>
    </row>
    <row r="204" spans="1:5" x14ac:dyDescent="0.25">
      <c r="A204" s="8" t="str">
        <f t="shared" si="3"/>
        <v>018</v>
      </c>
      <c r="B204" s="8" t="s">
        <v>351</v>
      </c>
      <c r="C204" s="12" t="s">
        <v>352</v>
      </c>
      <c r="D204" s="8">
        <v>11</v>
      </c>
      <c r="E204" s="8" t="s">
        <v>288</v>
      </c>
    </row>
    <row r="205" spans="1:5" x14ac:dyDescent="0.25">
      <c r="A205" s="8" t="str">
        <f t="shared" si="3"/>
        <v>019</v>
      </c>
      <c r="B205" s="8" t="s">
        <v>353</v>
      </c>
      <c r="C205" s="12" t="s">
        <v>354</v>
      </c>
      <c r="D205" s="8">
        <v>11</v>
      </c>
      <c r="E205" s="8" t="s">
        <v>288</v>
      </c>
    </row>
    <row r="206" spans="1:5" x14ac:dyDescent="0.25">
      <c r="A206" s="8" t="str">
        <f t="shared" si="3"/>
        <v>020</v>
      </c>
      <c r="B206" s="8" t="s">
        <v>63</v>
      </c>
      <c r="C206" s="12" t="s">
        <v>355</v>
      </c>
      <c r="D206" s="8">
        <v>11</v>
      </c>
      <c r="E206" s="8" t="s">
        <v>288</v>
      </c>
    </row>
    <row r="207" spans="1:5" x14ac:dyDescent="0.25">
      <c r="A207" s="8" t="str">
        <f t="shared" si="3"/>
        <v>021</v>
      </c>
      <c r="B207" s="8" t="s">
        <v>356</v>
      </c>
      <c r="C207" s="12" t="s">
        <v>357</v>
      </c>
      <c r="D207" s="8">
        <v>11</v>
      </c>
      <c r="E207" s="8" t="s">
        <v>288</v>
      </c>
    </row>
    <row r="208" spans="1:5" x14ac:dyDescent="0.25">
      <c r="A208" s="8" t="str">
        <f t="shared" si="3"/>
        <v>022</v>
      </c>
      <c r="B208" s="8" t="s">
        <v>358</v>
      </c>
      <c r="C208" s="12" t="s">
        <v>359</v>
      </c>
      <c r="D208" s="8">
        <v>11</v>
      </c>
      <c r="E208" s="8" t="s">
        <v>288</v>
      </c>
    </row>
    <row r="209" spans="1:5" x14ac:dyDescent="0.25">
      <c r="A209" s="8" t="str">
        <f t="shared" si="3"/>
        <v>023</v>
      </c>
      <c r="B209" s="8" t="s">
        <v>360</v>
      </c>
      <c r="C209" s="12" t="s">
        <v>361</v>
      </c>
      <c r="D209" s="8">
        <v>11</v>
      </c>
      <c r="E209" s="8" t="s">
        <v>288</v>
      </c>
    </row>
    <row r="210" spans="1:5" x14ac:dyDescent="0.25">
      <c r="A210" s="8" t="str">
        <f t="shared" si="3"/>
        <v>024</v>
      </c>
      <c r="B210" s="8" t="s">
        <v>362</v>
      </c>
      <c r="C210" s="12" t="s">
        <v>363</v>
      </c>
      <c r="D210" s="8">
        <v>11</v>
      </c>
      <c r="E210" s="8" t="s">
        <v>288</v>
      </c>
    </row>
    <row r="211" spans="1:5" x14ac:dyDescent="0.25">
      <c r="A211" s="8" t="str">
        <f t="shared" si="3"/>
        <v>025</v>
      </c>
      <c r="B211" s="8" t="s">
        <v>84</v>
      </c>
      <c r="C211" s="12" t="s">
        <v>364</v>
      </c>
      <c r="D211" s="8">
        <v>11</v>
      </c>
      <c r="E211" s="8" t="s">
        <v>288</v>
      </c>
    </row>
    <row r="212" spans="1:5" x14ac:dyDescent="0.25">
      <c r="A212" s="8" t="str">
        <f t="shared" si="3"/>
        <v>026</v>
      </c>
      <c r="B212" s="8" t="s">
        <v>365</v>
      </c>
      <c r="C212" s="12" t="s">
        <v>366</v>
      </c>
      <c r="D212" s="8">
        <v>11</v>
      </c>
      <c r="E212" s="8" t="s">
        <v>288</v>
      </c>
    </row>
    <row r="213" spans="1:5" x14ac:dyDescent="0.25">
      <c r="A213" s="8" t="str">
        <f t="shared" si="3"/>
        <v>027</v>
      </c>
      <c r="B213" s="8" t="s">
        <v>367</v>
      </c>
      <c r="C213" s="12" t="s">
        <v>368</v>
      </c>
      <c r="D213" s="8">
        <v>11</v>
      </c>
      <c r="E213" s="8" t="s">
        <v>288</v>
      </c>
    </row>
    <row r="214" spans="1:5" x14ac:dyDescent="0.25">
      <c r="A214" s="8" t="str">
        <f t="shared" si="3"/>
        <v>028</v>
      </c>
      <c r="B214" s="8" t="s">
        <v>369</v>
      </c>
      <c r="C214" s="12" t="s">
        <v>370</v>
      </c>
      <c r="D214" s="8">
        <v>11</v>
      </c>
      <c r="E214" s="8" t="s">
        <v>288</v>
      </c>
    </row>
    <row r="215" spans="1:5" x14ac:dyDescent="0.25">
      <c r="A215" s="8" t="str">
        <f t="shared" si="3"/>
        <v>029</v>
      </c>
      <c r="B215" s="8" t="s">
        <v>371</v>
      </c>
      <c r="C215" s="12" t="s">
        <v>372</v>
      </c>
      <c r="D215" s="8">
        <v>11</v>
      </c>
      <c r="E215" s="8" t="s">
        <v>288</v>
      </c>
    </row>
    <row r="216" spans="1:5" x14ac:dyDescent="0.25">
      <c r="A216" s="8" t="str">
        <f t="shared" si="3"/>
        <v>030</v>
      </c>
      <c r="B216" s="8" t="s">
        <v>373</v>
      </c>
      <c r="C216" s="12" t="s">
        <v>374</v>
      </c>
      <c r="D216" s="8">
        <v>11</v>
      </c>
      <c r="E216" s="8" t="s">
        <v>288</v>
      </c>
    </row>
    <row r="217" spans="1:5" x14ac:dyDescent="0.25">
      <c r="A217" s="8" t="str">
        <f t="shared" si="3"/>
        <v>031</v>
      </c>
      <c r="B217" s="8" t="s">
        <v>375</v>
      </c>
      <c r="C217" s="12" t="s">
        <v>376</v>
      </c>
      <c r="D217" s="8">
        <v>11</v>
      </c>
      <c r="E217" s="8" t="s">
        <v>288</v>
      </c>
    </row>
    <row r="218" spans="1:5" x14ac:dyDescent="0.25">
      <c r="A218" s="8" t="str">
        <f t="shared" si="3"/>
        <v>032</v>
      </c>
      <c r="B218" s="8" t="s">
        <v>377</v>
      </c>
      <c r="C218" s="12" t="s">
        <v>378</v>
      </c>
      <c r="D218" s="8">
        <v>11</v>
      </c>
      <c r="E218" s="8" t="s">
        <v>288</v>
      </c>
    </row>
    <row r="219" spans="1:5" x14ac:dyDescent="0.25">
      <c r="A219" s="8" t="str">
        <f t="shared" si="3"/>
        <v>033</v>
      </c>
      <c r="B219" s="8" t="s">
        <v>379</v>
      </c>
      <c r="C219" s="12" t="s">
        <v>380</v>
      </c>
      <c r="D219" s="8">
        <v>11</v>
      </c>
      <c r="E219" s="8" t="s">
        <v>288</v>
      </c>
    </row>
    <row r="220" spans="1:5" x14ac:dyDescent="0.25">
      <c r="A220" s="8" t="str">
        <f t="shared" si="3"/>
        <v>034</v>
      </c>
      <c r="B220" s="8" t="s">
        <v>381</v>
      </c>
      <c r="C220" s="12" t="s">
        <v>382</v>
      </c>
      <c r="D220" s="8">
        <v>11</v>
      </c>
      <c r="E220" s="8" t="s">
        <v>288</v>
      </c>
    </row>
    <row r="221" spans="1:5" x14ac:dyDescent="0.25">
      <c r="A221" s="8" t="str">
        <f t="shared" si="3"/>
        <v>035</v>
      </c>
      <c r="B221" s="8" t="s">
        <v>383</v>
      </c>
      <c r="C221" s="12" t="s">
        <v>384</v>
      </c>
      <c r="D221" s="8">
        <v>11</v>
      </c>
      <c r="E221" s="8" t="s">
        <v>288</v>
      </c>
    </row>
    <row r="222" spans="1:5" x14ac:dyDescent="0.25">
      <c r="A222" s="8" t="str">
        <f t="shared" si="3"/>
        <v>036</v>
      </c>
      <c r="B222" s="8" t="s">
        <v>385</v>
      </c>
      <c r="C222" s="12" t="s">
        <v>386</v>
      </c>
      <c r="D222" s="8">
        <v>11</v>
      </c>
      <c r="E222" s="8" t="s">
        <v>288</v>
      </c>
    </row>
    <row r="223" spans="1:5" x14ac:dyDescent="0.25">
      <c r="A223" s="8" t="str">
        <f t="shared" si="3"/>
        <v>037</v>
      </c>
      <c r="B223" s="8" t="s">
        <v>387</v>
      </c>
      <c r="C223" s="12" t="s">
        <v>388</v>
      </c>
      <c r="D223" s="8">
        <v>11</v>
      </c>
      <c r="E223" s="8" t="s">
        <v>288</v>
      </c>
    </row>
    <row r="224" spans="1:5" x14ac:dyDescent="0.25">
      <c r="A224" s="8" t="str">
        <f t="shared" si="3"/>
        <v>038</v>
      </c>
      <c r="B224" s="8" t="s">
        <v>389</v>
      </c>
      <c r="C224" s="12" t="s">
        <v>390</v>
      </c>
      <c r="D224" s="8">
        <v>11</v>
      </c>
      <c r="E224" s="8" t="s">
        <v>288</v>
      </c>
    </row>
    <row r="225" spans="1:5" x14ac:dyDescent="0.25">
      <c r="A225" s="8" t="str">
        <f t="shared" si="3"/>
        <v>039</v>
      </c>
      <c r="B225" s="8" t="s">
        <v>391</v>
      </c>
      <c r="C225" s="12" t="s">
        <v>392</v>
      </c>
      <c r="D225" s="8">
        <v>11</v>
      </c>
      <c r="E225" s="8" t="s">
        <v>288</v>
      </c>
    </row>
    <row r="226" spans="1:5" x14ac:dyDescent="0.25">
      <c r="A226" s="8" t="str">
        <f t="shared" si="3"/>
        <v>040</v>
      </c>
      <c r="B226" s="8" t="s">
        <v>86</v>
      </c>
      <c r="C226" s="12" t="s">
        <v>393</v>
      </c>
      <c r="D226" s="8">
        <v>11</v>
      </c>
      <c r="E226" s="8" t="s">
        <v>288</v>
      </c>
    </row>
    <row r="227" spans="1:5" x14ac:dyDescent="0.25">
      <c r="A227" s="8" t="str">
        <f t="shared" si="3"/>
        <v>041</v>
      </c>
      <c r="B227" s="8" t="s">
        <v>394</v>
      </c>
      <c r="C227" s="12" t="s">
        <v>395</v>
      </c>
      <c r="D227" s="8">
        <v>11</v>
      </c>
      <c r="E227" s="8" t="s">
        <v>288</v>
      </c>
    </row>
    <row r="228" spans="1:5" x14ac:dyDescent="0.25">
      <c r="A228" s="8" t="str">
        <f t="shared" si="3"/>
        <v>050</v>
      </c>
      <c r="B228" s="8" t="s">
        <v>304</v>
      </c>
      <c r="C228" s="12" t="s">
        <v>396</v>
      </c>
      <c r="D228" s="8">
        <v>11</v>
      </c>
      <c r="E228" s="8" t="s">
        <v>288</v>
      </c>
    </row>
    <row r="229" spans="1:5" x14ac:dyDescent="0.25">
      <c r="A229" s="8" t="str">
        <f t="shared" si="3"/>
        <v>051</v>
      </c>
      <c r="B229" s="8" t="s">
        <v>397</v>
      </c>
      <c r="C229" s="12" t="s">
        <v>398</v>
      </c>
      <c r="D229" s="8">
        <v>11</v>
      </c>
      <c r="E229" s="8" t="s">
        <v>288</v>
      </c>
    </row>
    <row r="230" spans="1:5" x14ac:dyDescent="0.25">
      <c r="A230" s="8" t="str">
        <f t="shared" si="3"/>
        <v>052</v>
      </c>
      <c r="B230" s="8" t="s">
        <v>399</v>
      </c>
      <c r="C230" s="12" t="s">
        <v>400</v>
      </c>
      <c r="D230" s="8">
        <v>11</v>
      </c>
      <c r="E230" s="8" t="s">
        <v>288</v>
      </c>
    </row>
    <row r="231" spans="1:5" x14ac:dyDescent="0.25">
      <c r="A231" s="8" t="str">
        <f t="shared" si="3"/>
        <v>053</v>
      </c>
      <c r="B231" s="8" t="s">
        <v>401</v>
      </c>
      <c r="C231" s="12" t="s">
        <v>402</v>
      </c>
      <c r="D231" s="8">
        <v>11</v>
      </c>
      <c r="E231" s="8" t="s">
        <v>288</v>
      </c>
    </row>
    <row r="232" spans="1:5" x14ac:dyDescent="0.25">
      <c r="A232" s="8" t="str">
        <f t="shared" si="3"/>
        <v>054</v>
      </c>
      <c r="B232" s="8" t="s">
        <v>403</v>
      </c>
      <c r="C232" s="12" t="s">
        <v>404</v>
      </c>
      <c r="D232" s="8">
        <v>11</v>
      </c>
      <c r="E232" s="8" t="s">
        <v>288</v>
      </c>
    </row>
    <row r="233" spans="1:5" x14ac:dyDescent="0.25">
      <c r="A233" s="8" t="str">
        <f t="shared" si="3"/>
        <v>055</v>
      </c>
      <c r="B233" s="8" t="s">
        <v>405</v>
      </c>
      <c r="C233" s="12" t="s">
        <v>406</v>
      </c>
      <c r="D233" s="8">
        <v>11</v>
      </c>
      <c r="E233" s="8" t="s">
        <v>288</v>
      </c>
    </row>
    <row r="234" spans="1:5" x14ac:dyDescent="0.25">
      <c r="A234" s="8" t="str">
        <f t="shared" si="3"/>
        <v>056</v>
      </c>
      <c r="B234" s="8" t="s">
        <v>407</v>
      </c>
      <c r="C234" s="12" t="s">
        <v>408</v>
      </c>
      <c r="D234" s="8">
        <v>11</v>
      </c>
      <c r="E234" s="8" t="s">
        <v>288</v>
      </c>
    </row>
    <row r="235" spans="1:5" x14ac:dyDescent="0.25">
      <c r="A235" s="8" t="str">
        <f t="shared" si="3"/>
        <v>057</v>
      </c>
      <c r="B235" s="8" t="s">
        <v>409</v>
      </c>
      <c r="C235" s="12" t="s">
        <v>410</v>
      </c>
      <c r="D235" s="8">
        <v>11</v>
      </c>
      <c r="E235" s="8" t="s">
        <v>288</v>
      </c>
    </row>
    <row r="236" spans="1:5" x14ac:dyDescent="0.25">
      <c r="A236" s="8" t="str">
        <f t="shared" si="3"/>
        <v>058</v>
      </c>
      <c r="B236" s="8" t="s">
        <v>411</v>
      </c>
      <c r="C236" s="12" t="s">
        <v>412</v>
      </c>
      <c r="D236" s="8">
        <v>11</v>
      </c>
      <c r="E236" s="8" t="s">
        <v>288</v>
      </c>
    </row>
    <row r="237" spans="1:5" x14ac:dyDescent="0.25">
      <c r="A237" s="8" t="str">
        <f t="shared" si="3"/>
        <v>059</v>
      </c>
      <c r="B237" s="8" t="s">
        <v>413</v>
      </c>
      <c r="C237" s="12" t="s">
        <v>414</v>
      </c>
      <c r="D237" s="8">
        <v>11</v>
      </c>
      <c r="E237" s="8" t="s">
        <v>288</v>
      </c>
    </row>
    <row r="238" spans="1:5" x14ac:dyDescent="0.25">
      <c r="A238" s="8" t="str">
        <f t="shared" si="3"/>
        <v>060</v>
      </c>
      <c r="B238" s="8" t="s">
        <v>88</v>
      </c>
      <c r="C238" s="12" t="s">
        <v>415</v>
      </c>
      <c r="D238" s="8">
        <v>11</v>
      </c>
      <c r="E238" s="8" t="s">
        <v>288</v>
      </c>
    </row>
    <row r="239" spans="1:5" x14ac:dyDescent="0.25">
      <c r="A239" s="8" t="str">
        <f t="shared" si="3"/>
        <v>000</v>
      </c>
      <c r="B239" s="8" t="s">
        <v>65</v>
      </c>
      <c r="C239" s="12" t="s">
        <v>66</v>
      </c>
      <c r="D239" s="8">
        <v>11</v>
      </c>
      <c r="E239" s="8" t="s">
        <v>416</v>
      </c>
    </row>
    <row r="240" spans="1:5" x14ac:dyDescent="0.25">
      <c r="A240" s="8" t="str">
        <f t="shared" si="3"/>
        <v>001</v>
      </c>
      <c r="B240" s="8" t="s">
        <v>262</v>
      </c>
      <c r="C240" s="12" t="s">
        <v>417</v>
      </c>
      <c r="D240" s="8">
        <v>11</v>
      </c>
      <c r="E240" s="8" t="s">
        <v>416</v>
      </c>
    </row>
    <row r="241" spans="1:5" x14ac:dyDescent="0.25">
      <c r="A241" s="8" t="str">
        <f t="shared" si="3"/>
        <v>002</v>
      </c>
      <c r="B241" s="8" t="s">
        <v>264</v>
      </c>
      <c r="C241" s="12" t="s">
        <v>418</v>
      </c>
      <c r="D241" s="8">
        <v>11</v>
      </c>
      <c r="E241" s="8" t="s">
        <v>416</v>
      </c>
    </row>
    <row r="242" spans="1:5" x14ac:dyDescent="0.25">
      <c r="A242" s="8" t="str">
        <f t="shared" si="3"/>
        <v>000</v>
      </c>
      <c r="B242" s="8" t="s">
        <v>65</v>
      </c>
      <c r="C242" s="12" t="s">
        <v>66</v>
      </c>
      <c r="D242" s="8">
        <v>11</v>
      </c>
      <c r="E242" s="8" t="s">
        <v>419</v>
      </c>
    </row>
    <row r="243" spans="1:5" x14ac:dyDescent="0.25">
      <c r="A243" s="8" t="str">
        <f t="shared" si="3"/>
        <v>001</v>
      </c>
      <c r="B243" s="8" t="s">
        <v>262</v>
      </c>
      <c r="C243" s="12" t="s">
        <v>420</v>
      </c>
      <c r="D243" s="8">
        <v>11</v>
      </c>
      <c r="E243" s="8" t="s">
        <v>419</v>
      </c>
    </row>
    <row r="244" spans="1:5" x14ac:dyDescent="0.25">
      <c r="A244" s="8" t="str">
        <f t="shared" si="3"/>
        <v>002</v>
      </c>
      <c r="B244" s="8" t="s">
        <v>264</v>
      </c>
      <c r="C244" s="12" t="s">
        <v>421</v>
      </c>
      <c r="D244" s="8">
        <v>11</v>
      </c>
      <c r="E244" s="8" t="s">
        <v>419</v>
      </c>
    </row>
    <row r="245" spans="1:5" x14ac:dyDescent="0.25">
      <c r="A245" s="8" t="str">
        <f t="shared" si="3"/>
        <v>003</v>
      </c>
      <c r="B245" s="8" t="s">
        <v>67</v>
      </c>
      <c r="C245" s="12" t="s">
        <v>422</v>
      </c>
      <c r="D245" s="8">
        <v>11</v>
      </c>
      <c r="E245" s="8" t="s">
        <v>419</v>
      </c>
    </row>
    <row r="246" spans="1:5" x14ac:dyDescent="0.25">
      <c r="A246" s="8" t="str">
        <f t="shared" si="3"/>
        <v>004</v>
      </c>
      <c r="B246" s="8" t="s">
        <v>69</v>
      </c>
      <c r="C246" s="12" t="s">
        <v>423</v>
      </c>
      <c r="D246" s="8">
        <v>11</v>
      </c>
      <c r="E246" s="8" t="s">
        <v>419</v>
      </c>
    </row>
    <row r="247" spans="1:5" x14ac:dyDescent="0.25">
      <c r="A247" s="8" t="str">
        <f t="shared" si="3"/>
        <v>005</v>
      </c>
      <c r="B247" s="8" t="s">
        <v>78</v>
      </c>
      <c r="C247" s="12" t="s">
        <v>424</v>
      </c>
      <c r="D247" s="8">
        <v>11</v>
      </c>
      <c r="E247" s="8" t="s">
        <v>419</v>
      </c>
    </row>
    <row r="248" spans="1:5" x14ac:dyDescent="0.25">
      <c r="A248" s="8" t="str">
        <f t="shared" si="3"/>
        <v>000</v>
      </c>
      <c r="B248" s="8" t="s">
        <v>65</v>
      </c>
      <c r="C248" s="12" t="s">
        <v>66</v>
      </c>
      <c r="D248" s="8">
        <v>11</v>
      </c>
      <c r="E248" s="8" t="s">
        <v>425</v>
      </c>
    </row>
    <row r="249" spans="1:5" x14ac:dyDescent="0.25">
      <c r="A249" s="8" t="str">
        <f t="shared" si="3"/>
        <v>001</v>
      </c>
      <c r="B249" s="8" t="s">
        <v>262</v>
      </c>
      <c r="C249" s="12" t="s">
        <v>426</v>
      </c>
      <c r="D249" s="8">
        <v>11</v>
      </c>
      <c r="E249" s="8" t="s">
        <v>425</v>
      </c>
    </row>
    <row r="250" spans="1:5" x14ac:dyDescent="0.25">
      <c r="A250" s="8" t="str">
        <f t="shared" si="3"/>
        <v>002</v>
      </c>
      <c r="B250" s="8" t="s">
        <v>264</v>
      </c>
      <c r="C250" s="12" t="s">
        <v>427</v>
      </c>
      <c r="D250" s="8">
        <v>11</v>
      </c>
      <c r="E250" s="8" t="s">
        <v>425</v>
      </c>
    </row>
    <row r="251" spans="1:5" x14ac:dyDescent="0.25">
      <c r="A251" s="8" t="str">
        <f t="shared" si="3"/>
        <v>003</v>
      </c>
      <c r="B251" s="8" t="s">
        <v>67</v>
      </c>
      <c r="C251" s="12" t="s">
        <v>428</v>
      </c>
      <c r="D251" s="8">
        <v>11</v>
      </c>
      <c r="E251" s="8" t="s">
        <v>425</v>
      </c>
    </row>
    <row r="252" spans="1:5" x14ac:dyDescent="0.25">
      <c r="A252" s="8" t="str">
        <f t="shared" si="3"/>
        <v>004</v>
      </c>
      <c r="B252" s="8" t="s">
        <v>69</v>
      </c>
      <c r="C252" s="12" t="s">
        <v>429</v>
      </c>
      <c r="D252" s="8">
        <v>11</v>
      </c>
      <c r="E252" s="8" t="s">
        <v>425</v>
      </c>
    </row>
    <row r="253" spans="1:5" x14ac:dyDescent="0.25">
      <c r="A253" s="8" t="str">
        <f t="shared" si="3"/>
        <v>005</v>
      </c>
      <c r="B253" s="8" t="s">
        <v>78</v>
      </c>
      <c r="C253" s="12" t="s">
        <v>430</v>
      </c>
      <c r="D253" s="8">
        <v>11</v>
      </c>
      <c r="E253" s="8" t="s">
        <v>425</v>
      </c>
    </row>
    <row r="254" spans="1:5" x14ac:dyDescent="0.25">
      <c r="A254" s="8" t="str">
        <f t="shared" si="3"/>
        <v>000</v>
      </c>
      <c r="B254" s="8" t="s">
        <v>65</v>
      </c>
      <c r="C254" s="12" t="s">
        <v>66</v>
      </c>
      <c r="D254" s="8">
        <v>11</v>
      </c>
      <c r="E254" s="8" t="s">
        <v>431</v>
      </c>
    </row>
    <row r="255" spans="1:5" x14ac:dyDescent="0.25">
      <c r="A255" s="8" t="str">
        <f t="shared" si="3"/>
        <v>001</v>
      </c>
      <c r="B255" s="8" t="s">
        <v>262</v>
      </c>
      <c r="C255" s="12" t="s">
        <v>432</v>
      </c>
      <c r="D255" s="8">
        <v>11</v>
      </c>
      <c r="E255" s="8" t="s">
        <v>431</v>
      </c>
    </row>
    <row r="256" spans="1:5" x14ac:dyDescent="0.25">
      <c r="A256" s="8" t="str">
        <f t="shared" si="3"/>
        <v>000</v>
      </c>
      <c r="B256" s="8" t="s">
        <v>65</v>
      </c>
      <c r="C256" s="12" t="s">
        <v>66</v>
      </c>
      <c r="D256" s="8">
        <v>11</v>
      </c>
      <c r="E256" s="8" t="s">
        <v>433</v>
      </c>
    </row>
    <row r="257" spans="1:5" x14ac:dyDescent="0.25">
      <c r="A257" s="8" t="str">
        <f t="shared" si="3"/>
        <v>001</v>
      </c>
      <c r="B257" s="8" t="s">
        <v>262</v>
      </c>
      <c r="C257" s="12" t="s">
        <v>434</v>
      </c>
      <c r="D257" s="8">
        <v>11</v>
      </c>
      <c r="E257" s="8" t="s">
        <v>433</v>
      </c>
    </row>
    <row r="258" spans="1:5" x14ac:dyDescent="0.25">
      <c r="A258" s="8" t="str">
        <f t="shared" si="3"/>
        <v>002</v>
      </c>
      <c r="B258" s="8" t="s">
        <v>264</v>
      </c>
      <c r="C258" s="12" t="s">
        <v>435</v>
      </c>
      <c r="D258" s="8">
        <v>11</v>
      </c>
      <c r="E258" s="8" t="s">
        <v>433</v>
      </c>
    </row>
    <row r="259" spans="1:5" x14ac:dyDescent="0.25">
      <c r="A259" s="8" t="str">
        <f t="shared" ref="A259:A322" si="4">TEXT(B259,"000")</f>
        <v>003</v>
      </c>
      <c r="B259" s="8" t="s">
        <v>67</v>
      </c>
      <c r="C259" s="12" t="s">
        <v>436</v>
      </c>
      <c r="D259" s="8">
        <v>11</v>
      </c>
      <c r="E259" s="8" t="s">
        <v>433</v>
      </c>
    </row>
    <row r="260" spans="1:5" x14ac:dyDescent="0.25">
      <c r="A260" s="8" t="str">
        <f t="shared" si="4"/>
        <v>004</v>
      </c>
      <c r="B260" s="8" t="s">
        <v>69</v>
      </c>
      <c r="C260" s="12" t="s">
        <v>437</v>
      </c>
      <c r="D260" s="8">
        <v>11</v>
      </c>
      <c r="E260" s="8" t="s">
        <v>433</v>
      </c>
    </row>
    <row r="261" spans="1:5" x14ac:dyDescent="0.25">
      <c r="A261" s="8" t="str">
        <f t="shared" si="4"/>
        <v>005</v>
      </c>
      <c r="B261" s="8" t="s">
        <v>78</v>
      </c>
      <c r="C261" s="12" t="s">
        <v>438</v>
      </c>
      <c r="D261" s="8">
        <v>11</v>
      </c>
      <c r="E261" s="8" t="s">
        <v>433</v>
      </c>
    </row>
    <row r="262" spans="1:5" x14ac:dyDescent="0.25">
      <c r="A262" s="8" t="str">
        <f t="shared" si="4"/>
        <v>006</v>
      </c>
      <c r="B262" s="8" t="s">
        <v>80</v>
      </c>
      <c r="C262" s="12" t="s">
        <v>439</v>
      </c>
      <c r="D262" s="8">
        <v>11</v>
      </c>
      <c r="E262" s="8" t="s">
        <v>433</v>
      </c>
    </row>
    <row r="263" spans="1:5" x14ac:dyDescent="0.25">
      <c r="A263" s="8" t="str">
        <f t="shared" si="4"/>
        <v>007</v>
      </c>
      <c r="B263" s="8" t="s">
        <v>71</v>
      </c>
      <c r="C263" s="12" t="s">
        <v>440</v>
      </c>
      <c r="D263" s="8">
        <v>11</v>
      </c>
      <c r="E263" s="8" t="s">
        <v>433</v>
      </c>
    </row>
    <row r="264" spans="1:5" x14ac:dyDescent="0.25">
      <c r="A264" s="8" t="str">
        <f t="shared" si="4"/>
        <v>101</v>
      </c>
      <c r="B264" s="8" t="s">
        <v>95</v>
      </c>
      <c r="C264" s="12" t="s">
        <v>441</v>
      </c>
      <c r="D264" s="8">
        <v>11</v>
      </c>
      <c r="E264" s="8" t="s">
        <v>433</v>
      </c>
    </row>
    <row r="265" spans="1:5" x14ac:dyDescent="0.25">
      <c r="A265" s="8" t="str">
        <f t="shared" si="4"/>
        <v>102</v>
      </c>
      <c r="B265" s="8" t="s">
        <v>97</v>
      </c>
      <c r="C265" s="12" t="s">
        <v>442</v>
      </c>
      <c r="D265" s="8">
        <v>11</v>
      </c>
      <c r="E265" s="8" t="s">
        <v>433</v>
      </c>
    </row>
    <row r="266" spans="1:5" x14ac:dyDescent="0.25">
      <c r="A266" s="8" t="str">
        <f t="shared" si="4"/>
        <v>103</v>
      </c>
      <c r="B266" s="8" t="s">
        <v>99</v>
      </c>
      <c r="C266" s="12" t="s">
        <v>443</v>
      </c>
      <c r="D266" s="8">
        <v>11</v>
      </c>
      <c r="E266" s="8" t="s">
        <v>433</v>
      </c>
    </row>
    <row r="267" spans="1:5" x14ac:dyDescent="0.25">
      <c r="A267" s="8" t="str">
        <f t="shared" si="4"/>
        <v>104</v>
      </c>
      <c r="B267" s="8" t="s">
        <v>124</v>
      </c>
      <c r="C267" s="12" t="s">
        <v>444</v>
      </c>
      <c r="D267" s="8">
        <v>11</v>
      </c>
      <c r="E267" s="8" t="s">
        <v>433</v>
      </c>
    </row>
    <row r="268" spans="1:5" x14ac:dyDescent="0.25">
      <c r="A268" s="8" t="str">
        <f t="shared" si="4"/>
        <v>105</v>
      </c>
      <c r="B268" s="8" t="s">
        <v>101</v>
      </c>
      <c r="C268" s="12" t="s">
        <v>445</v>
      </c>
      <c r="D268" s="8">
        <v>11</v>
      </c>
      <c r="E268" s="8" t="s">
        <v>433</v>
      </c>
    </row>
    <row r="269" spans="1:5" x14ac:dyDescent="0.25">
      <c r="A269" s="8" t="str">
        <f t="shared" si="4"/>
        <v>106</v>
      </c>
      <c r="B269" s="8" t="s">
        <v>127</v>
      </c>
      <c r="C269" s="12" t="s">
        <v>446</v>
      </c>
      <c r="D269" s="8">
        <v>11</v>
      </c>
      <c r="E269" s="8" t="s">
        <v>433</v>
      </c>
    </row>
    <row r="270" spans="1:5" x14ac:dyDescent="0.25">
      <c r="A270" s="8" t="str">
        <f t="shared" si="4"/>
        <v>107</v>
      </c>
      <c r="B270" s="8" t="s">
        <v>129</v>
      </c>
      <c r="C270" s="12" t="s">
        <v>447</v>
      </c>
      <c r="D270" s="8">
        <v>11</v>
      </c>
      <c r="E270" s="8" t="s">
        <v>433</v>
      </c>
    </row>
    <row r="271" spans="1:5" x14ac:dyDescent="0.25">
      <c r="A271" s="8" t="str">
        <f t="shared" si="4"/>
        <v>108</v>
      </c>
      <c r="B271" s="8" t="s">
        <v>131</v>
      </c>
      <c r="C271" s="12" t="s">
        <v>448</v>
      </c>
      <c r="D271" s="8">
        <v>11</v>
      </c>
      <c r="E271" s="8" t="s">
        <v>433</v>
      </c>
    </row>
    <row r="272" spans="1:5" x14ac:dyDescent="0.25">
      <c r="A272" s="8" t="str">
        <f t="shared" si="4"/>
        <v>109</v>
      </c>
      <c r="B272" s="8" t="s">
        <v>133</v>
      </c>
      <c r="C272" s="12" t="s">
        <v>449</v>
      </c>
      <c r="D272" s="8">
        <v>11</v>
      </c>
      <c r="E272" s="8" t="s">
        <v>433</v>
      </c>
    </row>
    <row r="273" spans="1:5" x14ac:dyDescent="0.25">
      <c r="A273" s="8" t="str">
        <f t="shared" si="4"/>
        <v>110</v>
      </c>
      <c r="B273" s="8" t="s">
        <v>134</v>
      </c>
      <c r="C273" s="12" t="s">
        <v>450</v>
      </c>
      <c r="D273" s="8">
        <v>11</v>
      </c>
      <c r="E273" s="8" t="s">
        <v>433</v>
      </c>
    </row>
    <row r="274" spans="1:5" x14ac:dyDescent="0.25">
      <c r="A274" s="8" t="str">
        <f t="shared" si="4"/>
        <v>111</v>
      </c>
      <c r="B274" s="8" t="s">
        <v>136</v>
      </c>
      <c r="C274" s="12" t="s">
        <v>451</v>
      </c>
      <c r="D274" s="8">
        <v>11</v>
      </c>
      <c r="E274" s="8" t="s">
        <v>433</v>
      </c>
    </row>
    <row r="275" spans="1:5" x14ac:dyDescent="0.25">
      <c r="A275" s="8" t="str">
        <f t="shared" si="4"/>
        <v>000</v>
      </c>
      <c r="B275" s="8" t="s">
        <v>65</v>
      </c>
      <c r="C275" s="12" t="s">
        <v>66</v>
      </c>
      <c r="D275" s="8">
        <v>11</v>
      </c>
      <c r="E275" s="8" t="s">
        <v>452</v>
      </c>
    </row>
    <row r="276" spans="1:5" x14ac:dyDescent="0.25">
      <c r="A276" s="8" t="str">
        <f t="shared" si="4"/>
        <v>002</v>
      </c>
      <c r="B276" s="8" t="s">
        <v>264</v>
      </c>
      <c r="C276" s="12" t="s">
        <v>453</v>
      </c>
      <c r="D276" s="8">
        <v>11</v>
      </c>
      <c r="E276" s="8" t="s">
        <v>452</v>
      </c>
    </row>
    <row r="277" spans="1:5" x14ac:dyDescent="0.25">
      <c r="A277" s="8" t="str">
        <f t="shared" si="4"/>
        <v>003</v>
      </c>
      <c r="B277" s="8" t="s">
        <v>67</v>
      </c>
      <c r="C277" s="12" t="s">
        <v>454</v>
      </c>
      <c r="D277" s="8">
        <v>11</v>
      </c>
      <c r="E277" s="8" t="s">
        <v>452</v>
      </c>
    </row>
    <row r="278" spans="1:5" x14ac:dyDescent="0.25">
      <c r="A278" s="8" t="str">
        <f t="shared" si="4"/>
        <v>004</v>
      </c>
      <c r="B278" s="8" t="s">
        <v>69</v>
      </c>
      <c r="C278" s="12" t="s">
        <v>455</v>
      </c>
      <c r="D278" s="8">
        <v>11</v>
      </c>
      <c r="E278" s="8" t="s">
        <v>452</v>
      </c>
    </row>
    <row r="279" spans="1:5" x14ac:dyDescent="0.25">
      <c r="A279" s="8" t="str">
        <f t="shared" si="4"/>
        <v>006</v>
      </c>
      <c r="B279" s="8" t="s">
        <v>80</v>
      </c>
      <c r="C279" s="12" t="s">
        <v>456</v>
      </c>
      <c r="D279" s="8">
        <v>11</v>
      </c>
      <c r="E279" s="8" t="s">
        <v>452</v>
      </c>
    </row>
    <row r="280" spans="1:5" x14ac:dyDescent="0.25">
      <c r="A280" s="8" t="str">
        <f t="shared" si="4"/>
        <v>007</v>
      </c>
      <c r="B280" s="8" t="s">
        <v>71</v>
      </c>
      <c r="C280" s="12" t="s">
        <v>457</v>
      </c>
      <c r="D280" s="8">
        <v>11</v>
      </c>
      <c r="E280" s="8" t="s">
        <v>452</v>
      </c>
    </row>
    <row r="281" spans="1:5" x14ac:dyDescent="0.25">
      <c r="A281" s="8" t="str">
        <f t="shared" si="4"/>
        <v>000</v>
      </c>
      <c r="B281" s="8" t="s">
        <v>65</v>
      </c>
      <c r="C281" s="12" t="s">
        <v>66</v>
      </c>
      <c r="D281" s="8">
        <v>11</v>
      </c>
      <c r="E281" s="8" t="s">
        <v>458</v>
      </c>
    </row>
    <row r="282" spans="1:5" x14ac:dyDescent="0.25">
      <c r="A282" s="8" t="str">
        <f t="shared" si="4"/>
        <v>002</v>
      </c>
      <c r="B282" s="8" t="s">
        <v>264</v>
      </c>
      <c r="C282" s="12" t="s">
        <v>459</v>
      </c>
      <c r="D282" s="8">
        <v>11</v>
      </c>
      <c r="E282" s="8" t="s">
        <v>458</v>
      </c>
    </row>
    <row r="283" spans="1:5" x14ac:dyDescent="0.25">
      <c r="A283" s="8" t="str">
        <f t="shared" si="4"/>
        <v>003</v>
      </c>
      <c r="B283" s="8" t="s">
        <v>67</v>
      </c>
      <c r="C283" s="12" t="s">
        <v>460</v>
      </c>
      <c r="D283" s="8">
        <v>11</v>
      </c>
      <c r="E283" s="8" t="s">
        <v>458</v>
      </c>
    </row>
    <row r="284" spans="1:5" x14ac:dyDescent="0.25">
      <c r="A284" s="8" t="str">
        <f t="shared" si="4"/>
        <v>006</v>
      </c>
      <c r="B284" s="8" t="s">
        <v>80</v>
      </c>
      <c r="C284" s="12" t="s">
        <v>461</v>
      </c>
      <c r="D284" s="8">
        <v>11</v>
      </c>
      <c r="E284" s="8" t="s">
        <v>458</v>
      </c>
    </row>
    <row r="285" spans="1:5" x14ac:dyDescent="0.25">
      <c r="A285" s="8" t="str">
        <f t="shared" si="4"/>
        <v>007</v>
      </c>
      <c r="B285" s="8" t="s">
        <v>71</v>
      </c>
      <c r="C285" s="12" t="s">
        <v>462</v>
      </c>
      <c r="D285" s="8">
        <v>11</v>
      </c>
      <c r="E285" s="8" t="s">
        <v>458</v>
      </c>
    </row>
    <row r="286" spans="1:5" x14ac:dyDescent="0.25">
      <c r="A286" s="8" t="str">
        <f t="shared" si="4"/>
        <v>008</v>
      </c>
      <c r="B286" s="8" t="s">
        <v>271</v>
      </c>
      <c r="C286" s="12" t="s">
        <v>463</v>
      </c>
      <c r="D286" s="8">
        <v>11</v>
      </c>
      <c r="E286" s="8" t="s">
        <v>458</v>
      </c>
    </row>
    <row r="287" spans="1:5" x14ac:dyDescent="0.25">
      <c r="A287" s="8" t="str">
        <f t="shared" si="4"/>
        <v>000</v>
      </c>
      <c r="B287" s="8" t="s">
        <v>65</v>
      </c>
      <c r="C287" s="12" t="s">
        <v>66</v>
      </c>
      <c r="D287" s="8">
        <v>11</v>
      </c>
      <c r="E287" s="8" t="s">
        <v>464</v>
      </c>
    </row>
    <row r="288" spans="1:5" x14ac:dyDescent="0.25">
      <c r="A288" s="8" t="str">
        <f t="shared" si="4"/>
        <v>001</v>
      </c>
      <c r="B288" s="8" t="s">
        <v>262</v>
      </c>
      <c r="C288" s="12" t="s">
        <v>465</v>
      </c>
      <c r="D288" s="8">
        <v>11</v>
      </c>
      <c r="E288" s="8" t="s">
        <v>464</v>
      </c>
    </row>
    <row r="289" spans="1:5" x14ac:dyDescent="0.25">
      <c r="A289" s="8" t="str">
        <f t="shared" si="4"/>
        <v>002</v>
      </c>
      <c r="B289" s="8" t="s">
        <v>264</v>
      </c>
      <c r="C289" s="12" t="s">
        <v>466</v>
      </c>
      <c r="D289" s="8">
        <v>11</v>
      </c>
      <c r="E289" s="8" t="s">
        <v>464</v>
      </c>
    </row>
    <row r="290" spans="1:5" x14ac:dyDescent="0.25">
      <c r="A290" s="8" t="str">
        <f t="shared" si="4"/>
        <v>003</v>
      </c>
      <c r="B290" s="8" t="s">
        <v>67</v>
      </c>
      <c r="C290" s="12" t="s">
        <v>467</v>
      </c>
      <c r="D290" s="8">
        <v>11</v>
      </c>
      <c r="E290" s="8" t="s">
        <v>464</v>
      </c>
    </row>
    <row r="291" spans="1:5" x14ac:dyDescent="0.25">
      <c r="A291" s="8" t="str">
        <f t="shared" si="4"/>
        <v>004</v>
      </c>
      <c r="B291" s="8" t="s">
        <v>69</v>
      </c>
      <c r="C291" s="12" t="s">
        <v>468</v>
      </c>
      <c r="D291" s="8">
        <v>11</v>
      </c>
      <c r="E291" s="8" t="s">
        <v>464</v>
      </c>
    </row>
    <row r="292" spans="1:5" x14ac:dyDescent="0.25">
      <c r="A292" s="8" t="str">
        <f t="shared" si="4"/>
        <v>005</v>
      </c>
      <c r="B292" s="8" t="s">
        <v>78</v>
      </c>
      <c r="C292" s="12" t="s">
        <v>469</v>
      </c>
      <c r="D292" s="8">
        <v>11</v>
      </c>
      <c r="E292" s="8" t="s">
        <v>464</v>
      </c>
    </row>
    <row r="293" spans="1:5" x14ac:dyDescent="0.25">
      <c r="A293" s="8" t="str">
        <f t="shared" si="4"/>
        <v>006</v>
      </c>
      <c r="B293" s="8" t="s">
        <v>80</v>
      </c>
      <c r="C293" s="12" t="s">
        <v>470</v>
      </c>
      <c r="D293" s="8">
        <v>11</v>
      </c>
      <c r="E293" s="8" t="s">
        <v>464</v>
      </c>
    </row>
    <row r="294" spans="1:5" x14ac:dyDescent="0.25">
      <c r="A294" s="8" t="str">
        <f t="shared" si="4"/>
        <v>007</v>
      </c>
      <c r="B294" s="8" t="s">
        <v>71</v>
      </c>
      <c r="C294" s="12" t="s">
        <v>471</v>
      </c>
      <c r="D294" s="8">
        <v>11</v>
      </c>
      <c r="E294" s="8" t="s">
        <v>464</v>
      </c>
    </row>
    <row r="295" spans="1:5" x14ac:dyDescent="0.25">
      <c r="A295" s="8" t="str">
        <f t="shared" si="4"/>
        <v>008</v>
      </c>
      <c r="B295" s="8" t="s">
        <v>271</v>
      </c>
      <c r="C295" s="12" t="s">
        <v>472</v>
      </c>
      <c r="D295" s="8">
        <v>11</v>
      </c>
      <c r="E295" s="8" t="s">
        <v>464</v>
      </c>
    </row>
    <row r="296" spans="1:5" x14ac:dyDescent="0.25">
      <c r="A296" s="8" t="str">
        <f t="shared" si="4"/>
        <v>000</v>
      </c>
      <c r="B296" s="8" t="s">
        <v>65</v>
      </c>
      <c r="C296" s="12" t="s">
        <v>66</v>
      </c>
      <c r="D296" s="8">
        <v>11</v>
      </c>
      <c r="E296" s="8" t="s">
        <v>317</v>
      </c>
    </row>
    <row r="297" spans="1:5" x14ac:dyDescent="0.25">
      <c r="A297" s="8" t="str">
        <f t="shared" si="4"/>
        <v>001</v>
      </c>
      <c r="B297" s="8" t="s">
        <v>262</v>
      </c>
      <c r="C297" s="12" t="s">
        <v>66</v>
      </c>
      <c r="D297" s="8">
        <v>11</v>
      </c>
      <c r="E297" s="8" t="s">
        <v>317</v>
      </c>
    </row>
    <row r="298" spans="1:5" x14ac:dyDescent="0.25">
      <c r="A298" s="8" t="str">
        <f t="shared" si="4"/>
        <v>002</v>
      </c>
      <c r="B298" s="8" t="s">
        <v>264</v>
      </c>
      <c r="C298" s="12" t="s">
        <v>473</v>
      </c>
      <c r="D298" s="8">
        <v>11</v>
      </c>
      <c r="E298" s="8" t="s">
        <v>317</v>
      </c>
    </row>
    <row r="299" spans="1:5" x14ac:dyDescent="0.25">
      <c r="A299" s="8" t="str">
        <f t="shared" si="4"/>
        <v>003</v>
      </c>
      <c r="B299" s="8" t="s">
        <v>67</v>
      </c>
      <c r="C299" s="12" t="s">
        <v>474</v>
      </c>
      <c r="D299" s="8">
        <v>11</v>
      </c>
      <c r="E299" s="8" t="s">
        <v>317</v>
      </c>
    </row>
    <row r="300" spans="1:5" x14ac:dyDescent="0.25">
      <c r="A300" s="8" t="str">
        <f t="shared" si="4"/>
        <v>004</v>
      </c>
      <c r="B300" s="8" t="s">
        <v>69</v>
      </c>
      <c r="C300" s="12" t="s">
        <v>475</v>
      </c>
      <c r="D300" s="8">
        <v>11</v>
      </c>
      <c r="E300" s="8" t="s">
        <v>317</v>
      </c>
    </row>
    <row r="301" spans="1:5" x14ac:dyDescent="0.25">
      <c r="A301" s="8" t="str">
        <f t="shared" si="4"/>
        <v>005</v>
      </c>
      <c r="B301" s="8" t="s">
        <v>78</v>
      </c>
      <c r="C301" s="12" t="s">
        <v>476</v>
      </c>
      <c r="D301" s="8">
        <v>11</v>
      </c>
      <c r="E301" s="8" t="s">
        <v>317</v>
      </c>
    </row>
    <row r="302" spans="1:5" x14ac:dyDescent="0.25">
      <c r="A302" s="8" t="str">
        <f t="shared" si="4"/>
        <v>006</v>
      </c>
      <c r="B302" s="8" t="s">
        <v>80</v>
      </c>
      <c r="C302" s="12" t="s">
        <v>477</v>
      </c>
      <c r="D302" s="8">
        <v>11</v>
      </c>
      <c r="E302" s="8" t="s">
        <v>317</v>
      </c>
    </row>
    <row r="303" spans="1:5" x14ac:dyDescent="0.25">
      <c r="A303" s="8" t="str">
        <f t="shared" si="4"/>
        <v>000</v>
      </c>
      <c r="B303" s="8" t="s">
        <v>65</v>
      </c>
      <c r="C303" s="12" t="s">
        <v>66</v>
      </c>
      <c r="D303" s="8">
        <v>11</v>
      </c>
      <c r="E303" s="8" t="s">
        <v>296</v>
      </c>
    </row>
    <row r="304" spans="1:5" x14ac:dyDescent="0.25">
      <c r="A304" s="8" t="str">
        <f t="shared" si="4"/>
        <v>001</v>
      </c>
      <c r="B304" s="8" t="s">
        <v>262</v>
      </c>
      <c r="C304" s="12" t="s">
        <v>478</v>
      </c>
      <c r="D304" s="8">
        <v>11</v>
      </c>
      <c r="E304" s="8" t="s">
        <v>296</v>
      </c>
    </row>
    <row r="305" spans="1:5" x14ac:dyDescent="0.25">
      <c r="A305" s="8" t="str">
        <f t="shared" si="4"/>
        <v>002</v>
      </c>
      <c r="B305" s="8" t="s">
        <v>264</v>
      </c>
      <c r="C305" s="12" t="s">
        <v>479</v>
      </c>
      <c r="D305" s="8">
        <v>11</v>
      </c>
      <c r="E305" s="8" t="s">
        <v>296</v>
      </c>
    </row>
    <row r="306" spans="1:5" x14ac:dyDescent="0.25">
      <c r="A306" s="8" t="str">
        <f t="shared" si="4"/>
        <v>003</v>
      </c>
      <c r="B306" s="8" t="s">
        <v>67</v>
      </c>
      <c r="C306" s="12" t="s">
        <v>480</v>
      </c>
      <c r="D306" s="8">
        <v>11</v>
      </c>
      <c r="E306" s="8" t="s">
        <v>296</v>
      </c>
    </row>
    <row r="307" spans="1:5" x14ac:dyDescent="0.25">
      <c r="A307" s="8" t="str">
        <f t="shared" si="4"/>
        <v>000</v>
      </c>
      <c r="B307" s="8" t="s">
        <v>65</v>
      </c>
      <c r="C307" s="12" t="s">
        <v>66</v>
      </c>
      <c r="D307" s="8">
        <v>11</v>
      </c>
      <c r="E307" s="8" t="s">
        <v>481</v>
      </c>
    </row>
    <row r="308" spans="1:5" x14ac:dyDescent="0.25">
      <c r="A308" s="8" t="str">
        <f t="shared" si="4"/>
        <v>001</v>
      </c>
      <c r="B308" s="8" t="s">
        <v>262</v>
      </c>
      <c r="C308" s="12" t="s">
        <v>482</v>
      </c>
      <c r="D308" s="8">
        <v>11</v>
      </c>
      <c r="E308" s="8" t="s">
        <v>481</v>
      </c>
    </row>
    <row r="309" spans="1:5" x14ac:dyDescent="0.25">
      <c r="A309" s="8" t="str">
        <f t="shared" si="4"/>
        <v>002</v>
      </c>
      <c r="B309" s="8" t="s">
        <v>264</v>
      </c>
      <c r="C309" s="12" t="s">
        <v>483</v>
      </c>
      <c r="D309" s="8">
        <v>11</v>
      </c>
      <c r="E309" s="8" t="s">
        <v>481</v>
      </c>
    </row>
    <row r="310" spans="1:5" x14ac:dyDescent="0.25">
      <c r="A310" s="8" t="str">
        <f t="shared" si="4"/>
        <v>003</v>
      </c>
      <c r="B310" s="8" t="s">
        <v>67</v>
      </c>
      <c r="C310" s="12" t="s">
        <v>484</v>
      </c>
      <c r="D310" s="8">
        <v>11</v>
      </c>
      <c r="E310" s="8" t="s">
        <v>481</v>
      </c>
    </row>
    <row r="311" spans="1:5" x14ac:dyDescent="0.25">
      <c r="A311" s="8" t="str">
        <f t="shared" si="4"/>
        <v>004</v>
      </c>
      <c r="B311" s="8" t="s">
        <v>69</v>
      </c>
      <c r="C311" s="12" t="s">
        <v>485</v>
      </c>
      <c r="D311" s="8">
        <v>11</v>
      </c>
      <c r="E311" s="8" t="s">
        <v>481</v>
      </c>
    </row>
    <row r="312" spans="1:5" x14ac:dyDescent="0.25">
      <c r="A312" s="8" t="str">
        <f t="shared" si="4"/>
        <v>005</v>
      </c>
      <c r="B312" s="8" t="s">
        <v>78</v>
      </c>
      <c r="C312" s="12" t="s">
        <v>486</v>
      </c>
      <c r="D312" s="8">
        <v>11</v>
      </c>
      <c r="E312" s="8" t="s">
        <v>481</v>
      </c>
    </row>
    <row r="313" spans="1:5" x14ac:dyDescent="0.25">
      <c r="A313" s="8" t="str">
        <f t="shared" si="4"/>
        <v>006</v>
      </c>
      <c r="B313" s="8" t="s">
        <v>80</v>
      </c>
      <c r="C313" s="12" t="s">
        <v>487</v>
      </c>
      <c r="D313" s="8">
        <v>11</v>
      </c>
      <c r="E313" s="8" t="s">
        <v>481</v>
      </c>
    </row>
    <row r="314" spans="1:5" x14ac:dyDescent="0.25">
      <c r="A314" s="8" t="str">
        <f t="shared" si="4"/>
        <v>007</v>
      </c>
      <c r="B314" s="8" t="s">
        <v>71</v>
      </c>
      <c r="C314" s="12" t="s">
        <v>488</v>
      </c>
      <c r="D314" s="8">
        <v>11</v>
      </c>
      <c r="E314" s="8" t="s">
        <v>481</v>
      </c>
    </row>
    <row r="315" spans="1:5" x14ac:dyDescent="0.25">
      <c r="A315" s="8" t="str">
        <f t="shared" si="4"/>
        <v>008</v>
      </c>
      <c r="B315" s="8" t="s">
        <v>271</v>
      </c>
      <c r="C315" s="12" t="s">
        <v>489</v>
      </c>
      <c r="D315" s="8">
        <v>11</v>
      </c>
      <c r="E315" s="8" t="s">
        <v>481</v>
      </c>
    </row>
    <row r="316" spans="1:5" x14ac:dyDescent="0.25">
      <c r="A316" s="8" t="str">
        <f t="shared" si="4"/>
        <v>009</v>
      </c>
      <c r="B316" s="8" t="s">
        <v>273</v>
      </c>
      <c r="C316" s="12" t="s">
        <v>490</v>
      </c>
      <c r="D316" s="8">
        <v>11</v>
      </c>
      <c r="E316" s="8" t="s">
        <v>481</v>
      </c>
    </row>
    <row r="317" spans="1:5" x14ac:dyDescent="0.25">
      <c r="A317" s="8" t="str">
        <f t="shared" si="4"/>
        <v>010</v>
      </c>
      <c r="B317" s="8" t="s">
        <v>61</v>
      </c>
      <c r="C317" s="12" t="s">
        <v>491</v>
      </c>
      <c r="D317" s="8">
        <v>11</v>
      </c>
      <c r="E317" s="8" t="s">
        <v>481</v>
      </c>
    </row>
    <row r="318" spans="1:5" x14ac:dyDescent="0.25">
      <c r="A318" s="8" t="str">
        <f t="shared" si="4"/>
        <v>011</v>
      </c>
      <c r="B318" s="8" t="s">
        <v>74</v>
      </c>
      <c r="C318" s="12" t="s">
        <v>492</v>
      </c>
      <c r="D318" s="8">
        <v>11</v>
      </c>
      <c r="E318" s="8" t="s">
        <v>481</v>
      </c>
    </row>
    <row r="319" spans="1:5" x14ac:dyDescent="0.25">
      <c r="A319" s="8" t="str">
        <f t="shared" si="4"/>
        <v>012</v>
      </c>
      <c r="B319" s="8" t="s">
        <v>76</v>
      </c>
      <c r="C319" s="12" t="s">
        <v>493</v>
      </c>
      <c r="D319" s="8">
        <v>11</v>
      </c>
      <c r="E319" s="8" t="s">
        <v>481</v>
      </c>
    </row>
    <row r="320" spans="1:5" x14ac:dyDescent="0.25">
      <c r="A320" s="8" t="str">
        <f t="shared" si="4"/>
        <v>013</v>
      </c>
      <c r="B320" s="8" t="s">
        <v>278</v>
      </c>
      <c r="C320" s="12" t="s">
        <v>494</v>
      </c>
      <c r="D320" s="8">
        <v>11</v>
      </c>
      <c r="E320" s="8" t="s">
        <v>481</v>
      </c>
    </row>
    <row r="321" spans="1:5" x14ac:dyDescent="0.25">
      <c r="A321" s="8" t="str">
        <f t="shared" si="4"/>
        <v>014</v>
      </c>
      <c r="B321" s="8" t="s">
        <v>280</v>
      </c>
      <c r="C321" s="12" t="s">
        <v>495</v>
      </c>
      <c r="D321" s="8">
        <v>11</v>
      </c>
      <c r="E321" s="8" t="s">
        <v>481</v>
      </c>
    </row>
    <row r="322" spans="1:5" x14ac:dyDescent="0.25">
      <c r="A322" s="8" t="str">
        <f t="shared" si="4"/>
        <v>015</v>
      </c>
      <c r="B322" s="8" t="s">
        <v>346</v>
      </c>
      <c r="C322" s="12" t="s">
        <v>496</v>
      </c>
      <c r="D322" s="8">
        <v>11</v>
      </c>
      <c r="E322" s="8" t="s">
        <v>481</v>
      </c>
    </row>
    <row r="323" spans="1:5" x14ac:dyDescent="0.25">
      <c r="A323" s="8" t="str">
        <f t="shared" ref="A323:A386" si="5">TEXT(B323,"000")</f>
        <v>016</v>
      </c>
      <c r="B323" s="8" t="s">
        <v>82</v>
      </c>
      <c r="C323" s="12" t="s">
        <v>497</v>
      </c>
      <c r="D323" s="8">
        <v>11</v>
      </c>
      <c r="E323" s="8" t="s">
        <v>481</v>
      </c>
    </row>
    <row r="324" spans="1:5" x14ac:dyDescent="0.25">
      <c r="A324" s="8" t="str">
        <f t="shared" si="5"/>
        <v>017</v>
      </c>
      <c r="B324" s="8" t="s">
        <v>349</v>
      </c>
      <c r="C324" s="12" t="s">
        <v>498</v>
      </c>
      <c r="D324" s="8">
        <v>11</v>
      </c>
      <c r="E324" s="8" t="s">
        <v>481</v>
      </c>
    </row>
    <row r="325" spans="1:5" x14ac:dyDescent="0.25">
      <c r="A325" s="8" t="str">
        <f t="shared" si="5"/>
        <v>018</v>
      </c>
      <c r="B325" s="8" t="s">
        <v>351</v>
      </c>
      <c r="C325" s="12" t="s">
        <v>499</v>
      </c>
      <c r="D325" s="8">
        <v>11</v>
      </c>
      <c r="E325" s="8" t="s">
        <v>481</v>
      </c>
    </row>
    <row r="326" spans="1:5" x14ac:dyDescent="0.25">
      <c r="A326" s="8" t="str">
        <f t="shared" si="5"/>
        <v>019</v>
      </c>
      <c r="B326" s="8" t="s">
        <v>353</v>
      </c>
      <c r="C326" s="12" t="s">
        <v>500</v>
      </c>
      <c r="D326" s="8">
        <v>11</v>
      </c>
      <c r="E326" s="8" t="s">
        <v>481</v>
      </c>
    </row>
    <row r="327" spans="1:5" x14ac:dyDescent="0.25">
      <c r="A327" s="8" t="str">
        <f t="shared" si="5"/>
        <v>020</v>
      </c>
      <c r="B327" s="8" t="s">
        <v>63</v>
      </c>
      <c r="C327" s="12" t="s">
        <v>501</v>
      </c>
      <c r="D327" s="8">
        <v>11</v>
      </c>
      <c r="E327" s="8" t="s">
        <v>481</v>
      </c>
    </row>
    <row r="328" spans="1:5" x14ac:dyDescent="0.25">
      <c r="A328" s="8" t="str">
        <f t="shared" si="5"/>
        <v>021</v>
      </c>
      <c r="B328" s="8" t="s">
        <v>356</v>
      </c>
      <c r="C328" s="12" t="s">
        <v>502</v>
      </c>
      <c r="D328" s="8">
        <v>11</v>
      </c>
      <c r="E328" s="8" t="s">
        <v>481</v>
      </c>
    </row>
    <row r="329" spans="1:5" x14ac:dyDescent="0.25">
      <c r="A329" s="8" t="str">
        <f t="shared" si="5"/>
        <v>022</v>
      </c>
      <c r="B329" s="8" t="s">
        <v>358</v>
      </c>
      <c r="C329" s="12" t="s">
        <v>503</v>
      </c>
      <c r="D329" s="8">
        <v>11</v>
      </c>
      <c r="E329" s="8" t="s">
        <v>481</v>
      </c>
    </row>
    <row r="330" spans="1:5" x14ac:dyDescent="0.25">
      <c r="A330" s="8" t="str">
        <f t="shared" si="5"/>
        <v>023</v>
      </c>
      <c r="B330" s="8" t="s">
        <v>360</v>
      </c>
      <c r="C330" s="12" t="s">
        <v>504</v>
      </c>
      <c r="D330" s="8">
        <v>11</v>
      </c>
      <c r="E330" s="8" t="s">
        <v>481</v>
      </c>
    </row>
    <row r="331" spans="1:5" x14ac:dyDescent="0.25">
      <c r="A331" s="8" t="str">
        <f t="shared" si="5"/>
        <v>024</v>
      </c>
      <c r="B331" s="8" t="s">
        <v>362</v>
      </c>
      <c r="C331" s="12" t="s">
        <v>505</v>
      </c>
      <c r="D331" s="8">
        <v>11</v>
      </c>
      <c r="E331" s="8" t="s">
        <v>481</v>
      </c>
    </row>
    <row r="332" spans="1:5" x14ac:dyDescent="0.25">
      <c r="A332" s="8" t="str">
        <f t="shared" si="5"/>
        <v>025</v>
      </c>
      <c r="B332" s="8" t="s">
        <v>84</v>
      </c>
      <c r="C332" s="12" t="s">
        <v>506</v>
      </c>
      <c r="D332" s="8">
        <v>11</v>
      </c>
      <c r="E332" s="8" t="s">
        <v>481</v>
      </c>
    </row>
    <row r="333" spans="1:5" x14ac:dyDescent="0.25">
      <c r="A333" s="8" t="str">
        <f t="shared" si="5"/>
        <v>000</v>
      </c>
      <c r="B333" s="8" t="s">
        <v>65</v>
      </c>
      <c r="C333" s="12" t="s">
        <v>66</v>
      </c>
      <c r="D333" s="8">
        <v>11</v>
      </c>
      <c r="E333" s="8" t="s">
        <v>302</v>
      </c>
    </row>
    <row r="334" spans="1:5" x14ac:dyDescent="0.25">
      <c r="A334" s="8" t="str">
        <f t="shared" si="5"/>
        <v>001</v>
      </c>
      <c r="B334" s="8" t="s">
        <v>262</v>
      </c>
      <c r="C334" s="12" t="s">
        <v>507</v>
      </c>
      <c r="D334" s="8">
        <v>11</v>
      </c>
      <c r="E334" s="8" t="s">
        <v>302</v>
      </c>
    </row>
    <row r="335" spans="1:5" x14ac:dyDescent="0.25">
      <c r="A335" s="8" t="str">
        <f t="shared" si="5"/>
        <v>002</v>
      </c>
      <c r="B335" s="8" t="s">
        <v>264</v>
      </c>
      <c r="C335" s="12" t="s">
        <v>508</v>
      </c>
      <c r="D335" s="8">
        <v>11</v>
      </c>
      <c r="E335" s="8" t="s">
        <v>302</v>
      </c>
    </row>
    <row r="336" spans="1:5" x14ac:dyDescent="0.25">
      <c r="A336" s="8" t="str">
        <f t="shared" si="5"/>
        <v>003</v>
      </c>
      <c r="B336" s="8" t="s">
        <v>67</v>
      </c>
      <c r="C336" s="12" t="s">
        <v>509</v>
      </c>
      <c r="D336" s="8">
        <v>11</v>
      </c>
      <c r="E336" s="8" t="s">
        <v>302</v>
      </c>
    </row>
    <row r="337" spans="1:5" x14ac:dyDescent="0.25">
      <c r="A337" s="8" t="str">
        <f t="shared" si="5"/>
        <v>000</v>
      </c>
      <c r="B337" s="8" t="s">
        <v>65</v>
      </c>
      <c r="C337" s="12" t="s">
        <v>66</v>
      </c>
      <c r="D337" s="8">
        <v>11</v>
      </c>
      <c r="E337" s="8" t="s">
        <v>324</v>
      </c>
    </row>
    <row r="338" spans="1:5" x14ac:dyDescent="0.25">
      <c r="A338" s="8" t="str">
        <f t="shared" si="5"/>
        <v>001</v>
      </c>
      <c r="B338" s="8" t="s">
        <v>262</v>
      </c>
      <c r="C338" s="12" t="s">
        <v>510</v>
      </c>
      <c r="D338" s="8">
        <v>11</v>
      </c>
      <c r="E338" s="8" t="s">
        <v>324</v>
      </c>
    </row>
    <row r="339" spans="1:5" x14ac:dyDescent="0.25">
      <c r="A339" s="8" t="str">
        <f t="shared" si="5"/>
        <v>002</v>
      </c>
      <c r="B339" s="8" t="s">
        <v>264</v>
      </c>
      <c r="C339" s="12" t="s">
        <v>511</v>
      </c>
      <c r="D339" s="8">
        <v>11</v>
      </c>
      <c r="E339" s="8" t="s">
        <v>324</v>
      </c>
    </row>
    <row r="340" spans="1:5" x14ac:dyDescent="0.25">
      <c r="A340" s="8" t="str">
        <f t="shared" si="5"/>
        <v>000</v>
      </c>
      <c r="B340" s="8" t="s">
        <v>65</v>
      </c>
      <c r="C340" s="12" t="s">
        <v>66</v>
      </c>
      <c r="D340" s="8">
        <v>11</v>
      </c>
      <c r="E340" s="8" t="s">
        <v>300</v>
      </c>
    </row>
    <row r="341" spans="1:5" x14ac:dyDescent="0.25">
      <c r="A341" s="8" t="str">
        <f t="shared" si="5"/>
        <v>001</v>
      </c>
      <c r="B341" s="8" t="s">
        <v>262</v>
      </c>
      <c r="C341" s="12" t="s">
        <v>512</v>
      </c>
      <c r="D341" s="8">
        <v>11</v>
      </c>
      <c r="E341" s="8" t="s">
        <v>300</v>
      </c>
    </row>
    <row r="342" spans="1:5" x14ac:dyDescent="0.25">
      <c r="A342" s="8" t="str">
        <f t="shared" si="5"/>
        <v>001</v>
      </c>
      <c r="B342" s="8" t="s">
        <v>262</v>
      </c>
      <c r="C342" s="12" t="s">
        <v>513</v>
      </c>
      <c r="D342" s="8">
        <v>11</v>
      </c>
      <c r="E342" s="8" t="s">
        <v>514</v>
      </c>
    </row>
    <row r="343" spans="1:5" x14ac:dyDescent="0.25">
      <c r="A343" s="8" t="str">
        <f t="shared" si="5"/>
        <v>001</v>
      </c>
      <c r="B343" s="8" t="s">
        <v>262</v>
      </c>
      <c r="C343" s="12" t="s">
        <v>515</v>
      </c>
      <c r="D343" s="8">
        <v>11</v>
      </c>
      <c r="E343" s="8" t="s">
        <v>516</v>
      </c>
    </row>
    <row r="344" spans="1:5" x14ac:dyDescent="0.25">
      <c r="A344" s="8" t="str">
        <f t="shared" si="5"/>
        <v>002</v>
      </c>
      <c r="B344" s="8" t="s">
        <v>264</v>
      </c>
      <c r="C344" s="12" t="s">
        <v>517</v>
      </c>
      <c r="D344" s="8">
        <v>11</v>
      </c>
      <c r="E344" s="8" t="s">
        <v>516</v>
      </c>
    </row>
    <row r="345" spans="1:5" x14ac:dyDescent="0.25">
      <c r="A345" s="8" t="str">
        <f t="shared" si="5"/>
        <v>004</v>
      </c>
      <c r="B345" s="8" t="s">
        <v>69</v>
      </c>
      <c r="C345" s="12" t="s">
        <v>518</v>
      </c>
      <c r="D345" s="8">
        <v>11</v>
      </c>
      <c r="E345" s="8" t="s">
        <v>516</v>
      </c>
    </row>
    <row r="346" spans="1:5" x14ac:dyDescent="0.25">
      <c r="A346" s="8" t="str">
        <f t="shared" si="5"/>
        <v>001</v>
      </c>
      <c r="B346" s="8" t="s">
        <v>262</v>
      </c>
      <c r="C346" s="12" t="s">
        <v>519</v>
      </c>
      <c r="D346" s="8">
        <v>11</v>
      </c>
      <c r="E346" s="8" t="s">
        <v>520</v>
      </c>
    </row>
    <row r="347" spans="1:5" x14ac:dyDescent="0.25">
      <c r="A347" s="8" t="str">
        <f t="shared" si="5"/>
        <v>002</v>
      </c>
      <c r="B347" s="8" t="s">
        <v>264</v>
      </c>
      <c r="C347" s="12" t="s">
        <v>521</v>
      </c>
      <c r="D347" s="8">
        <v>11</v>
      </c>
      <c r="E347" s="8" t="s">
        <v>520</v>
      </c>
    </row>
    <row r="348" spans="1:5" x14ac:dyDescent="0.25">
      <c r="A348" s="8" t="str">
        <f t="shared" si="5"/>
        <v>001</v>
      </c>
      <c r="B348" s="8" t="s">
        <v>262</v>
      </c>
      <c r="C348" s="12" t="s">
        <v>522</v>
      </c>
      <c r="D348" s="8">
        <v>11</v>
      </c>
      <c r="E348" s="8" t="s">
        <v>523</v>
      </c>
    </row>
    <row r="349" spans="1:5" x14ac:dyDescent="0.25">
      <c r="A349" s="8" t="str">
        <f t="shared" si="5"/>
        <v>001</v>
      </c>
      <c r="B349" s="8" t="s">
        <v>262</v>
      </c>
      <c r="C349" s="12" t="s">
        <v>524</v>
      </c>
      <c r="D349" s="8">
        <v>11</v>
      </c>
      <c r="E349" s="8" t="s">
        <v>326</v>
      </c>
    </row>
    <row r="350" spans="1:5" x14ac:dyDescent="0.25">
      <c r="A350" s="8" t="str">
        <f t="shared" si="5"/>
        <v>001</v>
      </c>
      <c r="B350" s="8" t="s">
        <v>262</v>
      </c>
      <c r="C350" s="12" t="s">
        <v>525</v>
      </c>
      <c r="D350" s="8">
        <v>11</v>
      </c>
      <c r="E350" s="8" t="s">
        <v>526</v>
      </c>
    </row>
    <row r="351" spans="1:5" x14ac:dyDescent="0.25">
      <c r="A351" s="8" t="str">
        <f t="shared" si="5"/>
        <v>101</v>
      </c>
      <c r="B351" s="8" t="s">
        <v>95</v>
      </c>
      <c r="C351" s="12" t="s">
        <v>527</v>
      </c>
      <c r="D351" s="8">
        <v>11</v>
      </c>
      <c r="E351" s="8" t="s">
        <v>528</v>
      </c>
    </row>
    <row r="352" spans="1:5" x14ac:dyDescent="0.25">
      <c r="A352" s="8" t="str">
        <f t="shared" si="5"/>
        <v>201</v>
      </c>
      <c r="B352" s="8">
        <v>201</v>
      </c>
      <c r="C352" s="12" t="s">
        <v>529</v>
      </c>
      <c r="D352" s="8">
        <v>11</v>
      </c>
      <c r="E352" s="8" t="s">
        <v>528</v>
      </c>
    </row>
    <row r="353" spans="1:5" x14ac:dyDescent="0.25">
      <c r="A353" s="8" t="str">
        <f t="shared" si="5"/>
        <v>102</v>
      </c>
      <c r="B353" s="8">
        <v>102</v>
      </c>
      <c r="C353" s="12" t="s">
        <v>530</v>
      </c>
      <c r="D353" s="8">
        <v>11</v>
      </c>
      <c r="E353" s="8" t="s">
        <v>528</v>
      </c>
    </row>
    <row r="354" spans="1:5" x14ac:dyDescent="0.25">
      <c r="A354" s="8" t="str">
        <f t="shared" si="5"/>
        <v>103</v>
      </c>
      <c r="B354" s="8">
        <v>103</v>
      </c>
      <c r="C354" s="12" t="s">
        <v>531</v>
      </c>
      <c r="D354" s="8">
        <v>11</v>
      </c>
      <c r="E354" s="8" t="s">
        <v>528</v>
      </c>
    </row>
    <row r="355" spans="1:5" x14ac:dyDescent="0.25">
      <c r="A355" s="8" t="str">
        <f t="shared" si="5"/>
        <v>104</v>
      </c>
      <c r="B355" s="8">
        <v>104</v>
      </c>
      <c r="C355" s="12" t="s">
        <v>532</v>
      </c>
      <c r="D355" s="8">
        <v>11</v>
      </c>
      <c r="E355" s="8" t="s">
        <v>528</v>
      </c>
    </row>
    <row r="356" spans="1:5" x14ac:dyDescent="0.25">
      <c r="A356" s="8" t="str">
        <f t="shared" si="5"/>
        <v>105</v>
      </c>
      <c r="B356" s="8">
        <v>105</v>
      </c>
      <c r="C356" s="12" t="s">
        <v>533</v>
      </c>
      <c r="D356" s="8">
        <v>11</v>
      </c>
      <c r="E356" s="8" t="s">
        <v>528</v>
      </c>
    </row>
    <row r="357" spans="1:5" x14ac:dyDescent="0.25">
      <c r="A357" s="8" t="str">
        <f t="shared" si="5"/>
        <v>106</v>
      </c>
      <c r="B357" s="8">
        <v>106</v>
      </c>
      <c r="C357" s="12" t="s">
        <v>534</v>
      </c>
      <c r="D357" s="8">
        <v>11</v>
      </c>
      <c r="E357" s="8" t="s">
        <v>528</v>
      </c>
    </row>
    <row r="358" spans="1:5" x14ac:dyDescent="0.25">
      <c r="A358" s="8" t="str">
        <f t="shared" si="5"/>
        <v>107</v>
      </c>
      <c r="B358" s="8">
        <v>107</v>
      </c>
      <c r="C358" s="12" t="s">
        <v>535</v>
      </c>
      <c r="D358" s="8">
        <v>11</v>
      </c>
      <c r="E358" s="8" t="s">
        <v>528</v>
      </c>
    </row>
    <row r="359" spans="1:5" x14ac:dyDescent="0.25">
      <c r="A359" s="8" t="str">
        <f t="shared" si="5"/>
        <v>108</v>
      </c>
      <c r="B359" s="8">
        <v>108</v>
      </c>
      <c r="C359" s="12" t="s">
        <v>536</v>
      </c>
      <c r="D359" s="8">
        <v>11</v>
      </c>
      <c r="E359" s="8" t="s">
        <v>528</v>
      </c>
    </row>
    <row r="360" spans="1:5" x14ac:dyDescent="0.25">
      <c r="A360" s="8" t="str">
        <f t="shared" si="5"/>
        <v>109</v>
      </c>
      <c r="B360" s="8">
        <v>109</v>
      </c>
      <c r="C360" s="12" t="s">
        <v>537</v>
      </c>
      <c r="D360" s="8">
        <v>11</v>
      </c>
      <c r="E360" s="8" t="s">
        <v>528</v>
      </c>
    </row>
    <row r="361" spans="1:5" x14ac:dyDescent="0.25">
      <c r="A361" s="8" t="str">
        <f t="shared" si="5"/>
        <v>110</v>
      </c>
      <c r="B361" s="8">
        <v>110</v>
      </c>
      <c r="C361" s="12" t="s">
        <v>538</v>
      </c>
      <c r="D361" s="8">
        <v>11</v>
      </c>
      <c r="E361" s="8" t="s">
        <v>528</v>
      </c>
    </row>
    <row r="362" spans="1:5" x14ac:dyDescent="0.25">
      <c r="A362" s="8" t="str">
        <f t="shared" si="5"/>
        <v>111</v>
      </c>
      <c r="B362" s="8">
        <v>111</v>
      </c>
      <c r="C362" s="12" t="s">
        <v>539</v>
      </c>
      <c r="D362" s="8">
        <v>11</v>
      </c>
      <c r="E362" s="8" t="s">
        <v>528</v>
      </c>
    </row>
    <row r="363" spans="1:5" x14ac:dyDescent="0.25">
      <c r="A363" s="8" t="str">
        <f t="shared" si="5"/>
        <v>112</v>
      </c>
      <c r="B363" s="8">
        <v>112</v>
      </c>
      <c r="C363" s="12" t="s">
        <v>540</v>
      </c>
      <c r="D363" s="8">
        <v>11</v>
      </c>
      <c r="E363" s="8" t="s">
        <v>528</v>
      </c>
    </row>
    <row r="364" spans="1:5" x14ac:dyDescent="0.25">
      <c r="A364" s="8" t="str">
        <f t="shared" si="5"/>
        <v>113</v>
      </c>
      <c r="B364" s="8">
        <v>113</v>
      </c>
      <c r="C364" s="12" t="s">
        <v>541</v>
      </c>
      <c r="D364" s="8">
        <v>11</v>
      </c>
      <c r="E364" s="8" t="s">
        <v>528</v>
      </c>
    </row>
    <row r="365" spans="1:5" x14ac:dyDescent="0.25">
      <c r="A365" s="8" t="str">
        <f t="shared" si="5"/>
        <v>201</v>
      </c>
      <c r="B365" s="8" t="s">
        <v>138</v>
      </c>
      <c r="C365" s="12" t="s">
        <v>542</v>
      </c>
      <c r="D365" s="8">
        <v>11</v>
      </c>
      <c r="E365" s="8" t="s">
        <v>528</v>
      </c>
    </row>
    <row r="366" spans="1:5" x14ac:dyDescent="0.25">
      <c r="A366" s="8" t="str">
        <f t="shared" si="5"/>
        <v>202</v>
      </c>
      <c r="B366" s="8">
        <v>202</v>
      </c>
      <c r="C366" s="12" t="s">
        <v>543</v>
      </c>
      <c r="D366" s="8">
        <v>11</v>
      </c>
      <c r="E366" s="8" t="s">
        <v>528</v>
      </c>
    </row>
    <row r="367" spans="1:5" x14ac:dyDescent="0.25">
      <c r="A367" s="8" t="str">
        <f t="shared" si="5"/>
        <v>203</v>
      </c>
      <c r="B367" s="8">
        <v>203</v>
      </c>
      <c r="C367" s="12" t="s">
        <v>544</v>
      </c>
      <c r="D367" s="8">
        <v>11</v>
      </c>
      <c r="E367" s="8" t="s">
        <v>528</v>
      </c>
    </row>
    <row r="368" spans="1:5" x14ac:dyDescent="0.25">
      <c r="A368" s="8" t="str">
        <f t="shared" si="5"/>
        <v>204</v>
      </c>
      <c r="B368" s="8">
        <v>204</v>
      </c>
      <c r="C368" s="12" t="s">
        <v>545</v>
      </c>
      <c r="D368" s="8">
        <v>11</v>
      </c>
      <c r="E368" s="8" t="s">
        <v>528</v>
      </c>
    </row>
    <row r="369" spans="1:5" x14ac:dyDescent="0.25">
      <c r="A369" s="8" t="str">
        <f t="shared" si="5"/>
        <v>205</v>
      </c>
      <c r="B369" s="8">
        <v>205</v>
      </c>
      <c r="C369" s="12" t="s">
        <v>546</v>
      </c>
      <c r="D369" s="8">
        <v>11</v>
      </c>
      <c r="E369" s="8" t="s">
        <v>528</v>
      </c>
    </row>
    <row r="370" spans="1:5" x14ac:dyDescent="0.25">
      <c r="A370" s="8" t="str">
        <f t="shared" si="5"/>
        <v>101</v>
      </c>
      <c r="B370" s="8">
        <v>101</v>
      </c>
      <c r="C370" s="12" t="s">
        <v>547</v>
      </c>
      <c r="D370" s="8">
        <v>11</v>
      </c>
      <c r="E370" s="8" t="s">
        <v>548</v>
      </c>
    </row>
    <row r="371" spans="1:5" x14ac:dyDescent="0.25">
      <c r="A371" s="8" t="str">
        <f t="shared" si="5"/>
        <v>102</v>
      </c>
      <c r="B371" s="8">
        <v>102</v>
      </c>
      <c r="C371" s="12" t="s">
        <v>549</v>
      </c>
      <c r="D371" s="8">
        <v>11</v>
      </c>
      <c r="E371" s="8" t="s">
        <v>548</v>
      </c>
    </row>
    <row r="372" spans="1:5" x14ac:dyDescent="0.25">
      <c r="A372" s="8" t="str">
        <f t="shared" si="5"/>
        <v>103</v>
      </c>
      <c r="B372" s="8">
        <v>103</v>
      </c>
      <c r="C372" s="12" t="s">
        <v>550</v>
      </c>
      <c r="D372" s="8">
        <v>11</v>
      </c>
      <c r="E372" s="8" t="s">
        <v>548</v>
      </c>
    </row>
    <row r="373" spans="1:5" x14ac:dyDescent="0.25">
      <c r="A373" s="8" t="str">
        <f t="shared" si="5"/>
        <v>104</v>
      </c>
      <c r="B373" s="8">
        <v>104</v>
      </c>
      <c r="C373" s="12" t="s">
        <v>551</v>
      </c>
      <c r="D373" s="8">
        <v>11</v>
      </c>
      <c r="E373" s="8" t="s">
        <v>548</v>
      </c>
    </row>
    <row r="374" spans="1:5" x14ac:dyDescent="0.25">
      <c r="A374" s="8" t="str">
        <f t="shared" si="5"/>
        <v>000</v>
      </c>
      <c r="C374" s="12" t="s">
        <v>552</v>
      </c>
      <c r="D374" s="8">
        <v>11</v>
      </c>
      <c r="E374" s="8" t="s">
        <v>548</v>
      </c>
    </row>
    <row r="375" spans="1:5" x14ac:dyDescent="0.25">
      <c r="A375" s="8" t="str">
        <f t="shared" si="5"/>
        <v>001</v>
      </c>
      <c r="B375" s="8" t="s">
        <v>262</v>
      </c>
      <c r="C375" s="12" t="s">
        <v>553</v>
      </c>
      <c r="D375" s="8">
        <v>11</v>
      </c>
      <c r="E375" s="8" t="s">
        <v>554</v>
      </c>
    </row>
    <row r="376" spans="1:5" x14ac:dyDescent="0.25">
      <c r="A376" s="8" t="str">
        <f t="shared" si="5"/>
        <v>002</v>
      </c>
      <c r="B376" s="8" t="s">
        <v>264</v>
      </c>
      <c r="C376" s="12" t="s">
        <v>555</v>
      </c>
      <c r="D376" s="8">
        <v>11</v>
      </c>
      <c r="E376" s="8" t="s">
        <v>554</v>
      </c>
    </row>
    <row r="377" spans="1:5" x14ac:dyDescent="0.25">
      <c r="A377" s="8" t="str">
        <f t="shared" si="5"/>
        <v>003</v>
      </c>
      <c r="B377" s="8" t="s">
        <v>67</v>
      </c>
      <c r="C377" s="12" t="s">
        <v>556</v>
      </c>
      <c r="D377" s="8">
        <v>11</v>
      </c>
      <c r="E377" s="8" t="s">
        <v>554</v>
      </c>
    </row>
    <row r="378" spans="1:5" x14ac:dyDescent="0.25">
      <c r="A378" s="8" t="str">
        <f t="shared" si="5"/>
        <v>004</v>
      </c>
      <c r="B378" s="8" t="s">
        <v>69</v>
      </c>
      <c r="C378" s="12" t="s">
        <v>557</v>
      </c>
      <c r="D378" s="8">
        <v>11</v>
      </c>
      <c r="E378" s="8" t="s">
        <v>554</v>
      </c>
    </row>
    <row r="379" spans="1:5" x14ac:dyDescent="0.25">
      <c r="A379" s="8" t="str">
        <f t="shared" si="5"/>
        <v>001</v>
      </c>
      <c r="B379" s="8" t="s">
        <v>262</v>
      </c>
      <c r="C379" s="12" t="s">
        <v>558</v>
      </c>
      <c r="D379" s="8">
        <v>11</v>
      </c>
    </row>
    <row r="380" spans="1:5" x14ac:dyDescent="0.25">
      <c r="A380" s="8" t="str">
        <f t="shared" si="5"/>
        <v>000</v>
      </c>
      <c r="B380" s="8" t="s">
        <v>65</v>
      </c>
      <c r="C380" s="12" t="s">
        <v>66</v>
      </c>
      <c r="D380" s="8">
        <v>12</v>
      </c>
    </row>
    <row r="381" spans="1:5" x14ac:dyDescent="0.25">
      <c r="A381" s="8" t="str">
        <f t="shared" si="5"/>
        <v>001</v>
      </c>
      <c r="B381" s="8" t="s">
        <v>262</v>
      </c>
      <c r="C381" s="12" t="s">
        <v>559</v>
      </c>
      <c r="D381" s="8">
        <v>12</v>
      </c>
    </row>
    <row r="382" spans="1:5" x14ac:dyDescent="0.25">
      <c r="A382" s="8" t="str">
        <f t="shared" si="5"/>
        <v>002</v>
      </c>
      <c r="B382" s="8" t="s">
        <v>264</v>
      </c>
      <c r="C382" s="12" t="s">
        <v>560</v>
      </c>
      <c r="D382" s="8">
        <v>12</v>
      </c>
    </row>
    <row r="383" spans="1:5" x14ac:dyDescent="0.25">
      <c r="A383" s="8" t="str">
        <f t="shared" si="5"/>
        <v>003</v>
      </c>
      <c r="B383" s="8" t="s">
        <v>67</v>
      </c>
      <c r="C383" s="12" t="s">
        <v>561</v>
      </c>
      <c r="D383" s="8">
        <v>12</v>
      </c>
    </row>
    <row r="384" spans="1:5" x14ac:dyDescent="0.25">
      <c r="A384" s="8" t="str">
        <f t="shared" si="5"/>
        <v>004</v>
      </c>
      <c r="B384" s="8" t="s">
        <v>69</v>
      </c>
      <c r="C384" s="12" t="s">
        <v>562</v>
      </c>
      <c r="D384" s="8">
        <v>12</v>
      </c>
    </row>
    <row r="385" spans="1:5" x14ac:dyDescent="0.25">
      <c r="A385" s="8" t="str">
        <f t="shared" si="5"/>
        <v>005</v>
      </c>
      <c r="B385" s="8" t="s">
        <v>78</v>
      </c>
      <c r="C385" s="12" t="s">
        <v>563</v>
      </c>
      <c r="D385" s="8">
        <v>12</v>
      </c>
    </row>
    <row r="386" spans="1:5" x14ac:dyDescent="0.25">
      <c r="A386" s="8" t="str">
        <f t="shared" si="5"/>
        <v>006</v>
      </c>
      <c r="B386" s="8" t="s">
        <v>80</v>
      </c>
      <c r="C386" s="12" t="s">
        <v>564</v>
      </c>
      <c r="D386" s="8">
        <v>12</v>
      </c>
    </row>
    <row r="387" spans="1:5" x14ac:dyDescent="0.25">
      <c r="A387" s="8" t="str">
        <f t="shared" ref="A387:A450" si="6">TEXT(B387,"000")</f>
        <v>007</v>
      </c>
      <c r="B387" s="8" t="s">
        <v>71</v>
      </c>
      <c r="C387" s="12" t="s">
        <v>565</v>
      </c>
      <c r="D387" s="8">
        <v>12</v>
      </c>
    </row>
    <row r="388" spans="1:5" x14ac:dyDescent="0.25">
      <c r="A388" s="8" t="str">
        <f t="shared" si="6"/>
        <v>008</v>
      </c>
      <c r="B388" s="8" t="s">
        <v>271</v>
      </c>
      <c r="C388" s="12" t="s">
        <v>566</v>
      </c>
      <c r="D388" s="8">
        <v>12</v>
      </c>
    </row>
    <row r="389" spans="1:5" x14ac:dyDescent="0.25">
      <c r="A389" s="8" t="str">
        <f t="shared" si="6"/>
        <v>000</v>
      </c>
      <c r="B389" s="8" t="s">
        <v>65</v>
      </c>
      <c r="C389" s="12" t="s">
        <v>567</v>
      </c>
      <c r="D389" s="8">
        <v>13</v>
      </c>
      <c r="E389" s="8" t="s">
        <v>282</v>
      </c>
    </row>
    <row r="390" spans="1:5" x14ac:dyDescent="0.25">
      <c r="A390" s="8" t="str">
        <f t="shared" si="6"/>
        <v>001</v>
      </c>
      <c r="B390" s="8" t="s">
        <v>262</v>
      </c>
      <c r="C390" s="12" t="s">
        <v>568</v>
      </c>
      <c r="D390" s="8">
        <v>13</v>
      </c>
      <c r="E390" s="8" t="s">
        <v>282</v>
      </c>
    </row>
    <row r="391" spans="1:5" x14ac:dyDescent="0.25">
      <c r="A391" s="8" t="str">
        <f t="shared" si="6"/>
        <v>002</v>
      </c>
      <c r="B391" s="8" t="s">
        <v>264</v>
      </c>
      <c r="C391" s="12" t="s">
        <v>569</v>
      </c>
      <c r="D391" s="8">
        <v>13</v>
      </c>
      <c r="E391" s="8" t="s">
        <v>282</v>
      </c>
    </row>
    <row r="392" spans="1:5" x14ac:dyDescent="0.25">
      <c r="A392" s="8" t="str">
        <f t="shared" si="6"/>
        <v>003</v>
      </c>
      <c r="B392" s="8" t="s">
        <v>67</v>
      </c>
      <c r="C392" s="12" t="s">
        <v>570</v>
      </c>
      <c r="D392" s="8">
        <v>13</v>
      </c>
      <c r="E392" s="8" t="s">
        <v>282</v>
      </c>
    </row>
    <row r="393" spans="1:5" x14ac:dyDescent="0.25">
      <c r="A393" s="8" t="str">
        <f t="shared" si="6"/>
        <v>004</v>
      </c>
      <c r="B393" s="8" t="s">
        <v>69</v>
      </c>
      <c r="C393" s="12" t="s">
        <v>571</v>
      </c>
      <c r="D393" s="8">
        <v>13</v>
      </c>
      <c r="E393" s="8" t="s">
        <v>302</v>
      </c>
    </row>
    <row r="394" spans="1:5" x14ac:dyDescent="0.25">
      <c r="A394" s="8" t="str">
        <f t="shared" si="6"/>
        <v>005</v>
      </c>
      <c r="B394" s="8" t="s">
        <v>78</v>
      </c>
      <c r="C394" s="12" t="s">
        <v>572</v>
      </c>
      <c r="D394" s="8">
        <v>13</v>
      </c>
      <c r="E394" s="8" t="s">
        <v>302</v>
      </c>
    </row>
    <row r="395" spans="1:5" x14ac:dyDescent="0.25">
      <c r="A395" s="8" t="str">
        <f t="shared" si="6"/>
        <v>006</v>
      </c>
      <c r="B395" s="8" t="s">
        <v>80</v>
      </c>
      <c r="C395" s="12" t="s">
        <v>573</v>
      </c>
      <c r="D395" s="8">
        <v>13</v>
      </c>
      <c r="E395" s="8" t="s">
        <v>302</v>
      </c>
    </row>
    <row r="396" spans="1:5" x14ac:dyDescent="0.25">
      <c r="A396" s="8" t="str">
        <f t="shared" si="6"/>
        <v>007</v>
      </c>
      <c r="B396" s="8" t="s">
        <v>71</v>
      </c>
      <c r="C396" s="12" t="s">
        <v>574</v>
      </c>
      <c r="D396" s="8">
        <v>13</v>
      </c>
      <c r="E396" s="8" t="s">
        <v>302</v>
      </c>
    </row>
    <row r="397" spans="1:5" x14ac:dyDescent="0.25">
      <c r="A397" s="8" t="str">
        <f t="shared" si="6"/>
        <v>008</v>
      </c>
      <c r="B397" s="8" t="s">
        <v>271</v>
      </c>
      <c r="C397" s="12" t="s">
        <v>575</v>
      </c>
      <c r="D397" s="8">
        <v>13</v>
      </c>
      <c r="E397" s="8" t="s">
        <v>302</v>
      </c>
    </row>
    <row r="398" spans="1:5" x14ac:dyDescent="0.25">
      <c r="A398" s="8" t="str">
        <f t="shared" si="6"/>
        <v>009</v>
      </c>
      <c r="B398" s="8" t="s">
        <v>273</v>
      </c>
      <c r="C398" s="12" t="s">
        <v>576</v>
      </c>
      <c r="D398" s="8">
        <v>13</v>
      </c>
      <c r="E398" s="8" t="s">
        <v>302</v>
      </c>
    </row>
    <row r="399" spans="1:5" x14ac:dyDescent="0.25">
      <c r="A399" s="8" t="str">
        <f t="shared" si="6"/>
        <v>010</v>
      </c>
      <c r="B399" s="8" t="s">
        <v>61</v>
      </c>
      <c r="C399" s="12" t="s">
        <v>577</v>
      </c>
      <c r="D399" s="8">
        <v>13</v>
      </c>
      <c r="E399" s="8" t="s">
        <v>302</v>
      </c>
    </row>
    <row r="400" spans="1:5" x14ac:dyDescent="0.25">
      <c r="A400" s="8" t="str">
        <f t="shared" si="6"/>
        <v>011</v>
      </c>
      <c r="B400" s="8" t="s">
        <v>74</v>
      </c>
      <c r="C400" s="12" t="s">
        <v>578</v>
      </c>
      <c r="D400" s="8">
        <v>13</v>
      </c>
      <c r="E400" s="8" t="s">
        <v>302</v>
      </c>
    </row>
    <row r="401" spans="1:5" x14ac:dyDescent="0.25">
      <c r="A401" s="8" t="str">
        <f t="shared" si="6"/>
        <v>012</v>
      </c>
      <c r="B401" s="8" t="s">
        <v>76</v>
      </c>
      <c r="C401" s="12" t="s">
        <v>579</v>
      </c>
      <c r="D401" s="8">
        <v>13</v>
      </c>
      <c r="E401" s="8" t="s">
        <v>302</v>
      </c>
    </row>
    <row r="402" spans="1:5" x14ac:dyDescent="0.25">
      <c r="A402" s="8" t="str">
        <f t="shared" si="6"/>
        <v>013</v>
      </c>
      <c r="B402" s="8" t="s">
        <v>278</v>
      </c>
      <c r="C402" s="12" t="s">
        <v>580</v>
      </c>
      <c r="D402" s="8">
        <v>13</v>
      </c>
      <c r="E402" s="8" t="s">
        <v>302</v>
      </c>
    </row>
    <row r="403" spans="1:5" x14ac:dyDescent="0.25">
      <c r="A403" s="8" t="str">
        <f t="shared" si="6"/>
        <v>014</v>
      </c>
      <c r="B403" s="8" t="s">
        <v>280</v>
      </c>
      <c r="C403" s="12" t="s">
        <v>575</v>
      </c>
      <c r="D403" s="8">
        <v>13</v>
      </c>
      <c r="E403" s="8" t="s">
        <v>302</v>
      </c>
    </row>
    <row r="404" spans="1:5" x14ac:dyDescent="0.25">
      <c r="A404" s="8" t="str">
        <f t="shared" si="6"/>
        <v>015</v>
      </c>
      <c r="B404" s="8" t="s">
        <v>346</v>
      </c>
      <c r="C404" s="12" t="s">
        <v>581</v>
      </c>
      <c r="D404" s="8">
        <v>13</v>
      </c>
      <c r="E404" s="8" t="s">
        <v>302</v>
      </c>
    </row>
    <row r="405" spans="1:5" x14ac:dyDescent="0.25">
      <c r="A405" s="8" t="str">
        <f t="shared" si="6"/>
        <v>016</v>
      </c>
      <c r="B405" s="8" t="s">
        <v>82</v>
      </c>
      <c r="C405" s="12" t="s">
        <v>582</v>
      </c>
      <c r="D405" s="8">
        <v>13</v>
      </c>
      <c r="E405" s="8" t="s">
        <v>302</v>
      </c>
    </row>
    <row r="406" spans="1:5" x14ac:dyDescent="0.25">
      <c r="A406" s="8" t="str">
        <f t="shared" si="6"/>
        <v>017</v>
      </c>
      <c r="B406" s="8" t="s">
        <v>349</v>
      </c>
      <c r="C406" s="12" t="s">
        <v>583</v>
      </c>
      <c r="D406" s="8">
        <v>13</v>
      </c>
      <c r="E406" s="8" t="s">
        <v>302</v>
      </c>
    </row>
    <row r="407" spans="1:5" x14ac:dyDescent="0.25">
      <c r="A407" s="8" t="str">
        <f t="shared" si="6"/>
        <v>501</v>
      </c>
      <c r="B407" s="8">
        <v>501</v>
      </c>
      <c r="C407" s="12" t="s">
        <v>584</v>
      </c>
      <c r="D407" s="8">
        <v>13</v>
      </c>
      <c r="E407" s="8" t="s">
        <v>302</v>
      </c>
    </row>
    <row r="408" spans="1:5" x14ac:dyDescent="0.25">
      <c r="A408" s="8" t="str">
        <f t="shared" si="6"/>
        <v>003</v>
      </c>
      <c r="B408" s="8" t="s">
        <v>67</v>
      </c>
      <c r="C408" s="12" t="s">
        <v>585</v>
      </c>
      <c r="D408" s="8">
        <v>13</v>
      </c>
      <c r="E408" s="8" t="s">
        <v>481</v>
      </c>
    </row>
    <row r="409" spans="1:5" x14ac:dyDescent="0.25">
      <c r="A409" s="8" t="str">
        <f t="shared" si="6"/>
        <v>101</v>
      </c>
      <c r="B409" s="8">
        <v>101</v>
      </c>
      <c r="C409" s="12" t="s">
        <v>586</v>
      </c>
      <c r="D409" s="8">
        <v>13</v>
      </c>
      <c r="E409" s="8" t="s">
        <v>514</v>
      </c>
    </row>
    <row r="410" spans="1:5" x14ac:dyDescent="0.25">
      <c r="A410" s="8" t="str">
        <f t="shared" si="6"/>
        <v>301</v>
      </c>
      <c r="B410" s="8" t="s">
        <v>152</v>
      </c>
      <c r="C410" s="12" t="s">
        <v>587</v>
      </c>
      <c r="D410" s="8">
        <v>13</v>
      </c>
      <c r="E410" s="8" t="s">
        <v>514</v>
      </c>
    </row>
    <row r="411" spans="1:5" x14ac:dyDescent="0.25">
      <c r="A411" s="8" t="str">
        <f t="shared" si="6"/>
        <v>302</v>
      </c>
      <c r="B411" s="8" t="s">
        <v>154</v>
      </c>
      <c r="C411" s="12" t="s">
        <v>588</v>
      </c>
      <c r="D411" s="8">
        <v>13</v>
      </c>
      <c r="E411" s="8" t="s">
        <v>514</v>
      </c>
    </row>
    <row r="412" spans="1:5" x14ac:dyDescent="0.25">
      <c r="A412" s="8" t="str">
        <f t="shared" si="6"/>
        <v>303</v>
      </c>
      <c r="B412" s="8">
        <v>303</v>
      </c>
      <c r="C412" s="12" t="s">
        <v>589</v>
      </c>
      <c r="D412" s="8">
        <v>13</v>
      </c>
      <c r="E412" s="8" t="s">
        <v>514</v>
      </c>
    </row>
    <row r="413" spans="1:5" x14ac:dyDescent="0.25">
      <c r="A413" s="8" t="str">
        <f t="shared" si="6"/>
        <v>009</v>
      </c>
      <c r="B413" s="8" t="s">
        <v>273</v>
      </c>
      <c r="C413" s="12" t="s">
        <v>590</v>
      </c>
      <c r="D413" s="8">
        <v>13</v>
      </c>
      <c r="E413" s="8" t="s">
        <v>520</v>
      </c>
    </row>
    <row r="414" spans="1:5" x14ac:dyDescent="0.25">
      <c r="A414" s="8" t="str">
        <f t="shared" si="6"/>
        <v>010</v>
      </c>
      <c r="B414" s="8" t="s">
        <v>61</v>
      </c>
      <c r="C414" s="12" t="s">
        <v>591</v>
      </c>
      <c r="D414" s="8">
        <v>13</v>
      </c>
      <c r="E414" s="8" t="s">
        <v>416</v>
      </c>
    </row>
    <row r="415" spans="1:5" x14ac:dyDescent="0.25">
      <c r="A415" s="8" t="str">
        <f t="shared" si="6"/>
        <v>011</v>
      </c>
      <c r="B415" s="8" t="s">
        <v>74</v>
      </c>
      <c r="C415" s="12" t="s">
        <v>592</v>
      </c>
      <c r="D415" s="8">
        <v>13</v>
      </c>
      <c r="E415" s="8" t="s">
        <v>416</v>
      </c>
    </row>
    <row r="416" spans="1:5" x14ac:dyDescent="0.25">
      <c r="A416" s="8" t="str">
        <f t="shared" si="6"/>
        <v>011</v>
      </c>
      <c r="B416" s="8" t="s">
        <v>74</v>
      </c>
      <c r="C416" s="12" t="s">
        <v>593</v>
      </c>
      <c r="D416" s="8">
        <v>13</v>
      </c>
      <c r="E416" s="8" t="s">
        <v>431</v>
      </c>
    </row>
    <row r="417" spans="1:5" x14ac:dyDescent="0.25">
      <c r="A417" s="8" t="str">
        <f t="shared" si="6"/>
        <v>012</v>
      </c>
      <c r="B417" s="8" t="s">
        <v>76</v>
      </c>
      <c r="C417" s="12" t="s">
        <v>594</v>
      </c>
      <c r="D417" s="8">
        <v>13</v>
      </c>
      <c r="E417" s="8" t="s">
        <v>431</v>
      </c>
    </row>
    <row r="418" spans="1:5" x14ac:dyDescent="0.25">
      <c r="A418" s="8" t="str">
        <f t="shared" si="6"/>
        <v>013</v>
      </c>
      <c r="B418" s="8" t="s">
        <v>278</v>
      </c>
      <c r="C418" s="12" t="s">
        <v>595</v>
      </c>
      <c r="D418" s="8">
        <v>13</v>
      </c>
      <c r="E418" s="8" t="s">
        <v>431</v>
      </c>
    </row>
    <row r="419" spans="1:5" x14ac:dyDescent="0.25">
      <c r="A419" s="8" t="str">
        <f t="shared" si="6"/>
        <v>014</v>
      </c>
      <c r="B419" s="8" t="s">
        <v>280</v>
      </c>
      <c r="C419" s="12" t="s">
        <v>596</v>
      </c>
      <c r="D419" s="8">
        <v>13</v>
      </c>
      <c r="E419" s="8" t="s">
        <v>431</v>
      </c>
    </row>
    <row r="420" spans="1:5" x14ac:dyDescent="0.25">
      <c r="A420" s="8" t="str">
        <f t="shared" si="6"/>
        <v>015</v>
      </c>
      <c r="B420" s="8" t="s">
        <v>346</v>
      </c>
      <c r="C420" s="12" t="s">
        <v>597</v>
      </c>
      <c r="D420" s="8">
        <v>13</v>
      </c>
      <c r="E420" s="8" t="s">
        <v>431</v>
      </c>
    </row>
    <row r="421" spans="1:5" x14ac:dyDescent="0.25">
      <c r="A421" s="8" t="str">
        <f t="shared" si="6"/>
        <v>016</v>
      </c>
      <c r="B421" s="8" t="s">
        <v>82</v>
      </c>
      <c r="C421" s="12" t="s">
        <v>598</v>
      </c>
      <c r="D421" s="8">
        <v>13</v>
      </c>
      <c r="E421" s="8" t="s">
        <v>431</v>
      </c>
    </row>
    <row r="422" spans="1:5" x14ac:dyDescent="0.25">
      <c r="A422" s="8" t="str">
        <f t="shared" si="6"/>
        <v>014</v>
      </c>
      <c r="B422" s="8" t="s">
        <v>280</v>
      </c>
      <c r="C422" s="12" t="s">
        <v>599</v>
      </c>
      <c r="D422" s="8">
        <v>13</v>
      </c>
      <c r="E422" s="8" t="s">
        <v>419</v>
      </c>
    </row>
    <row r="423" spans="1:5" x14ac:dyDescent="0.25">
      <c r="A423" s="8" t="str">
        <f t="shared" si="6"/>
        <v>015</v>
      </c>
      <c r="B423" s="8" t="s">
        <v>346</v>
      </c>
      <c r="C423" s="12" t="s">
        <v>600</v>
      </c>
      <c r="D423" s="8">
        <v>13</v>
      </c>
      <c r="E423" s="8" t="s">
        <v>419</v>
      </c>
    </row>
    <row r="424" spans="1:5" x14ac:dyDescent="0.25">
      <c r="A424" s="8" t="str">
        <f t="shared" si="6"/>
        <v>001</v>
      </c>
      <c r="B424" s="8" t="s">
        <v>262</v>
      </c>
      <c r="C424" s="12" t="s">
        <v>601</v>
      </c>
      <c r="D424" s="8">
        <v>13</v>
      </c>
      <c r="E424" s="8" t="s">
        <v>425</v>
      </c>
    </row>
    <row r="425" spans="1:5" x14ac:dyDescent="0.25">
      <c r="A425" s="8" t="str">
        <f t="shared" si="6"/>
        <v>002</v>
      </c>
      <c r="B425" s="8" t="s">
        <v>264</v>
      </c>
      <c r="C425" s="12" t="s">
        <v>602</v>
      </c>
      <c r="D425" s="8">
        <v>13</v>
      </c>
      <c r="E425" s="8" t="s">
        <v>425</v>
      </c>
    </row>
    <row r="426" spans="1:5" x14ac:dyDescent="0.25">
      <c r="A426" s="8" t="str">
        <f t="shared" si="6"/>
        <v>003</v>
      </c>
      <c r="B426" s="8" t="s">
        <v>67</v>
      </c>
      <c r="C426" s="12" t="s">
        <v>603</v>
      </c>
      <c r="D426" s="8">
        <v>13</v>
      </c>
      <c r="E426" s="8" t="s">
        <v>425</v>
      </c>
    </row>
    <row r="427" spans="1:5" x14ac:dyDescent="0.25">
      <c r="A427" s="8" t="str">
        <f t="shared" si="6"/>
        <v>004</v>
      </c>
      <c r="B427" s="8" t="s">
        <v>69</v>
      </c>
      <c r="C427" s="12" t="s">
        <v>604</v>
      </c>
      <c r="D427" s="8">
        <v>13</v>
      </c>
      <c r="E427" s="8" t="s">
        <v>425</v>
      </c>
    </row>
    <row r="428" spans="1:5" x14ac:dyDescent="0.25">
      <c r="A428" s="8" t="str">
        <f t="shared" si="6"/>
        <v>005</v>
      </c>
      <c r="B428" s="8" t="s">
        <v>78</v>
      </c>
      <c r="C428" s="12" t="s">
        <v>605</v>
      </c>
      <c r="D428" s="8">
        <v>13</v>
      </c>
      <c r="E428" s="8" t="s">
        <v>425</v>
      </c>
    </row>
    <row r="429" spans="1:5" x14ac:dyDescent="0.25">
      <c r="A429" s="8" t="str">
        <f t="shared" si="6"/>
        <v>006</v>
      </c>
      <c r="B429" s="8" t="s">
        <v>80</v>
      </c>
      <c r="C429" s="12" t="s">
        <v>606</v>
      </c>
      <c r="D429" s="8">
        <v>13</v>
      </c>
      <c r="E429" s="8" t="s">
        <v>425</v>
      </c>
    </row>
    <row r="430" spans="1:5" x14ac:dyDescent="0.25">
      <c r="A430" s="8" t="str">
        <f t="shared" si="6"/>
        <v>007</v>
      </c>
      <c r="B430" s="8" t="s">
        <v>71</v>
      </c>
      <c r="C430" s="12" t="s">
        <v>607</v>
      </c>
      <c r="D430" s="8">
        <v>13</v>
      </c>
      <c r="E430" s="8" t="s">
        <v>425</v>
      </c>
    </row>
    <row r="431" spans="1:5" x14ac:dyDescent="0.25">
      <c r="A431" s="8" t="str">
        <f t="shared" si="6"/>
        <v>008</v>
      </c>
      <c r="B431" s="8" t="s">
        <v>271</v>
      </c>
      <c r="C431" s="12" t="s">
        <v>608</v>
      </c>
      <c r="D431" s="8">
        <v>13</v>
      </c>
      <c r="E431" s="8" t="s">
        <v>425</v>
      </c>
    </row>
    <row r="432" spans="1:5" x14ac:dyDescent="0.25">
      <c r="A432" s="8" t="str">
        <f t="shared" si="6"/>
        <v>009</v>
      </c>
      <c r="B432" s="8" t="s">
        <v>273</v>
      </c>
      <c r="C432" s="12" t="s">
        <v>609</v>
      </c>
      <c r="D432" s="8">
        <v>13</v>
      </c>
      <c r="E432" s="8" t="s">
        <v>425</v>
      </c>
    </row>
    <row r="433" spans="1:5" x14ac:dyDescent="0.25">
      <c r="A433" s="8" t="str">
        <f t="shared" si="6"/>
        <v>009</v>
      </c>
      <c r="B433" s="8" t="s">
        <v>273</v>
      </c>
      <c r="C433" s="12" t="s">
        <v>610</v>
      </c>
      <c r="D433" s="8">
        <v>13</v>
      </c>
      <c r="E433" s="8" t="s">
        <v>425</v>
      </c>
    </row>
    <row r="434" spans="1:5" x14ac:dyDescent="0.25">
      <c r="A434" s="8" t="str">
        <f t="shared" si="6"/>
        <v>010</v>
      </c>
      <c r="B434" s="8" t="s">
        <v>61</v>
      </c>
      <c r="C434" s="12" t="s">
        <v>611</v>
      </c>
      <c r="D434" s="8">
        <v>13</v>
      </c>
      <c r="E434" s="8" t="s">
        <v>425</v>
      </c>
    </row>
    <row r="435" spans="1:5" x14ac:dyDescent="0.25">
      <c r="A435" s="8" t="str">
        <f t="shared" si="6"/>
        <v>011</v>
      </c>
      <c r="B435" s="8" t="s">
        <v>74</v>
      </c>
      <c r="C435" s="12" t="s">
        <v>612</v>
      </c>
      <c r="D435" s="8">
        <v>13</v>
      </c>
      <c r="E435" s="8" t="s">
        <v>425</v>
      </c>
    </row>
    <row r="436" spans="1:5" x14ac:dyDescent="0.25">
      <c r="A436" s="8" t="str">
        <f t="shared" si="6"/>
        <v>012</v>
      </c>
      <c r="B436" s="8" t="s">
        <v>76</v>
      </c>
      <c r="C436" s="12" t="s">
        <v>613</v>
      </c>
      <c r="D436" s="8">
        <v>13</v>
      </c>
      <c r="E436" s="8" t="s">
        <v>425</v>
      </c>
    </row>
    <row r="437" spans="1:5" x14ac:dyDescent="0.25">
      <c r="A437" s="8" t="str">
        <f t="shared" si="6"/>
        <v>013</v>
      </c>
      <c r="B437" s="8" t="s">
        <v>278</v>
      </c>
      <c r="C437" s="12" t="s">
        <v>614</v>
      </c>
      <c r="D437" s="8">
        <v>13</v>
      </c>
      <c r="E437" s="8" t="s">
        <v>425</v>
      </c>
    </row>
    <row r="438" spans="1:5" x14ac:dyDescent="0.25">
      <c r="A438" s="8" t="str">
        <f t="shared" si="6"/>
        <v>014</v>
      </c>
      <c r="B438" s="8" t="s">
        <v>280</v>
      </c>
      <c r="C438" s="12" t="s">
        <v>615</v>
      </c>
      <c r="D438" s="8">
        <v>13</v>
      </c>
      <c r="E438" s="8" t="s">
        <v>425</v>
      </c>
    </row>
    <row r="439" spans="1:5" x14ac:dyDescent="0.25">
      <c r="A439" s="8" t="str">
        <f t="shared" si="6"/>
        <v>015</v>
      </c>
      <c r="B439" s="8" t="s">
        <v>346</v>
      </c>
      <c r="C439" s="12" t="s">
        <v>616</v>
      </c>
      <c r="D439" s="8">
        <v>13</v>
      </c>
      <c r="E439" s="8" t="s">
        <v>425</v>
      </c>
    </row>
    <row r="440" spans="1:5" x14ac:dyDescent="0.25">
      <c r="A440" s="8" t="str">
        <f t="shared" si="6"/>
        <v>016</v>
      </c>
      <c r="B440" s="8" t="s">
        <v>82</v>
      </c>
      <c r="C440" s="12" t="s">
        <v>617</v>
      </c>
      <c r="D440" s="8">
        <v>13</v>
      </c>
      <c r="E440" s="8" t="s">
        <v>425</v>
      </c>
    </row>
    <row r="441" spans="1:5" x14ac:dyDescent="0.25">
      <c r="A441" s="8" t="str">
        <f t="shared" si="6"/>
        <v>018</v>
      </c>
      <c r="B441" s="8" t="s">
        <v>351</v>
      </c>
      <c r="C441" s="12" t="s">
        <v>618</v>
      </c>
      <c r="D441" s="8">
        <v>13</v>
      </c>
      <c r="E441" s="8" t="s">
        <v>425</v>
      </c>
    </row>
    <row r="442" spans="1:5" x14ac:dyDescent="0.25">
      <c r="A442" s="8" t="str">
        <f t="shared" si="6"/>
        <v>001</v>
      </c>
      <c r="B442" s="8" t="s">
        <v>262</v>
      </c>
      <c r="C442" s="12" t="s">
        <v>619</v>
      </c>
      <c r="D442" s="8">
        <v>13</v>
      </c>
      <c r="E442" s="8" t="s">
        <v>433</v>
      </c>
    </row>
    <row r="443" spans="1:5" x14ac:dyDescent="0.25">
      <c r="A443" s="8" t="str">
        <f t="shared" si="6"/>
        <v>002</v>
      </c>
      <c r="B443" s="8" t="s">
        <v>264</v>
      </c>
      <c r="C443" s="12" t="s">
        <v>620</v>
      </c>
      <c r="D443" s="8">
        <v>13</v>
      </c>
      <c r="E443" s="8" t="s">
        <v>433</v>
      </c>
    </row>
    <row r="444" spans="1:5" x14ac:dyDescent="0.25">
      <c r="A444" s="8" t="str">
        <f t="shared" si="6"/>
        <v>003</v>
      </c>
      <c r="B444" s="8" t="s">
        <v>67</v>
      </c>
      <c r="C444" s="12" t="s">
        <v>621</v>
      </c>
      <c r="D444" s="8">
        <v>13</v>
      </c>
      <c r="E444" s="8" t="s">
        <v>433</v>
      </c>
    </row>
    <row r="445" spans="1:5" x14ac:dyDescent="0.25">
      <c r="A445" s="8" t="str">
        <f t="shared" si="6"/>
        <v>004</v>
      </c>
      <c r="B445" s="8" t="s">
        <v>69</v>
      </c>
      <c r="C445" s="12" t="s">
        <v>622</v>
      </c>
      <c r="D445" s="8">
        <v>13</v>
      </c>
      <c r="E445" s="8" t="s">
        <v>433</v>
      </c>
    </row>
    <row r="446" spans="1:5" x14ac:dyDescent="0.25">
      <c r="A446" s="8" t="str">
        <f t="shared" si="6"/>
        <v>001</v>
      </c>
      <c r="B446" s="8" t="s">
        <v>262</v>
      </c>
      <c r="C446" s="12" t="s">
        <v>623</v>
      </c>
      <c r="D446" s="8">
        <v>13</v>
      </c>
    </row>
    <row r="447" spans="1:5" x14ac:dyDescent="0.25">
      <c r="A447" s="8" t="str">
        <f t="shared" si="6"/>
        <v>001</v>
      </c>
      <c r="B447" s="8" t="s">
        <v>262</v>
      </c>
      <c r="C447" s="12" t="s">
        <v>624</v>
      </c>
      <c r="D447" s="8">
        <v>13</v>
      </c>
      <c r="E447" s="8" t="s">
        <v>458</v>
      </c>
    </row>
    <row r="448" spans="1:5" x14ac:dyDescent="0.25">
      <c r="A448" s="8" t="str">
        <f t="shared" si="6"/>
        <v>002</v>
      </c>
      <c r="B448" s="8" t="s">
        <v>264</v>
      </c>
      <c r="C448" s="12" t="s">
        <v>625</v>
      </c>
      <c r="D448" s="8">
        <v>13</v>
      </c>
      <c r="E448" s="8" t="s">
        <v>458</v>
      </c>
    </row>
    <row r="449" spans="1:5" x14ac:dyDescent="0.25">
      <c r="A449" s="8" t="str">
        <f t="shared" si="6"/>
        <v>003</v>
      </c>
      <c r="B449" s="8" t="s">
        <v>67</v>
      </c>
      <c r="C449" s="12" t="s">
        <v>626</v>
      </c>
      <c r="D449" s="8">
        <v>13</v>
      </c>
      <c r="E449" s="8" t="s">
        <v>458</v>
      </c>
    </row>
    <row r="450" spans="1:5" x14ac:dyDescent="0.25">
      <c r="A450" s="8" t="str">
        <f t="shared" si="6"/>
        <v>004</v>
      </c>
      <c r="B450" s="8" t="s">
        <v>69</v>
      </c>
      <c r="C450" s="12" t="s">
        <v>627</v>
      </c>
      <c r="D450" s="8">
        <v>13</v>
      </c>
      <c r="E450" s="8" t="s">
        <v>458</v>
      </c>
    </row>
    <row r="451" spans="1:5" x14ac:dyDescent="0.25">
      <c r="A451" s="8" t="str">
        <f t="shared" ref="A451:A514" si="7">TEXT(B451,"000")</f>
        <v>005</v>
      </c>
      <c r="B451" s="8" t="s">
        <v>78</v>
      </c>
      <c r="C451" s="12" t="s">
        <v>628</v>
      </c>
      <c r="D451" s="8">
        <v>13</v>
      </c>
      <c r="E451" s="8" t="s">
        <v>458</v>
      </c>
    </row>
    <row r="452" spans="1:5" x14ac:dyDescent="0.25">
      <c r="A452" s="8" t="str">
        <f t="shared" si="7"/>
        <v>006</v>
      </c>
      <c r="B452" s="8" t="s">
        <v>80</v>
      </c>
      <c r="C452" s="12" t="s">
        <v>629</v>
      </c>
      <c r="D452" s="8">
        <v>13</v>
      </c>
      <c r="E452" s="8" t="s">
        <v>458</v>
      </c>
    </row>
    <row r="453" spans="1:5" x14ac:dyDescent="0.25">
      <c r="A453" s="8" t="str">
        <f t="shared" si="7"/>
        <v>007</v>
      </c>
      <c r="B453" s="8" t="s">
        <v>71</v>
      </c>
      <c r="C453" s="12" t="s">
        <v>630</v>
      </c>
      <c r="D453" s="8">
        <v>13</v>
      </c>
      <c r="E453" s="8" t="s">
        <v>458</v>
      </c>
    </row>
    <row r="454" spans="1:5" x14ac:dyDescent="0.25">
      <c r="A454" s="8" t="str">
        <f t="shared" si="7"/>
        <v>008</v>
      </c>
      <c r="B454" s="8" t="s">
        <v>271</v>
      </c>
      <c r="C454" s="12" t="s">
        <v>631</v>
      </c>
      <c r="D454" s="8">
        <v>13</v>
      </c>
      <c r="E454" s="8" t="s">
        <v>458</v>
      </c>
    </row>
    <row r="455" spans="1:5" x14ac:dyDescent="0.25">
      <c r="A455" s="8" t="str">
        <f t="shared" si="7"/>
        <v>009</v>
      </c>
      <c r="B455" s="8" t="s">
        <v>273</v>
      </c>
      <c r="C455" s="12" t="s">
        <v>632</v>
      </c>
      <c r="D455" s="8">
        <v>13</v>
      </c>
      <c r="E455" s="8" t="s">
        <v>458</v>
      </c>
    </row>
    <row r="456" spans="1:5" x14ac:dyDescent="0.25">
      <c r="A456" s="8" t="str">
        <f t="shared" si="7"/>
        <v>010</v>
      </c>
      <c r="B456" s="8" t="s">
        <v>61</v>
      </c>
      <c r="C456" s="12" t="s">
        <v>633</v>
      </c>
      <c r="D456" s="8">
        <v>13</v>
      </c>
      <c r="E456" s="8" t="s">
        <v>458</v>
      </c>
    </row>
    <row r="457" spans="1:5" x14ac:dyDescent="0.25">
      <c r="A457" s="8" t="str">
        <f t="shared" si="7"/>
        <v>011</v>
      </c>
      <c r="B457" s="8" t="s">
        <v>74</v>
      </c>
      <c r="C457" s="12" t="s">
        <v>634</v>
      </c>
      <c r="D457" s="8">
        <v>13</v>
      </c>
      <c r="E457" s="8" t="s">
        <v>458</v>
      </c>
    </row>
    <row r="458" spans="1:5" x14ac:dyDescent="0.25">
      <c r="A458" s="8" t="str">
        <f t="shared" si="7"/>
        <v>012</v>
      </c>
      <c r="B458" s="8" t="s">
        <v>76</v>
      </c>
      <c r="C458" s="12" t="s">
        <v>635</v>
      </c>
      <c r="D458" s="8">
        <v>13</v>
      </c>
      <c r="E458" s="8" t="s">
        <v>458</v>
      </c>
    </row>
    <row r="459" spans="1:5" x14ac:dyDescent="0.25">
      <c r="A459" s="8" t="str">
        <f t="shared" si="7"/>
        <v>013</v>
      </c>
      <c r="B459" s="8" t="s">
        <v>278</v>
      </c>
      <c r="C459" s="12" t="s">
        <v>636</v>
      </c>
      <c r="D459" s="8">
        <v>13</v>
      </c>
      <c r="E459" s="8" t="s">
        <v>458</v>
      </c>
    </row>
    <row r="460" spans="1:5" x14ac:dyDescent="0.25">
      <c r="A460" s="8" t="str">
        <f t="shared" si="7"/>
        <v>014</v>
      </c>
      <c r="B460" s="8" t="s">
        <v>280</v>
      </c>
      <c r="C460" s="12" t="s">
        <v>637</v>
      </c>
      <c r="D460" s="8">
        <v>13</v>
      </c>
      <c r="E460" s="8" t="s">
        <v>458</v>
      </c>
    </row>
    <row r="461" spans="1:5" x14ac:dyDescent="0.25">
      <c r="A461" s="8" t="str">
        <f t="shared" si="7"/>
        <v>015</v>
      </c>
      <c r="B461" s="8" t="s">
        <v>346</v>
      </c>
      <c r="C461" s="12" t="s">
        <v>638</v>
      </c>
      <c r="D461" s="8">
        <v>13</v>
      </c>
      <c r="E461" s="8" t="s">
        <v>458</v>
      </c>
    </row>
    <row r="462" spans="1:5" x14ac:dyDescent="0.25">
      <c r="A462" s="8" t="str">
        <f t="shared" si="7"/>
        <v>016</v>
      </c>
      <c r="B462" s="8" t="s">
        <v>82</v>
      </c>
      <c r="C462" s="12" t="s">
        <v>639</v>
      </c>
      <c r="D462" s="8">
        <v>13</v>
      </c>
      <c r="E462" s="8" t="s">
        <v>458</v>
      </c>
    </row>
    <row r="463" spans="1:5" x14ac:dyDescent="0.25">
      <c r="A463" s="8" t="str">
        <f t="shared" si="7"/>
        <v>017</v>
      </c>
      <c r="B463" s="8" t="s">
        <v>349</v>
      </c>
      <c r="C463" s="12" t="s">
        <v>640</v>
      </c>
      <c r="D463" s="8">
        <v>13</v>
      </c>
      <c r="E463" s="8" t="s">
        <v>458</v>
      </c>
    </row>
    <row r="464" spans="1:5" x14ac:dyDescent="0.25">
      <c r="A464" s="8" t="str">
        <f t="shared" si="7"/>
        <v>018</v>
      </c>
      <c r="B464" s="8" t="s">
        <v>351</v>
      </c>
      <c r="C464" s="12" t="s">
        <v>641</v>
      </c>
      <c r="D464" s="8">
        <v>13</v>
      </c>
      <c r="E464" s="8" t="s">
        <v>458</v>
      </c>
    </row>
    <row r="465" spans="1:5" x14ac:dyDescent="0.25">
      <c r="A465" s="8" t="str">
        <f t="shared" si="7"/>
        <v>019</v>
      </c>
      <c r="B465" s="8" t="s">
        <v>353</v>
      </c>
      <c r="C465" s="12" t="s">
        <v>642</v>
      </c>
      <c r="D465" s="8">
        <v>13</v>
      </c>
      <c r="E465" s="8" t="s">
        <v>458</v>
      </c>
    </row>
    <row r="466" spans="1:5" x14ac:dyDescent="0.25">
      <c r="A466" s="8" t="str">
        <f t="shared" si="7"/>
        <v>020</v>
      </c>
      <c r="B466" s="8" t="s">
        <v>63</v>
      </c>
      <c r="C466" s="12" t="s">
        <v>643</v>
      </c>
      <c r="D466" s="8">
        <v>13</v>
      </c>
      <c r="E466" s="8" t="s">
        <v>458</v>
      </c>
    </row>
    <row r="467" spans="1:5" x14ac:dyDescent="0.25">
      <c r="A467" s="8" t="str">
        <f t="shared" si="7"/>
        <v>021</v>
      </c>
      <c r="B467" s="8" t="s">
        <v>356</v>
      </c>
      <c r="C467" s="12" t="s">
        <v>644</v>
      </c>
      <c r="D467" s="8">
        <v>13</v>
      </c>
      <c r="E467" s="8" t="s">
        <v>458</v>
      </c>
    </row>
    <row r="468" spans="1:5" x14ac:dyDescent="0.25">
      <c r="A468" s="8" t="str">
        <f t="shared" si="7"/>
        <v>022</v>
      </c>
      <c r="B468" s="8" t="s">
        <v>358</v>
      </c>
      <c r="C468" s="12" t="s">
        <v>645</v>
      </c>
      <c r="D468" s="8">
        <v>13</v>
      </c>
      <c r="E468" s="8" t="s">
        <v>458</v>
      </c>
    </row>
    <row r="469" spans="1:5" x14ac:dyDescent="0.25">
      <c r="A469" s="8" t="str">
        <f t="shared" si="7"/>
        <v>023</v>
      </c>
      <c r="B469" s="8" t="s">
        <v>360</v>
      </c>
      <c r="C469" s="12" t="s">
        <v>646</v>
      </c>
      <c r="D469" s="8">
        <v>13</v>
      </c>
      <c r="E469" s="8" t="s">
        <v>458</v>
      </c>
    </row>
    <row r="470" spans="1:5" x14ac:dyDescent="0.25">
      <c r="A470" s="8" t="str">
        <f t="shared" si="7"/>
        <v>024</v>
      </c>
      <c r="B470" s="8" t="s">
        <v>362</v>
      </c>
      <c r="C470" s="12" t="s">
        <v>647</v>
      </c>
      <c r="D470" s="8">
        <v>13</v>
      </c>
      <c r="E470" s="8" t="s">
        <v>458</v>
      </c>
    </row>
    <row r="471" spans="1:5" x14ac:dyDescent="0.25">
      <c r="A471" s="8" t="str">
        <f t="shared" si="7"/>
        <v>025</v>
      </c>
      <c r="B471" s="8" t="s">
        <v>84</v>
      </c>
      <c r="C471" s="12" t="s">
        <v>648</v>
      </c>
      <c r="D471" s="8">
        <v>13</v>
      </c>
      <c r="E471" s="8" t="s">
        <v>458</v>
      </c>
    </row>
    <row r="472" spans="1:5" x14ac:dyDescent="0.25">
      <c r="A472" s="8" t="str">
        <f t="shared" si="7"/>
        <v>026</v>
      </c>
      <c r="B472" s="8" t="s">
        <v>365</v>
      </c>
      <c r="C472" s="12" t="s">
        <v>649</v>
      </c>
      <c r="D472" s="8">
        <v>13</v>
      </c>
      <c r="E472" s="8" t="s">
        <v>458</v>
      </c>
    </row>
    <row r="473" spans="1:5" x14ac:dyDescent="0.25">
      <c r="A473" s="8" t="str">
        <f t="shared" si="7"/>
        <v>027</v>
      </c>
      <c r="B473" s="8" t="s">
        <v>367</v>
      </c>
      <c r="C473" s="12" t="s">
        <v>650</v>
      </c>
      <c r="D473" s="8">
        <v>13</v>
      </c>
      <c r="E473" s="8" t="s">
        <v>458</v>
      </c>
    </row>
    <row r="474" spans="1:5" x14ac:dyDescent="0.25">
      <c r="A474" s="8" t="str">
        <f t="shared" si="7"/>
        <v>028</v>
      </c>
      <c r="B474" s="8" t="s">
        <v>369</v>
      </c>
      <c r="C474" s="12" t="s">
        <v>651</v>
      </c>
      <c r="D474" s="8">
        <v>13</v>
      </c>
      <c r="E474" s="8" t="s">
        <v>458</v>
      </c>
    </row>
    <row r="475" spans="1:5" x14ac:dyDescent="0.25">
      <c r="A475" s="8" t="str">
        <f t="shared" si="7"/>
        <v>029</v>
      </c>
      <c r="B475" s="8" t="s">
        <v>371</v>
      </c>
      <c r="C475" s="12" t="s">
        <v>652</v>
      </c>
      <c r="D475" s="8">
        <v>13</v>
      </c>
      <c r="E475" s="8" t="s">
        <v>458</v>
      </c>
    </row>
    <row r="476" spans="1:5" x14ac:dyDescent="0.25">
      <c r="A476" s="8" t="str">
        <f t="shared" si="7"/>
        <v>030</v>
      </c>
      <c r="B476" s="8" t="s">
        <v>373</v>
      </c>
      <c r="C476" s="12" t="s">
        <v>653</v>
      </c>
      <c r="D476" s="8">
        <v>13</v>
      </c>
      <c r="E476" s="8" t="s">
        <v>458</v>
      </c>
    </row>
    <row r="477" spans="1:5" x14ac:dyDescent="0.25">
      <c r="A477" s="8" t="str">
        <f t="shared" si="7"/>
        <v>001</v>
      </c>
      <c r="B477" s="8" t="s">
        <v>262</v>
      </c>
      <c r="C477" s="12" t="s">
        <v>654</v>
      </c>
      <c r="D477" s="8">
        <v>13</v>
      </c>
      <c r="E477" s="8" t="s">
        <v>317</v>
      </c>
    </row>
    <row r="478" spans="1:5" x14ac:dyDescent="0.25">
      <c r="A478" s="8" t="str">
        <f t="shared" si="7"/>
        <v>002</v>
      </c>
      <c r="B478" s="8" t="s">
        <v>264</v>
      </c>
      <c r="C478" s="12" t="s">
        <v>655</v>
      </c>
      <c r="D478" s="8">
        <v>13</v>
      </c>
      <c r="E478" s="8" t="s">
        <v>317</v>
      </c>
    </row>
    <row r="479" spans="1:5" x14ac:dyDescent="0.25">
      <c r="A479" s="8" t="str">
        <f t="shared" si="7"/>
        <v>001</v>
      </c>
      <c r="B479" s="8" t="s">
        <v>262</v>
      </c>
      <c r="C479" s="12" t="s">
        <v>656</v>
      </c>
      <c r="D479" s="8">
        <v>13</v>
      </c>
      <c r="E479" s="8" t="s">
        <v>288</v>
      </c>
    </row>
    <row r="480" spans="1:5" x14ac:dyDescent="0.25">
      <c r="A480" s="8" t="str">
        <f t="shared" si="7"/>
        <v>002</v>
      </c>
      <c r="B480" s="8" t="s">
        <v>264</v>
      </c>
      <c r="C480" s="12" t="s">
        <v>657</v>
      </c>
      <c r="D480" s="8">
        <v>13</v>
      </c>
      <c r="E480" s="8" t="s">
        <v>288</v>
      </c>
    </row>
    <row r="481" spans="1:5" x14ac:dyDescent="0.25">
      <c r="A481" s="8" t="str">
        <f t="shared" si="7"/>
        <v>003</v>
      </c>
      <c r="B481" s="8" t="s">
        <v>67</v>
      </c>
      <c r="C481" s="12" t="s">
        <v>658</v>
      </c>
      <c r="D481" s="8">
        <v>13</v>
      </c>
      <c r="E481" s="8" t="s">
        <v>288</v>
      </c>
    </row>
    <row r="482" spans="1:5" x14ac:dyDescent="0.25">
      <c r="A482" s="8" t="str">
        <f t="shared" si="7"/>
        <v>004</v>
      </c>
      <c r="B482" s="8" t="s">
        <v>69</v>
      </c>
      <c r="C482" s="12" t="s">
        <v>659</v>
      </c>
      <c r="D482" s="8">
        <v>13</v>
      </c>
      <c r="E482" s="8" t="s">
        <v>288</v>
      </c>
    </row>
    <row r="483" spans="1:5" x14ac:dyDescent="0.25">
      <c r="A483" s="8" t="str">
        <f t="shared" si="7"/>
        <v>005</v>
      </c>
      <c r="B483" s="8" t="s">
        <v>78</v>
      </c>
      <c r="C483" s="12" t="s">
        <v>660</v>
      </c>
      <c r="D483" s="8">
        <v>13</v>
      </c>
      <c r="E483" s="8" t="s">
        <v>288</v>
      </c>
    </row>
    <row r="484" spans="1:5" x14ac:dyDescent="0.25">
      <c r="A484" s="8" t="str">
        <f t="shared" si="7"/>
        <v>006</v>
      </c>
      <c r="B484" s="8" t="s">
        <v>80</v>
      </c>
      <c r="C484" s="12" t="s">
        <v>661</v>
      </c>
      <c r="D484" s="8">
        <v>13</v>
      </c>
      <c r="E484" s="8" t="s">
        <v>288</v>
      </c>
    </row>
    <row r="485" spans="1:5" x14ac:dyDescent="0.25">
      <c r="A485" s="8" t="str">
        <f t="shared" si="7"/>
        <v>000</v>
      </c>
      <c r="C485" s="12" t="s">
        <v>662</v>
      </c>
      <c r="D485" s="8">
        <v>13</v>
      </c>
      <c r="E485" s="8" t="s">
        <v>288</v>
      </c>
    </row>
    <row r="486" spans="1:5" x14ac:dyDescent="0.25">
      <c r="A486" s="8" t="str">
        <f t="shared" si="7"/>
        <v>007</v>
      </c>
      <c r="B486" s="8" t="s">
        <v>71</v>
      </c>
      <c r="C486" s="12" t="s">
        <v>663</v>
      </c>
      <c r="D486" s="8">
        <v>13</v>
      </c>
      <c r="E486" s="8" t="s">
        <v>288</v>
      </c>
    </row>
    <row r="487" spans="1:5" x14ac:dyDescent="0.25">
      <c r="A487" s="8" t="str">
        <f t="shared" si="7"/>
        <v>008</v>
      </c>
      <c r="B487" s="8" t="s">
        <v>271</v>
      </c>
      <c r="C487" s="12" t="s">
        <v>664</v>
      </c>
      <c r="D487" s="8">
        <v>13</v>
      </c>
      <c r="E487" s="8" t="s">
        <v>288</v>
      </c>
    </row>
    <row r="488" spans="1:5" x14ac:dyDescent="0.25">
      <c r="A488" s="8" t="str">
        <f t="shared" si="7"/>
        <v>000</v>
      </c>
      <c r="C488" s="12" t="s">
        <v>665</v>
      </c>
      <c r="D488" s="8">
        <v>13</v>
      </c>
      <c r="E488" s="8" t="s">
        <v>288</v>
      </c>
    </row>
    <row r="489" spans="1:5" x14ac:dyDescent="0.25">
      <c r="A489" s="8" t="str">
        <f t="shared" si="7"/>
        <v>001</v>
      </c>
      <c r="B489" s="8" t="s">
        <v>262</v>
      </c>
      <c r="C489" s="12" t="s">
        <v>666</v>
      </c>
      <c r="D489" s="8">
        <v>13</v>
      </c>
      <c r="E489" s="8" t="s">
        <v>324</v>
      </c>
    </row>
    <row r="490" spans="1:5" x14ac:dyDescent="0.25">
      <c r="A490" s="8" t="str">
        <f t="shared" si="7"/>
        <v>002</v>
      </c>
      <c r="B490" s="8" t="s">
        <v>264</v>
      </c>
      <c r="C490" s="12" t="s">
        <v>667</v>
      </c>
      <c r="D490" s="8">
        <v>13</v>
      </c>
      <c r="E490" s="8" t="s">
        <v>324</v>
      </c>
    </row>
    <row r="491" spans="1:5" x14ac:dyDescent="0.25">
      <c r="A491" s="8" t="str">
        <f t="shared" si="7"/>
        <v>001</v>
      </c>
      <c r="B491" s="8" t="s">
        <v>262</v>
      </c>
      <c r="C491" s="12" t="s">
        <v>668</v>
      </c>
      <c r="D491" s="8">
        <v>13</v>
      </c>
      <c r="E491" s="8" t="s">
        <v>326</v>
      </c>
    </row>
    <row r="492" spans="1:5" x14ac:dyDescent="0.25">
      <c r="A492" s="8" t="str">
        <f t="shared" si="7"/>
        <v>002</v>
      </c>
      <c r="B492" s="8" t="s">
        <v>264</v>
      </c>
      <c r="C492" s="12" t="s">
        <v>669</v>
      </c>
      <c r="D492" s="8">
        <v>13</v>
      </c>
      <c r="E492" s="8" t="s">
        <v>326</v>
      </c>
    </row>
    <row r="493" spans="1:5" x14ac:dyDescent="0.25">
      <c r="A493" s="8" t="str">
        <f t="shared" si="7"/>
        <v>003</v>
      </c>
      <c r="B493" s="8" t="s">
        <v>67</v>
      </c>
      <c r="C493" s="12" t="s">
        <v>670</v>
      </c>
      <c r="D493" s="8">
        <v>13</v>
      </c>
      <c r="E493" s="8" t="s">
        <v>326</v>
      </c>
    </row>
    <row r="494" spans="1:5" x14ac:dyDescent="0.25">
      <c r="A494" s="8" t="str">
        <f t="shared" si="7"/>
        <v>004</v>
      </c>
      <c r="B494" s="8" t="s">
        <v>69</v>
      </c>
      <c r="C494" s="12" t="s">
        <v>671</v>
      </c>
      <c r="D494" s="8">
        <v>13</v>
      </c>
      <c r="E494" s="8" t="s">
        <v>326</v>
      </c>
    </row>
    <row r="495" spans="1:5" x14ac:dyDescent="0.25">
      <c r="A495" s="8" t="str">
        <f t="shared" si="7"/>
        <v>005</v>
      </c>
      <c r="B495" s="8" t="s">
        <v>78</v>
      </c>
      <c r="C495" s="12" t="s">
        <v>672</v>
      </c>
      <c r="D495" s="8">
        <v>13</v>
      </c>
      <c r="E495" s="8" t="s">
        <v>326</v>
      </c>
    </row>
    <row r="496" spans="1:5" x14ac:dyDescent="0.25">
      <c r="A496" s="8" t="str">
        <f t="shared" si="7"/>
        <v>001</v>
      </c>
      <c r="B496" s="8" t="s">
        <v>262</v>
      </c>
      <c r="C496" s="12" t="s">
        <v>673</v>
      </c>
      <c r="D496" s="8">
        <v>13</v>
      </c>
      <c r="E496" s="8" t="s">
        <v>528</v>
      </c>
    </row>
    <row r="497" spans="1:5" x14ac:dyDescent="0.25">
      <c r="A497" s="8" t="str">
        <f t="shared" si="7"/>
        <v>002</v>
      </c>
      <c r="B497" s="8" t="s">
        <v>264</v>
      </c>
      <c r="C497" s="12" t="s">
        <v>674</v>
      </c>
      <c r="D497" s="8">
        <v>13</v>
      </c>
      <c r="E497" s="8" t="s">
        <v>528</v>
      </c>
    </row>
    <row r="498" spans="1:5" x14ac:dyDescent="0.25">
      <c r="A498" s="8" t="str">
        <f t="shared" si="7"/>
        <v>003</v>
      </c>
      <c r="B498" s="8" t="s">
        <v>67</v>
      </c>
      <c r="C498" s="12" t="s">
        <v>675</v>
      </c>
      <c r="D498" s="8">
        <v>13</v>
      </c>
      <c r="E498" s="8" t="s">
        <v>528</v>
      </c>
    </row>
    <row r="499" spans="1:5" x14ac:dyDescent="0.25">
      <c r="A499" s="8" t="str">
        <f t="shared" si="7"/>
        <v>004</v>
      </c>
      <c r="B499" s="8" t="s">
        <v>69</v>
      </c>
      <c r="C499" s="12" t="s">
        <v>676</v>
      </c>
      <c r="D499" s="8">
        <v>13</v>
      </c>
      <c r="E499" s="8" t="s">
        <v>528</v>
      </c>
    </row>
    <row r="500" spans="1:5" x14ac:dyDescent="0.25">
      <c r="A500" s="8" t="str">
        <f t="shared" si="7"/>
        <v>005</v>
      </c>
      <c r="B500" s="8" t="s">
        <v>78</v>
      </c>
      <c r="C500" s="12" t="s">
        <v>677</v>
      </c>
      <c r="D500" s="8">
        <v>13</v>
      </c>
      <c r="E500" s="8" t="s">
        <v>528</v>
      </c>
    </row>
    <row r="501" spans="1:5" x14ac:dyDescent="0.25">
      <c r="A501" s="8" t="str">
        <f t="shared" si="7"/>
        <v>006</v>
      </c>
      <c r="B501" s="8" t="s">
        <v>80</v>
      </c>
      <c r="C501" s="12" t="s">
        <v>678</v>
      </c>
      <c r="D501" s="8">
        <v>13</v>
      </c>
      <c r="E501" s="8" t="s">
        <v>528</v>
      </c>
    </row>
    <row r="502" spans="1:5" x14ac:dyDescent="0.25">
      <c r="A502" s="8" t="str">
        <f t="shared" si="7"/>
        <v>007</v>
      </c>
      <c r="B502" s="8" t="s">
        <v>71</v>
      </c>
      <c r="C502" s="12" t="s">
        <v>679</v>
      </c>
      <c r="D502" s="8">
        <v>13</v>
      </c>
      <c r="E502" s="8" t="s">
        <v>528</v>
      </c>
    </row>
    <row r="503" spans="1:5" x14ac:dyDescent="0.25">
      <c r="A503" s="8" t="str">
        <f t="shared" si="7"/>
        <v>008</v>
      </c>
      <c r="B503" s="8" t="s">
        <v>271</v>
      </c>
      <c r="C503" s="12" t="s">
        <v>680</v>
      </c>
      <c r="D503" s="8">
        <v>13</v>
      </c>
      <c r="E503" s="8" t="s">
        <v>528</v>
      </c>
    </row>
    <row r="504" spans="1:5" x14ac:dyDescent="0.25">
      <c r="A504" s="8" t="str">
        <f t="shared" si="7"/>
        <v>009</v>
      </c>
      <c r="B504" s="8" t="s">
        <v>273</v>
      </c>
      <c r="C504" s="12" t="s">
        <v>681</v>
      </c>
      <c r="D504" s="8">
        <v>13</v>
      </c>
      <c r="E504" s="8" t="s">
        <v>528</v>
      </c>
    </row>
    <row r="505" spans="1:5" x14ac:dyDescent="0.25">
      <c r="A505" s="8" t="str">
        <f t="shared" si="7"/>
        <v>010</v>
      </c>
      <c r="B505" s="8" t="s">
        <v>61</v>
      </c>
      <c r="C505" s="12" t="s">
        <v>682</v>
      </c>
      <c r="D505" s="8">
        <v>13</v>
      </c>
      <c r="E505" s="8" t="s">
        <v>528</v>
      </c>
    </row>
    <row r="506" spans="1:5" x14ac:dyDescent="0.25">
      <c r="A506" s="8" t="str">
        <f t="shared" si="7"/>
        <v>011</v>
      </c>
      <c r="B506" s="8" t="s">
        <v>74</v>
      </c>
      <c r="C506" s="12" t="s">
        <v>683</v>
      </c>
      <c r="D506" s="8">
        <v>13</v>
      </c>
      <c r="E506" s="8" t="s">
        <v>528</v>
      </c>
    </row>
    <row r="507" spans="1:5" x14ac:dyDescent="0.25">
      <c r="A507" s="8" t="str">
        <f t="shared" si="7"/>
        <v>012</v>
      </c>
      <c r="B507" s="8" t="s">
        <v>76</v>
      </c>
      <c r="C507" s="12" t="s">
        <v>684</v>
      </c>
      <c r="D507" s="8">
        <v>13</v>
      </c>
      <c r="E507" s="8" t="s">
        <v>528</v>
      </c>
    </row>
    <row r="508" spans="1:5" x14ac:dyDescent="0.25">
      <c r="A508" s="8" t="str">
        <f t="shared" si="7"/>
        <v>013</v>
      </c>
      <c r="B508" s="8" t="s">
        <v>278</v>
      </c>
      <c r="C508" s="12" t="s">
        <v>685</v>
      </c>
      <c r="D508" s="8">
        <v>13</v>
      </c>
      <c r="E508" s="8" t="s">
        <v>528</v>
      </c>
    </row>
    <row r="509" spans="1:5" x14ac:dyDescent="0.25">
      <c r="A509" s="8" t="str">
        <f t="shared" si="7"/>
        <v>014</v>
      </c>
      <c r="B509" s="8" t="s">
        <v>280</v>
      </c>
      <c r="C509" s="12" t="s">
        <v>686</v>
      </c>
      <c r="D509" s="8">
        <v>13</v>
      </c>
      <c r="E509" s="8" t="s">
        <v>528</v>
      </c>
    </row>
    <row r="510" spans="1:5" x14ac:dyDescent="0.25">
      <c r="A510" s="8" t="str">
        <f t="shared" si="7"/>
        <v>015</v>
      </c>
      <c r="B510" s="8" t="s">
        <v>346</v>
      </c>
      <c r="C510" s="12" t="s">
        <v>687</v>
      </c>
      <c r="D510" s="8">
        <v>13</v>
      </c>
      <c r="E510" s="8" t="s">
        <v>528</v>
      </c>
    </row>
    <row r="511" spans="1:5" x14ac:dyDescent="0.25">
      <c r="A511" s="8" t="str">
        <f t="shared" si="7"/>
        <v>016</v>
      </c>
      <c r="B511" s="8" t="s">
        <v>82</v>
      </c>
      <c r="C511" s="12" t="s">
        <v>688</v>
      </c>
      <c r="D511" s="8">
        <v>13</v>
      </c>
      <c r="E511" s="8" t="s">
        <v>528</v>
      </c>
    </row>
    <row r="512" spans="1:5" x14ac:dyDescent="0.25">
      <c r="A512" s="8" t="str">
        <f t="shared" si="7"/>
        <v>017</v>
      </c>
      <c r="B512" s="8" t="s">
        <v>349</v>
      </c>
      <c r="C512" s="12" t="s">
        <v>689</v>
      </c>
      <c r="D512" s="8">
        <v>13</v>
      </c>
      <c r="E512" s="8" t="s">
        <v>528</v>
      </c>
    </row>
    <row r="513" spans="1:5" x14ac:dyDescent="0.25">
      <c r="A513" s="8" t="str">
        <f t="shared" si="7"/>
        <v>018</v>
      </c>
      <c r="B513" s="8" t="s">
        <v>351</v>
      </c>
      <c r="C513" s="12" t="s">
        <v>690</v>
      </c>
      <c r="D513" s="8">
        <v>13</v>
      </c>
      <c r="E513" s="8" t="s">
        <v>528</v>
      </c>
    </row>
    <row r="514" spans="1:5" x14ac:dyDescent="0.25">
      <c r="A514" s="8" t="str">
        <f t="shared" si="7"/>
        <v>001</v>
      </c>
      <c r="B514" s="8" t="s">
        <v>262</v>
      </c>
      <c r="C514" s="12" t="s">
        <v>691</v>
      </c>
      <c r="D514" s="8">
        <v>13</v>
      </c>
      <c r="E514" s="8" t="s">
        <v>516</v>
      </c>
    </row>
    <row r="515" spans="1:5" x14ac:dyDescent="0.25">
      <c r="A515" s="8" t="str">
        <f t="shared" ref="A515:A578" si="8">TEXT(B515,"000")</f>
        <v>002</v>
      </c>
      <c r="B515" s="8" t="s">
        <v>264</v>
      </c>
      <c r="C515" s="12" t="s">
        <v>692</v>
      </c>
      <c r="D515" s="8">
        <v>13</v>
      </c>
      <c r="E515" s="8" t="s">
        <v>516</v>
      </c>
    </row>
    <row r="516" spans="1:5" x14ac:dyDescent="0.25">
      <c r="A516" s="8" t="str">
        <f t="shared" si="8"/>
        <v>001</v>
      </c>
      <c r="B516" s="8" t="s">
        <v>262</v>
      </c>
      <c r="C516" s="12" t="s">
        <v>693</v>
      </c>
      <c r="D516" s="8">
        <v>13</v>
      </c>
      <c r="E516" s="8" t="s">
        <v>526</v>
      </c>
    </row>
    <row r="517" spans="1:5" x14ac:dyDescent="0.25">
      <c r="A517" s="8" t="str">
        <f t="shared" si="8"/>
        <v>002</v>
      </c>
      <c r="B517" s="8" t="s">
        <v>264</v>
      </c>
      <c r="C517" s="12" t="s">
        <v>694</v>
      </c>
      <c r="D517" s="8">
        <v>13</v>
      </c>
      <c r="E517" s="8" t="s">
        <v>526</v>
      </c>
    </row>
    <row r="518" spans="1:5" x14ac:dyDescent="0.25">
      <c r="A518" s="8" t="str">
        <f t="shared" si="8"/>
        <v>003</v>
      </c>
      <c r="B518" s="8" t="s">
        <v>67</v>
      </c>
      <c r="C518" s="12" t="s">
        <v>695</v>
      </c>
      <c r="D518" s="8">
        <v>13</v>
      </c>
      <c r="E518" s="8" t="s">
        <v>526</v>
      </c>
    </row>
    <row r="519" spans="1:5" x14ac:dyDescent="0.25">
      <c r="A519" s="8" t="str">
        <f t="shared" si="8"/>
        <v>004</v>
      </c>
      <c r="B519" s="8" t="s">
        <v>69</v>
      </c>
      <c r="C519" s="12" t="s">
        <v>696</v>
      </c>
      <c r="D519" s="8">
        <v>13</v>
      </c>
      <c r="E519" s="8" t="s">
        <v>526</v>
      </c>
    </row>
    <row r="520" spans="1:5" x14ac:dyDescent="0.25">
      <c r="A520" s="8" t="str">
        <f t="shared" si="8"/>
        <v>001</v>
      </c>
      <c r="B520" s="8" t="s">
        <v>262</v>
      </c>
      <c r="C520" s="12" t="s">
        <v>697</v>
      </c>
      <c r="D520" s="8">
        <v>13</v>
      </c>
      <c r="E520" s="8" t="s">
        <v>548</v>
      </c>
    </row>
    <row r="521" spans="1:5" x14ac:dyDescent="0.25">
      <c r="A521" s="8" t="str">
        <f t="shared" si="8"/>
        <v>002</v>
      </c>
      <c r="B521" s="8" t="s">
        <v>264</v>
      </c>
      <c r="C521" s="12" t="s">
        <v>698</v>
      </c>
      <c r="D521" s="8">
        <v>13</v>
      </c>
      <c r="E521" s="8" t="s">
        <v>548</v>
      </c>
    </row>
    <row r="522" spans="1:5" x14ac:dyDescent="0.25">
      <c r="A522" s="8" t="str">
        <f t="shared" si="8"/>
        <v>003</v>
      </c>
      <c r="B522" s="8" t="s">
        <v>67</v>
      </c>
      <c r="C522" s="12" t="s">
        <v>699</v>
      </c>
      <c r="D522" s="8">
        <v>13</v>
      </c>
      <c r="E522" s="8" t="s">
        <v>548</v>
      </c>
    </row>
    <row r="523" spans="1:5" x14ac:dyDescent="0.25">
      <c r="A523" s="8" t="str">
        <f t="shared" si="8"/>
        <v>004</v>
      </c>
      <c r="B523" s="8" t="s">
        <v>69</v>
      </c>
      <c r="C523" s="12" t="s">
        <v>700</v>
      </c>
      <c r="D523" s="8">
        <v>13</v>
      </c>
      <c r="E523" s="8" t="s">
        <v>548</v>
      </c>
    </row>
    <row r="524" spans="1:5" x14ac:dyDescent="0.25">
      <c r="A524" s="8" t="str">
        <f t="shared" si="8"/>
        <v>001</v>
      </c>
      <c r="B524" s="8" t="s">
        <v>262</v>
      </c>
      <c r="C524" s="12" t="s">
        <v>701</v>
      </c>
      <c r="D524" s="8">
        <v>13</v>
      </c>
      <c r="E524" s="8" t="s">
        <v>702</v>
      </c>
    </row>
    <row r="525" spans="1:5" x14ac:dyDescent="0.25">
      <c r="A525" s="8" t="str">
        <f t="shared" si="8"/>
        <v>002</v>
      </c>
      <c r="B525" s="8" t="s">
        <v>264</v>
      </c>
      <c r="C525" s="12" t="s">
        <v>703</v>
      </c>
      <c r="D525" s="8">
        <v>13</v>
      </c>
      <c r="E525" s="8" t="s">
        <v>702</v>
      </c>
    </row>
    <row r="526" spans="1:5" x14ac:dyDescent="0.25">
      <c r="A526" s="8" t="str">
        <f t="shared" si="8"/>
        <v>001</v>
      </c>
      <c r="B526" s="8">
        <v>1</v>
      </c>
      <c r="C526" s="12" t="s">
        <v>704</v>
      </c>
      <c r="D526" s="8">
        <v>13</v>
      </c>
      <c r="E526" s="8" t="s">
        <v>705</v>
      </c>
    </row>
    <row r="527" spans="1:5" x14ac:dyDescent="0.25">
      <c r="A527" s="8" t="str">
        <f t="shared" si="8"/>
        <v>011</v>
      </c>
      <c r="B527" s="8" t="s">
        <v>74</v>
      </c>
      <c r="C527" s="12" t="s">
        <v>706</v>
      </c>
      <c r="D527" s="8">
        <v>13</v>
      </c>
    </row>
    <row r="528" spans="1:5" x14ac:dyDescent="0.25">
      <c r="A528" s="8" t="str">
        <f t="shared" si="8"/>
        <v>012</v>
      </c>
      <c r="B528" s="8" t="s">
        <v>76</v>
      </c>
      <c r="C528" s="12" t="s">
        <v>707</v>
      </c>
      <c r="D528" s="8">
        <v>13</v>
      </c>
    </row>
    <row r="529" spans="1:5" x14ac:dyDescent="0.25">
      <c r="A529" s="8" t="str">
        <f t="shared" si="8"/>
        <v>013</v>
      </c>
      <c r="B529" s="8" t="s">
        <v>278</v>
      </c>
      <c r="C529" s="12" t="s">
        <v>708</v>
      </c>
      <c r="D529" s="8">
        <v>13</v>
      </c>
    </row>
    <row r="530" spans="1:5" x14ac:dyDescent="0.25">
      <c r="A530" s="8" t="str">
        <f t="shared" si="8"/>
        <v>014</v>
      </c>
      <c r="B530" s="8" t="s">
        <v>280</v>
      </c>
      <c r="C530" s="12" t="s">
        <v>709</v>
      </c>
      <c r="D530" s="8">
        <v>13</v>
      </c>
    </row>
    <row r="531" spans="1:5" x14ac:dyDescent="0.25">
      <c r="A531" s="8" t="str">
        <f t="shared" si="8"/>
        <v>015</v>
      </c>
      <c r="B531" s="8" t="s">
        <v>346</v>
      </c>
      <c r="C531" s="12" t="s">
        <v>710</v>
      </c>
      <c r="D531" s="8">
        <v>13</v>
      </c>
    </row>
    <row r="532" spans="1:5" x14ac:dyDescent="0.25">
      <c r="A532" s="8" t="str">
        <f t="shared" si="8"/>
        <v>016</v>
      </c>
      <c r="B532" s="8" t="s">
        <v>82</v>
      </c>
      <c r="C532" s="12" t="s">
        <v>711</v>
      </c>
      <c r="D532" s="8">
        <v>13</v>
      </c>
    </row>
    <row r="533" spans="1:5" x14ac:dyDescent="0.25">
      <c r="A533" s="8" t="str">
        <f t="shared" si="8"/>
        <v>017</v>
      </c>
      <c r="B533" s="8" t="s">
        <v>349</v>
      </c>
      <c r="C533" s="12" t="s">
        <v>712</v>
      </c>
      <c r="D533" s="8">
        <v>13</v>
      </c>
    </row>
    <row r="534" spans="1:5" x14ac:dyDescent="0.25">
      <c r="A534" s="8" t="str">
        <f t="shared" si="8"/>
        <v>018</v>
      </c>
      <c r="B534" s="8" t="s">
        <v>351</v>
      </c>
      <c r="C534" s="12" t="s">
        <v>713</v>
      </c>
      <c r="D534" s="8">
        <v>13</v>
      </c>
    </row>
    <row r="535" spans="1:5" x14ac:dyDescent="0.25">
      <c r="A535" s="8" t="str">
        <f t="shared" si="8"/>
        <v>019</v>
      </c>
      <c r="B535" s="8" t="s">
        <v>353</v>
      </c>
      <c r="C535" s="12" t="s">
        <v>714</v>
      </c>
      <c r="D535" s="8">
        <v>13</v>
      </c>
    </row>
    <row r="536" spans="1:5" x14ac:dyDescent="0.25">
      <c r="A536" s="8" t="str">
        <f t="shared" si="8"/>
        <v>020</v>
      </c>
      <c r="B536" s="8" t="s">
        <v>63</v>
      </c>
      <c r="C536" s="12" t="s">
        <v>715</v>
      </c>
      <c r="D536" s="8">
        <v>13</v>
      </c>
    </row>
    <row r="537" spans="1:5" x14ac:dyDescent="0.25">
      <c r="A537" s="8" t="str">
        <f t="shared" si="8"/>
        <v>021</v>
      </c>
      <c r="B537" s="8" t="s">
        <v>356</v>
      </c>
      <c r="C537" s="12" t="s">
        <v>716</v>
      </c>
      <c r="D537" s="8">
        <v>13</v>
      </c>
    </row>
    <row r="538" spans="1:5" x14ac:dyDescent="0.25">
      <c r="A538" s="8" t="str">
        <f t="shared" si="8"/>
        <v>001</v>
      </c>
      <c r="B538" s="8" t="s">
        <v>262</v>
      </c>
      <c r="C538" s="12" t="s">
        <v>717</v>
      </c>
      <c r="D538" s="8">
        <v>13</v>
      </c>
      <c r="E538" s="8" t="s">
        <v>718</v>
      </c>
    </row>
    <row r="539" spans="1:5" x14ac:dyDescent="0.25">
      <c r="A539" s="8" t="str">
        <f t="shared" si="8"/>
        <v>002</v>
      </c>
      <c r="B539" s="8" t="s">
        <v>264</v>
      </c>
      <c r="C539" s="12" t="s">
        <v>719</v>
      </c>
      <c r="D539" s="8">
        <v>13</v>
      </c>
      <c r="E539" s="8" t="s">
        <v>718</v>
      </c>
    </row>
    <row r="540" spans="1:5" x14ac:dyDescent="0.25">
      <c r="A540" s="8" t="str">
        <f t="shared" si="8"/>
        <v>003</v>
      </c>
      <c r="B540" s="8" t="s">
        <v>67</v>
      </c>
      <c r="C540" s="12" t="s">
        <v>720</v>
      </c>
      <c r="D540" s="8">
        <v>13</v>
      </c>
      <c r="E540" s="8" t="s">
        <v>718</v>
      </c>
    </row>
    <row r="541" spans="1:5" x14ac:dyDescent="0.25">
      <c r="A541" s="8" t="str">
        <f t="shared" si="8"/>
        <v>004</v>
      </c>
      <c r="B541" s="8" t="s">
        <v>69</v>
      </c>
      <c r="C541" s="12" t="s">
        <v>721</v>
      </c>
      <c r="D541" s="8">
        <v>13</v>
      </c>
      <c r="E541" s="8" t="s">
        <v>718</v>
      </c>
    </row>
    <row r="542" spans="1:5" x14ac:dyDescent="0.25">
      <c r="A542" s="8" t="str">
        <f t="shared" si="8"/>
        <v>005</v>
      </c>
      <c r="B542" s="8" t="s">
        <v>78</v>
      </c>
      <c r="C542" s="12" t="s">
        <v>722</v>
      </c>
      <c r="D542" s="8">
        <v>13</v>
      </c>
      <c r="E542" s="8" t="s">
        <v>718</v>
      </c>
    </row>
    <row r="543" spans="1:5" x14ac:dyDescent="0.25">
      <c r="A543" s="8" t="str">
        <f t="shared" si="8"/>
        <v>006</v>
      </c>
      <c r="B543" s="8" t="s">
        <v>80</v>
      </c>
      <c r="C543" s="12" t="s">
        <v>723</v>
      </c>
      <c r="D543" s="8">
        <v>13</v>
      </c>
      <c r="E543" s="8" t="s">
        <v>718</v>
      </c>
    </row>
    <row r="544" spans="1:5" x14ac:dyDescent="0.25">
      <c r="A544" s="8" t="str">
        <f t="shared" si="8"/>
        <v>007</v>
      </c>
      <c r="B544" s="8" t="s">
        <v>71</v>
      </c>
      <c r="C544" s="12" t="s">
        <v>724</v>
      </c>
      <c r="D544" s="8">
        <v>13</v>
      </c>
      <c r="E544" s="8" t="s">
        <v>718</v>
      </c>
    </row>
    <row r="545" spans="1:5" x14ac:dyDescent="0.25">
      <c r="A545" s="8" t="str">
        <f t="shared" si="8"/>
        <v>008</v>
      </c>
      <c r="B545" s="8">
        <v>8</v>
      </c>
      <c r="C545" s="12" t="s">
        <v>725</v>
      </c>
      <c r="D545" s="8">
        <v>13</v>
      </c>
      <c r="E545" s="8" t="s">
        <v>718</v>
      </c>
    </row>
    <row r="546" spans="1:5" x14ac:dyDescent="0.25">
      <c r="A546" s="8" t="str">
        <f t="shared" si="8"/>
        <v>009</v>
      </c>
      <c r="B546" s="8" t="s">
        <v>273</v>
      </c>
      <c r="C546" s="12" t="s">
        <v>726</v>
      </c>
      <c r="D546" s="8">
        <v>13</v>
      </c>
      <c r="E546" s="8" t="s">
        <v>718</v>
      </c>
    </row>
    <row r="547" spans="1:5" x14ac:dyDescent="0.25">
      <c r="A547" s="8" t="str">
        <f t="shared" si="8"/>
        <v>001</v>
      </c>
      <c r="B547" s="8" t="s">
        <v>262</v>
      </c>
      <c r="C547" s="12" t="s">
        <v>727</v>
      </c>
      <c r="D547" s="8">
        <v>13</v>
      </c>
      <c r="E547" s="8" t="s">
        <v>728</v>
      </c>
    </row>
    <row r="548" spans="1:5" x14ac:dyDescent="0.25">
      <c r="A548" s="8" t="str">
        <f t="shared" si="8"/>
        <v>002</v>
      </c>
      <c r="B548" s="8" t="s">
        <v>264</v>
      </c>
      <c r="C548" s="12" t="s">
        <v>729</v>
      </c>
      <c r="D548" s="8">
        <v>13</v>
      </c>
      <c r="E548" s="8" t="s">
        <v>728</v>
      </c>
    </row>
    <row r="549" spans="1:5" x14ac:dyDescent="0.25">
      <c r="A549" s="8" t="str">
        <f t="shared" si="8"/>
        <v>003</v>
      </c>
      <c r="B549" s="8" t="s">
        <v>67</v>
      </c>
      <c r="C549" s="12" t="s">
        <v>730</v>
      </c>
      <c r="D549" s="8">
        <v>13</v>
      </c>
      <c r="E549" s="8" t="s">
        <v>728</v>
      </c>
    </row>
    <row r="550" spans="1:5" x14ac:dyDescent="0.25">
      <c r="A550" s="8" t="str">
        <f t="shared" si="8"/>
        <v>004</v>
      </c>
      <c r="B550" s="8" t="s">
        <v>69</v>
      </c>
      <c r="C550" s="12" t="s">
        <v>731</v>
      </c>
      <c r="D550" s="8">
        <v>13</v>
      </c>
      <c r="E550" s="8" t="s">
        <v>728</v>
      </c>
    </row>
    <row r="551" spans="1:5" x14ac:dyDescent="0.25">
      <c r="A551" s="8" t="str">
        <f t="shared" si="8"/>
        <v>005</v>
      </c>
      <c r="B551" s="8" t="s">
        <v>78</v>
      </c>
      <c r="C551" s="12" t="s">
        <v>732</v>
      </c>
      <c r="D551" s="8">
        <v>13</v>
      </c>
      <c r="E551" s="8" t="s">
        <v>728</v>
      </c>
    </row>
    <row r="552" spans="1:5" x14ac:dyDescent="0.25">
      <c r="A552" s="8" t="str">
        <f t="shared" si="8"/>
        <v>006</v>
      </c>
      <c r="B552" s="8" t="s">
        <v>80</v>
      </c>
      <c r="C552" s="12" t="s">
        <v>733</v>
      </c>
      <c r="D552" s="8">
        <v>13</v>
      </c>
      <c r="E552" s="8" t="s">
        <v>728</v>
      </c>
    </row>
    <row r="553" spans="1:5" x14ac:dyDescent="0.25">
      <c r="A553" s="8" t="str">
        <f t="shared" si="8"/>
        <v>007</v>
      </c>
      <c r="B553" s="8" t="s">
        <v>71</v>
      </c>
      <c r="C553" s="12" t="s">
        <v>734</v>
      </c>
      <c r="D553" s="8">
        <v>13</v>
      </c>
      <c r="E553" s="8" t="s">
        <v>728</v>
      </c>
    </row>
    <row r="554" spans="1:5" x14ac:dyDescent="0.25">
      <c r="A554" s="8" t="str">
        <f t="shared" si="8"/>
        <v>008</v>
      </c>
      <c r="B554" s="8" t="s">
        <v>271</v>
      </c>
      <c r="C554" s="12" t="s">
        <v>735</v>
      </c>
      <c r="D554" s="8">
        <v>13</v>
      </c>
      <c r="E554" s="8" t="s">
        <v>728</v>
      </c>
    </row>
    <row r="555" spans="1:5" x14ac:dyDescent="0.25">
      <c r="A555" s="8" t="str">
        <f t="shared" si="8"/>
        <v>009</v>
      </c>
      <c r="B555" s="8" t="s">
        <v>273</v>
      </c>
      <c r="C555" s="12" t="s">
        <v>736</v>
      </c>
      <c r="D555" s="8">
        <v>13</v>
      </c>
      <c r="E555" s="8" t="s">
        <v>728</v>
      </c>
    </row>
    <row r="556" spans="1:5" x14ac:dyDescent="0.25">
      <c r="A556" s="8" t="str">
        <f t="shared" si="8"/>
        <v>010</v>
      </c>
      <c r="B556" s="8" t="s">
        <v>61</v>
      </c>
      <c r="C556" s="12" t="s">
        <v>737</v>
      </c>
      <c r="D556" s="8">
        <v>13</v>
      </c>
      <c r="E556" s="8" t="s">
        <v>728</v>
      </c>
    </row>
    <row r="557" spans="1:5" x14ac:dyDescent="0.25">
      <c r="A557" s="8" t="str">
        <f t="shared" si="8"/>
        <v>001</v>
      </c>
      <c r="B557" s="8" t="s">
        <v>262</v>
      </c>
      <c r="C557" s="12" t="s">
        <v>738</v>
      </c>
      <c r="D557" s="8">
        <v>13</v>
      </c>
      <c r="E557" s="8" t="s">
        <v>739</v>
      </c>
    </row>
    <row r="558" spans="1:5" x14ac:dyDescent="0.25">
      <c r="A558" s="8" t="str">
        <f t="shared" si="8"/>
        <v>002</v>
      </c>
      <c r="B558" s="8" t="s">
        <v>264</v>
      </c>
      <c r="C558" s="12" t="s">
        <v>740</v>
      </c>
      <c r="D558" s="8">
        <v>13</v>
      </c>
      <c r="E558" s="8" t="s">
        <v>739</v>
      </c>
    </row>
    <row r="559" spans="1:5" x14ac:dyDescent="0.25">
      <c r="A559" s="8" t="str">
        <f t="shared" si="8"/>
        <v>003</v>
      </c>
      <c r="B559" s="8" t="s">
        <v>67</v>
      </c>
      <c r="C559" s="12" t="s">
        <v>741</v>
      </c>
      <c r="D559" s="8">
        <v>13</v>
      </c>
      <c r="E559" s="8" t="s">
        <v>739</v>
      </c>
    </row>
    <row r="560" spans="1:5" x14ac:dyDescent="0.25">
      <c r="A560" s="8" t="str">
        <f t="shared" si="8"/>
        <v>004</v>
      </c>
      <c r="B560" s="8" t="s">
        <v>69</v>
      </c>
      <c r="C560" s="12" t="s">
        <v>742</v>
      </c>
      <c r="D560" s="8">
        <v>13</v>
      </c>
      <c r="E560" s="8" t="s">
        <v>739</v>
      </c>
    </row>
    <row r="561" spans="1:5" x14ac:dyDescent="0.25">
      <c r="A561" s="8" t="str">
        <f t="shared" si="8"/>
        <v>001</v>
      </c>
      <c r="B561" s="8" t="s">
        <v>262</v>
      </c>
      <c r="C561" s="12" t="s">
        <v>743</v>
      </c>
      <c r="D561" s="8">
        <v>13</v>
      </c>
      <c r="E561" s="8" t="s">
        <v>744</v>
      </c>
    </row>
    <row r="562" spans="1:5" x14ac:dyDescent="0.25">
      <c r="A562" s="8" t="str">
        <f t="shared" si="8"/>
        <v>001</v>
      </c>
      <c r="B562" s="8" t="s">
        <v>262</v>
      </c>
      <c r="C562" s="12" t="s">
        <v>745</v>
      </c>
      <c r="D562" s="8">
        <v>13</v>
      </c>
      <c r="E562" s="8" t="s">
        <v>746</v>
      </c>
    </row>
    <row r="563" spans="1:5" x14ac:dyDescent="0.25">
      <c r="A563" s="8" t="str">
        <f t="shared" si="8"/>
        <v>002</v>
      </c>
      <c r="B563" s="8" t="s">
        <v>264</v>
      </c>
      <c r="C563" s="12" t="s">
        <v>747</v>
      </c>
      <c r="D563" s="8">
        <v>13</v>
      </c>
      <c r="E563" s="8" t="s">
        <v>746</v>
      </c>
    </row>
    <row r="564" spans="1:5" x14ac:dyDescent="0.25">
      <c r="A564" s="8" t="str">
        <f t="shared" si="8"/>
        <v>001</v>
      </c>
      <c r="B564" s="8" t="s">
        <v>262</v>
      </c>
      <c r="C564" s="12" t="s">
        <v>745</v>
      </c>
      <c r="D564" s="8">
        <v>13</v>
      </c>
      <c r="E564" s="8" t="s">
        <v>748</v>
      </c>
    </row>
    <row r="565" spans="1:5" x14ac:dyDescent="0.25">
      <c r="A565" s="8" t="str">
        <f t="shared" si="8"/>
        <v>002</v>
      </c>
      <c r="B565" s="8" t="s">
        <v>264</v>
      </c>
      <c r="C565" s="12" t="s">
        <v>747</v>
      </c>
      <c r="D565" s="8">
        <v>13</v>
      </c>
      <c r="E565" s="8" t="s">
        <v>748</v>
      </c>
    </row>
    <row r="566" spans="1:5" x14ac:dyDescent="0.25">
      <c r="A566" s="8" t="str">
        <f t="shared" si="8"/>
        <v>001</v>
      </c>
      <c r="B566" s="8" t="s">
        <v>262</v>
      </c>
      <c r="C566" s="12" t="s">
        <v>749</v>
      </c>
      <c r="D566" s="8">
        <v>13</v>
      </c>
      <c r="E566" s="8" t="s">
        <v>750</v>
      </c>
    </row>
    <row r="567" spans="1:5" x14ac:dyDescent="0.25">
      <c r="A567" s="8" t="str">
        <f t="shared" si="8"/>
        <v>002</v>
      </c>
      <c r="B567" s="8" t="s">
        <v>264</v>
      </c>
      <c r="C567" s="12" t="s">
        <v>751</v>
      </c>
      <c r="D567" s="8">
        <v>13</v>
      </c>
      <c r="E567" s="8" t="s">
        <v>750</v>
      </c>
    </row>
    <row r="568" spans="1:5" x14ac:dyDescent="0.25">
      <c r="A568" s="8" t="str">
        <f t="shared" si="8"/>
        <v>001</v>
      </c>
      <c r="B568" s="8" t="s">
        <v>262</v>
      </c>
      <c r="C568" s="12" t="s">
        <v>752</v>
      </c>
      <c r="D568" s="8">
        <v>13</v>
      </c>
      <c r="E568" s="8" t="s">
        <v>753</v>
      </c>
    </row>
    <row r="569" spans="1:5" x14ac:dyDescent="0.25">
      <c r="A569" s="8" t="str">
        <f t="shared" si="8"/>
        <v>002</v>
      </c>
      <c r="B569" s="8" t="s">
        <v>264</v>
      </c>
      <c r="C569" s="12" t="s">
        <v>754</v>
      </c>
      <c r="D569" s="8">
        <v>13</v>
      </c>
      <c r="E569" s="8" t="s">
        <v>753</v>
      </c>
    </row>
    <row r="570" spans="1:5" x14ac:dyDescent="0.25">
      <c r="A570" s="8" t="str">
        <f t="shared" si="8"/>
        <v>003</v>
      </c>
      <c r="B570" s="8" t="s">
        <v>67</v>
      </c>
      <c r="C570" s="12" t="s">
        <v>755</v>
      </c>
      <c r="D570" s="8">
        <v>13</v>
      </c>
      <c r="E570" s="8" t="s">
        <v>753</v>
      </c>
    </row>
    <row r="571" spans="1:5" x14ac:dyDescent="0.25">
      <c r="A571" s="8" t="str">
        <f t="shared" si="8"/>
        <v>004</v>
      </c>
      <c r="B571" s="8" t="s">
        <v>69</v>
      </c>
      <c r="C571" s="12" t="s">
        <v>756</v>
      </c>
      <c r="D571" s="8">
        <v>13</v>
      </c>
      <c r="E571" s="8" t="s">
        <v>753</v>
      </c>
    </row>
    <row r="572" spans="1:5" x14ac:dyDescent="0.25">
      <c r="A572" s="8" t="str">
        <f t="shared" si="8"/>
        <v>001</v>
      </c>
      <c r="B572" s="8" t="s">
        <v>262</v>
      </c>
      <c r="C572" s="12" t="s">
        <v>757</v>
      </c>
      <c r="D572" s="8">
        <v>13</v>
      </c>
      <c r="E572" s="8" t="s">
        <v>758</v>
      </c>
    </row>
    <row r="573" spans="1:5" x14ac:dyDescent="0.25">
      <c r="A573" s="8" t="str">
        <f t="shared" si="8"/>
        <v>002</v>
      </c>
      <c r="B573" s="8" t="s">
        <v>264</v>
      </c>
      <c r="C573" s="12" t="s">
        <v>759</v>
      </c>
      <c r="D573" s="8">
        <v>13</v>
      </c>
      <c r="E573" s="8" t="s">
        <v>758</v>
      </c>
    </row>
    <row r="574" spans="1:5" x14ac:dyDescent="0.25">
      <c r="A574" s="8" t="str">
        <f t="shared" si="8"/>
        <v>003</v>
      </c>
      <c r="B574" s="8" t="s">
        <v>67</v>
      </c>
      <c r="C574" s="12" t="s">
        <v>760</v>
      </c>
      <c r="D574" s="8">
        <v>13</v>
      </c>
      <c r="E574" s="8" t="s">
        <v>758</v>
      </c>
    </row>
    <row r="575" spans="1:5" x14ac:dyDescent="0.25">
      <c r="A575" s="8" t="str">
        <f t="shared" si="8"/>
        <v>004</v>
      </c>
      <c r="B575" s="8" t="s">
        <v>69</v>
      </c>
      <c r="C575" s="12" t="s">
        <v>761</v>
      </c>
      <c r="D575" s="8">
        <v>13</v>
      </c>
      <c r="E575" s="8" t="s">
        <v>758</v>
      </c>
    </row>
    <row r="576" spans="1:5" x14ac:dyDescent="0.25">
      <c r="A576" s="8" t="str">
        <f t="shared" si="8"/>
        <v>005</v>
      </c>
      <c r="B576" s="8" t="s">
        <v>78</v>
      </c>
      <c r="C576" s="12" t="s">
        <v>762</v>
      </c>
      <c r="D576" s="8">
        <v>13</v>
      </c>
      <c r="E576" s="8" t="s">
        <v>758</v>
      </c>
    </row>
    <row r="577" spans="1:5" x14ac:dyDescent="0.25">
      <c r="A577" s="8" t="str">
        <f t="shared" si="8"/>
        <v>006</v>
      </c>
      <c r="B577" s="8" t="s">
        <v>80</v>
      </c>
      <c r="C577" s="12" t="s">
        <v>763</v>
      </c>
      <c r="D577" s="8">
        <v>13</v>
      </c>
      <c r="E577" s="8" t="s">
        <v>758</v>
      </c>
    </row>
    <row r="578" spans="1:5" x14ac:dyDescent="0.25">
      <c r="A578" s="8" t="str">
        <f t="shared" si="8"/>
        <v>007</v>
      </c>
      <c r="B578" s="8" t="s">
        <v>71</v>
      </c>
      <c r="C578" s="12" t="s">
        <v>764</v>
      </c>
      <c r="D578" s="8">
        <v>13</v>
      </c>
      <c r="E578" s="8" t="s">
        <v>758</v>
      </c>
    </row>
    <row r="579" spans="1:5" x14ac:dyDescent="0.25">
      <c r="A579" s="8" t="str">
        <f t="shared" ref="A579:A642" si="9">TEXT(B579,"000")</f>
        <v>008</v>
      </c>
      <c r="B579" s="8" t="s">
        <v>271</v>
      </c>
      <c r="C579" s="12" t="s">
        <v>765</v>
      </c>
      <c r="D579" s="8">
        <v>13</v>
      </c>
      <c r="E579" s="8" t="s">
        <v>758</v>
      </c>
    </row>
    <row r="580" spans="1:5" x14ac:dyDescent="0.25">
      <c r="A580" s="8" t="str">
        <f t="shared" si="9"/>
        <v>100</v>
      </c>
      <c r="B580" s="8" t="s">
        <v>90</v>
      </c>
      <c r="C580" s="12" t="s">
        <v>766</v>
      </c>
      <c r="D580" s="8">
        <v>14</v>
      </c>
      <c r="E580" s="8" t="s">
        <v>282</v>
      </c>
    </row>
    <row r="581" spans="1:5" x14ac:dyDescent="0.25">
      <c r="A581" s="8" t="str">
        <f t="shared" si="9"/>
        <v>011</v>
      </c>
      <c r="B581" s="8" t="s">
        <v>74</v>
      </c>
      <c r="C581" s="12" t="s">
        <v>767</v>
      </c>
      <c r="D581" s="8">
        <v>14</v>
      </c>
      <c r="E581" s="8" t="s">
        <v>282</v>
      </c>
    </row>
    <row r="582" spans="1:5" x14ac:dyDescent="0.25">
      <c r="A582" s="8" t="str">
        <f t="shared" si="9"/>
        <v>021</v>
      </c>
      <c r="B582" s="8" t="s">
        <v>356</v>
      </c>
      <c r="C582" s="12" t="s">
        <v>768</v>
      </c>
      <c r="D582" s="8">
        <v>14</v>
      </c>
      <c r="E582" s="8" t="s">
        <v>282</v>
      </c>
    </row>
    <row r="583" spans="1:5" x14ac:dyDescent="0.25">
      <c r="A583" s="8" t="str">
        <f t="shared" si="9"/>
        <v>031</v>
      </c>
      <c r="B583" s="8" t="s">
        <v>375</v>
      </c>
      <c r="C583" s="12" t="s">
        <v>769</v>
      </c>
      <c r="D583" s="8">
        <v>14</v>
      </c>
      <c r="E583" s="8" t="s">
        <v>282</v>
      </c>
    </row>
    <row r="584" spans="1:5" x14ac:dyDescent="0.25">
      <c r="A584" s="8" t="str">
        <f t="shared" si="9"/>
        <v>041</v>
      </c>
      <c r="B584" s="8" t="s">
        <v>394</v>
      </c>
      <c r="C584" s="12" t="s">
        <v>770</v>
      </c>
      <c r="D584" s="8">
        <v>14</v>
      </c>
      <c r="E584" s="8" t="s">
        <v>282</v>
      </c>
    </row>
    <row r="585" spans="1:5" x14ac:dyDescent="0.25">
      <c r="A585" s="8" t="str">
        <f t="shared" si="9"/>
        <v>001</v>
      </c>
      <c r="B585" s="8" t="s">
        <v>262</v>
      </c>
      <c r="C585" s="12" t="s">
        <v>771</v>
      </c>
      <c r="D585" s="8">
        <v>14</v>
      </c>
      <c r="E585" s="8" t="s">
        <v>288</v>
      </c>
    </row>
    <row r="586" spans="1:5" x14ac:dyDescent="0.25">
      <c r="A586" s="8" t="str">
        <f t="shared" si="9"/>
        <v>002</v>
      </c>
      <c r="B586" s="8" t="s">
        <v>264</v>
      </c>
      <c r="C586" s="12" t="s">
        <v>772</v>
      </c>
      <c r="D586" s="8">
        <v>14</v>
      </c>
      <c r="E586" s="8" t="s">
        <v>288</v>
      </c>
    </row>
    <row r="587" spans="1:5" x14ac:dyDescent="0.25">
      <c r="A587" s="8" t="str">
        <f t="shared" si="9"/>
        <v>005</v>
      </c>
      <c r="B587" s="8" t="s">
        <v>78</v>
      </c>
      <c r="C587" s="12" t="s">
        <v>773</v>
      </c>
      <c r="D587" s="8">
        <v>14</v>
      </c>
      <c r="E587" s="8" t="s">
        <v>288</v>
      </c>
    </row>
    <row r="588" spans="1:5" x14ac:dyDescent="0.25">
      <c r="A588" s="8" t="str">
        <f t="shared" si="9"/>
        <v>101</v>
      </c>
      <c r="B588" s="8" t="s">
        <v>95</v>
      </c>
      <c r="C588" s="12" t="s">
        <v>774</v>
      </c>
      <c r="D588" s="8">
        <v>14</v>
      </c>
      <c r="E588" s="8" t="s">
        <v>288</v>
      </c>
    </row>
    <row r="589" spans="1:5" x14ac:dyDescent="0.25">
      <c r="A589" s="8" t="str">
        <f t="shared" si="9"/>
        <v>102</v>
      </c>
      <c r="B589" s="8" t="s">
        <v>97</v>
      </c>
      <c r="C589" s="12" t="s">
        <v>775</v>
      </c>
      <c r="D589" s="8">
        <v>14</v>
      </c>
      <c r="E589" s="8" t="s">
        <v>288</v>
      </c>
    </row>
    <row r="590" spans="1:5" x14ac:dyDescent="0.25">
      <c r="A590" s="8" t="str">
        <f t="shared" si="9"/>
        <v>103</v>
      </c>
      <c r="B590" s="8" t="s">
        <v>99</v>
      </c>
      <c r="C590" s="12" t="s">
        <v>776</v>
      </c>
      <c r="D590" s="8">
        <v>14</v>
      </c>
      <c r="E590" s="8" t="s">
        <v>288</v>
      </c>
    </row>
    <row r="591" spans="1:5" x14ac:dyDescent="0.25">
      <c r="A591" s="8" t="str">
        <f t="shared" si="9"/>
        <v>104</v>
      </c>
      <c r="B591" s="8" t="s">
        <v>124</v>
      </c>
      <c r="C591" s="12" t="s">
        <v>777</v>
      </c>
      <c r="D591" s="8">
        <v>14</v>
      </c>
      <c r="E591" s="8" t="s">
        <v>288</v>
      </c>
    </row>
    <row r="592" spans="1:5" x14ac:dyDescent="0.25">
      <c r="A592" s="8" t="str">
        <f t="shared" si="9"/>
        <v>004</v>
      </c>
      <c r="B592" s="8" t="s">
        <v>69</v>
      </c>
      <c r="C592" s="12" t="s">
        <v>778</v>
      </c>
      <c r="D592" s="8">
        <v>14</v>
      </c>
      <c r="E592" s="8" t="s">
        <v>288</v>
      </c>
    </row>
    <row r="593" spans="1:5" x14ac:dyDescent="0.25">
      <c r="A593" s="8" t="str">
        <f t="shared" si="9"/>
        <v>004</v>
      </c>
      <c r="B593" s="8" t="s">
        <v>69</v>
      </c>
      <c r="C593" s="12" t="s">
        <v>779</v>
      </c>
      <c r="D593" s="8">
        <v>14</v>
      </c>
      <c r="E593" s="8" t="s">
        <v>288</v>
      </c>
    </row>
    <row r="594" spans="1:5" x14ac:dyDescent="0.25">
      <c r="A594" s="8" t="str">
        <f t="shared" si="9"/>
        <v>005</v>
      </c>
      <c r="B594" s="8" t="s">
        <v>78</v>
      </c>
      <c r="C594" s="12" t="s">
        <v>780</v>
      </c>
      <c r="D594" s="8">
        <v>14</v>
      </c>
      <c r="E594" s="8" t="s">
        <v>288</v>
      </c>
    </row>
    <row r="595" spans="1:5" x14ac:dyDescent="0.25">
      <c r="A595" s="8" t="str">
        <f t="shared" si="9"/>
        <v>041</v>
      </c>
      <c r="B595" s="8" t="s">
        <v>394</v>
      </c>
      <c r="C595" s="12" t="s">
        <v>781</v>
      </c>
      <c r="D595" s="8">
        <v>14</v>
      </c>
      <c r="E595" s="8" t="s">
        <v>481</v>
      </c>
    </row>
    <row r="596" spans="1:5" x14ac:dyDescent="0.25">
      <c r="A596" s="8" t="str">
        <f t="shared" si="9"/>
        <v>042</v>
      </c>
      <c r="B596" s="8" t="s">
        <v>782</v>
      </c>
      <c r="C596" s="12" t="s">
        <v>783</v>
      </c>
      <c r="D596" s="8">
        <v>14</v>
      </c>
      <c r="E596" s="8" t="s">
        <v>481</v>
      </c>
    </row>
    <row r="597" spans="1:5" x14ac:dyDescent="0.25">
      <c r="A597" s="8" t="str">
        <f t="shared" si="9"/>
        <v>043</v>
      </c>
      <c r="B597" s="8" t="s">
        <v>784</v>
      </c>
      <c r="C597" s="12" t="s">
        <v>785</v>
      </c>
      <c r="D597" s="8">
        <v>14</v>
      </c>
      <c r="E597" s="8" t="s">
        <v>481</v>
      </c>
    </row>
    <row r="598" spans="1:5" x14ac:dyDescent="0.25">
      <c r="A598" s="8" t="str">
        <f t="shared" si="9"/>
        <v>044</v>
      </c>
      <c r="B598" s="8" t="s">
        <v>786</v>
      </c>
      <c r="C598" s="12" t="s">
        <v>787</v>
      </c>
      <c r="D598" s="8">
        <v>14</v>
      </c>
      <c r="E598" s="8" t="s">
        <v>481</v>
      </c>
    </row>
    <row r="599" spans="1:5" x14ac:dyDescent="0.25">
      <c r="A599" s="8" t="str">
        <f t="shared" si="9"/>
        <v>001</v>
      </c>
      <c r="B599" s="8" t="s">
        <v>262</v>
      </c>
      <c r="C599" s="12" t="s">
        <v>788</v>
      </c>
      <c r="D599" s="8">
        <v>14</v>
      </c>
      <c r="E599" s="8" t="s">
        <v>302</v>
      </c>
    </row>
    <row r="600" spans="1:5" x14ac:dyDescent="0.25">
      <c r="A600" s="8" t="str">
        <f t="shared" si="9"/>
        <v>001</v>
      </c>
      <c r="B600" s="8" t="s">
        <v>262</v>
      </c>
      <c r="C600" s="12" t="s">
        <v>789</v>
      </c>
      <c r="D600" s="8">
        <v>14</v>
      </c>
      <c r="E600" s="8" t="s">
        <v>419</v>
      </c>
    </row>
    <row r="601" spans="1:5" x14ac:dyDescent="0.25">
      <c r="A601" s="8" t="str">
        <f t="shared" si="9"/>
        <v>002</v>
      </c>
      <c r="B601" s="8" t="s">
        <v>264</v>
      </c>
      <c r="C601" s="12" t="s">
        <v>790</v>
      </c>
      <c r="D601" s="8">
        <v>14</v>
      </c>
      <c r="E601" s="8" t="s">
        <v>419</v>
      </c>
    </row>
    <row r="602" spans="1:5" x14ac:dyDescent="0.25">
      <c r="A602" s="8" t="str">
        <f t="shared" si="9"/>
        <v>003</v>
      </c>
      <c r="B602" s="8" t="s">
        <v>67</v>
      </c>
      <c r="C602" s="12" t="s">
        <v>791</v>
      </c>
      <c r="D602" s="8">
        <v>14</v>
      </c>
      <c r="E602" s="8" t="s">
        <v>419</v>
      </c>
    </row>
    <row r="603" spans="1:5" x14ac:dyDescent="0.25">
      <c r="A603" s="8" t="str">
        <f t="shared" si="9"/>
        <v>004</v>
      </c>
      <c r="B603" s="8" t="s">
        <v>69</v>
      </c>
      <c r="C603" s="12" t="s">
        <v>792</v>
      </c>
      <c r="D603" s="8">
        <v>14</v>
      </c>
      <c r="E603" s="8" t="s">
        <v>419</v>
      </c>
    </row>
    <row r="604" spans="1:5" x14ac:dyDescent="0.25">
      <c r="A604" s="8" t="str">
        <f t="shared" si="9"/>
        <v>005</v>
      </c>
      <c r="B604" s="8" t="s">
        <v>78</v>
      </c>
      <c r="C604" s="12" t="s">
        <v>793</v>
      </c>
      <c r="D604" s="8">
        <v>14</v>
      </c>
      <c r="E604" s="8" t="s">
        <v>419</v>
      </c>
    </row>
    <row r="605" spans="1:5" x14ac:dyDescent="0.25">
      <c r="A605" s="8" t="str">
        <f t="shared" si="9"/>
        <v>006</v>
      </c>
      <c r="B605" s="8" t="s">
        <v>80</v>
      </c>
      <c r="C605" s="12" t="s">
        <v>794</v>
      </c>
      <c r="D605" s="8">
        <v>14</v>
      </c>
      <c r="E605" s="8" t="s">
        <v>419</v>
      </c>
    </row>
    <row r="606" spans="1:5" x14ac:dyDescent="0.25">
      <c r="A606" s="8" t="str">
        <f t="shared" si="9"/>
        <v>007</v>
      </c>
      <c r="B606" s="8" t="s">
        <v>71</v>
      </c>
      <c r="C606" s="12" t="s">
        <v>795</v>
      </c>
      <c r="D606" s="8">
        <v>14</v>
      </c>
      <c r="E606" s="8" t="s">
        <v>419</v>
      </c>
    </row>
    <row r="607" spans="1:5" x14ac:dyDescent="0.25">
      <c r="A607" s="8" t="str">
        <f t="shared" si="9"/>
        <v>009</v>
      </c>
      <c r="B607" s="8" t="s">
        <v>273</v>
      </c>
      <c r="C607" s="12" t="s">
        <v>796</v>
      </c>
      <c r="D607" s="8">
        <v>14</v>
      </c>
      <c r="E607" s="8" t="s">
        <v>419</v>
      </c>
    </row>
    <row r="608" spans="1:5" x14ac:dyDescent="0.25">
      <c r="A608" s="8" t="str">
        <f t="shared" si="9"/>
        <v>010</v>
      </c>
      <c r="B608" s="8" t="s">
        <v>61</v>
      </c>
      <c r="C608" s="12" t="s">
        <v>797</v>
      </c>
      <c r="D608" s="8">
        <v>14</v>
      </c>
      <c r="E608" s="8" t="s">
        <v>419</v>
      </c>
    </row>
    <row r="609" spans="1:5" x14ac:dyDescent="0.25">
      <c r="A609" s="8" t="str">
        <f t="shared" si="9"/>
        <v>011</v>
      </c>
      <c r="B609" s="8" t="s">
        <v>74</v>
      </c>
      <c r="C609" s="12" t="s">
        <v>798</v>
      </c>
      <c r="D609" s="8">
        <v>14</v>
      </c>
      <c r="E609" s="8" t="s">
        <v>419</v>
      </c>
    </row>
    <row r="610" spans="1:5" x14ac:dyDescent="0.25">
      <c r="A610" s="8" t="str">
        <f t="shared" si="9"/>
        <v>012</v>
      </c>
      <c r="B610" s="8" t="s">
        <v>76</v>
      </c>
      <c r="C610" s="12" t="s">
        <v>799</v>
      </c>
      <c r="D610" s="8">
        <v>14</v>
      </c>
      <c r="E610" s="8" t="s">
        <v>419</v>
      </c>
    </row>
    <row r="611" spans="1:5" x14ac:dyDescent="0.25">
      <c r="A611" s="8" t="str">
        <f t="shared" si="9"/>
        <v>013</v>
      </c>
      <c r="B611" s="8" t="s">
        <v>278</v>
      </c>
      <c r="C611" s="12" t="s">
        <v>800</v>
      </c>
      <c r="D611" s="8">
        <v>14</v>
      </c>
      <c r="E611" s="8" t="s">
        <v>419</v>
      </c>
    </row>
    <row r="612" spans="1:5" x14ac:dyDescent="0.25">
      <c r="A612" s="8" t="str">
        <f t="shared" si="9"/>
        <v>014</v>
      </c>
      <c r="B612" s="8" t="s">
        <v>280</v>
      </c>
      <c r="C612" s="12" t="s">
        <v>801</v>
      </c>
      <c r="D612" s="8">
        <v>14</v>
      </c>
      <c r="E612" s="8" t="s">
        <v>419</v>
      </c>
    </row>
    <row r="613" spans="1:5" x14ac:dyDescent="0.25">
      <c r="A613" s="8" t="str">
        <f t="shared" si="9"/>
        <v>015</v>
      </c>
      <c r="B613" s="8" t="s">
        <v>346</v>
      </c>
      <c r="C613" s="12" t="s">
        <v>802</v>
      </c>
      <c r="D613" s="8">
        <v>14</v>
      </c>
      <c r="E613" s="8" t="s">
        <v>419</v>
      </c>
    </row>
    <row r="614" spans="1:5" x14ac:dyDescent="0.25">
      <c r="A614" s="8" t="str">
        <f t="shared" si="9"/>
        <v>016</v>
      </c>
      <c r="B614" s="8" t="s">
        <v>82</v>
      </c>
      <c r="C614" s="12" t="s">
        <v>803</v>
      </c>
      <c r="D614" s="8">
        <v>14</v>
      </c>
      <c r="E614" s="8" t="s">
        <v>419</v>
      </c>
    </row>
    <row r="615" spans="1:5" x14ac:dyDescent="0.25">
      <c r="A615" s="8" t="str">
        <f t="shared" si="9"/>
        <v>017</v>
      </c>
      <c r="B615" s="8" t="s">
        <v>349</v>
      </c>
      <c r="C615" s="12" t="s">
        <v>804</v>
      </c>
      <c r="D615" s="8">
        <v>14</v>
      </c>
      <c r="E615" s="8" t="s">
        <v>419</v>
      </c>
    </row>
    <row r="616" spans="1:5" x14ac:dyDescent="0.25">
      <c r="A616" s="8" t="str">
        <f t="shared" si="9"/>
        <v>018</v>
      </c>
      <c r="B616" s="8" t="s">
        <v>351</v>
      </c>
      <c r="C616" s="12" t="s">
        <v>805</v>
      </c>
      <c r="D616" s="8">
        <v>14</v>
      </c>
      <c r="E616" s="8" t="s">
        <v>419</v>
      </c>
    </row>
    <row r="617" spans="1:5" x14ac:dyDescent="0.25">
      <c r="A617" s="8" t="str">
        <f t="shared" si="9"/>
        <v>001</v>
      </c>
      <c r="B617" s="8" t="s">
        <v>262</v>
      </c>
      <c r="C617" s="12" t="s">
        <v>806</v>
      </c>
      <c r="D617" s="8">
        <v>14</v>
      </c>
      <c r="E617" s="8" t="s">
        <v>296</v>
      </c>
    </row>
    <row r="618" spans="1:5" x14ac:dyDescent="0.25">
      <c r="A618" s="8" t="str">
        <f t="shared" si="9"/>
        <v>002</v>
      </c>
      <c r="B618" s="8" t="s">
        <v>264</v>
      </c>
      <c r="C618" s="12" t="s">
        <v>807</v>
      </c>
      <c r="D618" s="8">
        <v>14</v>
      </c>
      <c r="E618" s="8" t="s">
        <v>296</v>
      </c>
    </row>
    <row r="619" spans="1:5" x14ac:dyDescent="0.25">
      <c r="A619" s="8" t="str">
        <f t="shared" si="9"/>
        <v>003</v>
      </c>
      <c r="B619" s="8" t="s">
        <v>67</v>
      </c>
      <c r="C619" s="12" t="s">
        <v>808</v>
      </c>
      <c r="D619" s="8">
        <v>14</v>
      </c>
      <c r="E619" s="8" t="s">
        <v>296</v>
      </c>
    </row>
    <row r="620" spans="1:5" x14ac:dyDescent="0.25">
      <c r="A620" s="8" t="str">
        <f t="shared" si="9"/>
        <v>001</v>
      </c>
      <c r="B620" s="8" t="s">
        <v>262</v>
      </c>
      <c r="C620" s="12" t="s">
        <v>809</v>
      </c>
      <c r="D620" s="8">
        <v>14</v>
      </c>
      <c r="E620" s="8" t="s">
        <v>464</v>
      </c>
    </row>
    <row r="621" spans="1:5" x14ac:dyDescent="0.25">
      <c r="A621" s="8" t="str">
        <f t="shared" si="9"/>
        <v>002</v>
      </c>
      <c r="B621" s="8" t="s">
        <v>264</v>
      </c>
      <c r="C621" s="12" t="s">
        <v>810</v>
      </c>
      <c r="D621" s="8">
        <v>14</v>
      </c>
      <c r="E621" s="8" t="s">
        <v>464</v>
      </c>
    </row>
    <row r="622" spans="1:5" x14ac:dyDescent="0.25">
      <c r="A622" s="8" t="str">
        <f t="shared" si="9"/>
        <v>003</v>
      </c>
      <c r="B622" s="8" t="s">
        <v>67</v>
      </c>
      <c r="C622" s="12" t="s">
        <v>811</v>
      </c>
      <c r="D622" s="8">
        <v>14</v>
      </c>
      <c r="E622" s="8" t="s">
        <v>464</v>
      </c>
    </row>
    <row r="623" spans="1:5" x14ac:dyDescent="0.25">
      <c r="A623" s="8" t="str">
        <f t="shared" si="9"/>
        <v>004</v>
      </c>
      <c r="B623" s="8" t="s">
        <v>69</v>
      </c>
      <c r="C623" s="12" t="s">
        <v>812</v>
      </c>
      <c r="D623" s="8">
        <v>14</v>
      </c>
      <c r="E623" s="8" t="s">
        <v>464</v>
      </c>
    </row>
    <row r="624" spans="1:5" x14ac:dyDescent="0.25">
      <c r="A624" s="8" t="str">
        <f t="shared" si="9"/>
        <v>005</v>
      </c>
      <c r="B624" s="8" t="s">
        <v>78</v>
      </c>
      <c r="C624" s="12" t="s">
        <v>813</v>
      </c>
      <c r="D624" s="8">
        <v>14</v>
      </c>
      <c r="E624" s="8" t="s">
        <v>464</v>
      </c>
    </row>
    <row r="625" spans="1:5" x14ac:dyDescent="0.25">
      <c r="A625" s="8" t="str">
        <f t="shared" si="9"/>
        <v>006</v>
      </c>
      <c r="B625" s="8" t="s">
        <v>80</v>
      </c>
      <c r="C625" s="12" t="s">
        <v>814</v>
      </c>
      <c r="D625" s="8">
        <v>14</v>
      </c>
      <c r="E625" s="8" t="s">
        <v>464</v>
      </c>
    </row>
    <row r="626" spans="1:5" x14ac:dyDescent="0.25">
      <c r="A626" s="8" t="str">
        <f t="shared" si="9"/>
        <v>007</v>
      </c>
      <c r="B626" s="8" t="s">
        <v>71</v>
      </c>
      <c r="C626" s="12" t="s">
        <v>815</v>
      </c>
      <c r="D626" s="8">
        <v>14</v>
      </c>
      <c r="E626" s="8" t="s">
        <v>464</v>
      </c>
    </row>
    <row r="627" spans="1:5" x14ac:dyDescent="0.25">
      <c r="A627" s="8" t="str">
        <f t="shared" si="9"/>
        <v>009</v>
      </c>
      <c r="B627" s="8" t="s">
        <v>273</v>
      </c>
      <c r="C627" s="12" t="s">
        <v>816</v>
      </c>
      <c r="D627" s="8">
        <v>14</v>
      </c>
      <c r="E627" s="8" t="s">
        <v>464</v>
      </c>
    </row>
    <row r="628" spans="1:5" x14ac:dyDescent="0.25">
      <c r="A628" s="8" t="str">
        <f t="shared" si="9"/>
        <v>010</v>
      </c>
      <c r="B628" s="8" t="s">
        <v>61</v>
      </c>
      <c r="C628" s="12" t="s">
        <v>817</v>
      </c>
      <c r="D628" s="8">
        <v>14</v>
      </c>
      <c r="E628" s="8" t="s">
        <v>464</v>
      </c>
    </row>
    <row r="629" spans="1:5" x14ac:dyDescent="0.25">
      <c r="A629" s="8" t="str">
        <f t="shared" si="9"/>
        <v>011</v>
      </c>
      <c r="B629" s="8" t="s">
        <v>74</v>
      </c>
      <c r="C629" s="12" t="s">
        <v>818</v>
      </c>
      <c r="D629" s="8">
        <v>14</v>
      </c>
      <c r="E629" s="8" t="s">
        <v>464</v>
      </c>
    </row>
    <row r="630" spans="1:5" x14ac:dyDescent="0.25">
      <c r="A630" s="8" t="str">
        <f t="shared" si="9"/>
        <v>012</v>
      </c>
      <c r="B630" s="8" t="s">
        <v>76</v>
      </c>
      <c r="C630" s="12" t="s">
        <v>819</v>
      </c>
      <c r="D630" s="8">
        <v>14</v>
      </c>
      <c r="E630" s="8" t="s">
        <v>464</v>
      </c>
    </row>
    <row r="631" spans="1:5" x14ac:dyDescent="0.25">
      <c r="A631" s="8" t="str">
        <f t="shared" si="9"/>
        <v>013</v>
      </c>
      <c r="B631" s="8" t="s">
        <v>278</v>
      </c>
      <c r="C631" s="12" t="s">
        <v>820</v>
      </c>
      <c r="D631" s="8">
        <v>14</v>
      </c>
      <c r="E631" s="8" t="s">
        <v>464</v>
      </c>
    </row>
    <row r="632" spans="1:5" x14ac:dyDescent="0.25">
      <c r="A632" s="8" t="str">
        <f t="shared" si="9"/>
        <v>014</v>
      </c>
      <c r="B632" s="8" t="s">
        <v>280</v>
      </c>
      <c r="C632" s="12" t="s">
        <v>821</v>
      </c>
      <c r="D632" s="8">
        <v>14</v>
      </c>
      <c r="E632" s="8" t="s">
        <v>464</v>
      </c>
    </row>
    <row r="633" spans="1:5" x14ac:dyDescent="0.25">
      <c r="A633" s="8" t="str">
        <f t="shared" si="9"/>
        <v>015</v>
      </c>
      <c r="B633" s="8" t="s">
        <v>346</v>
      </c>
      <c r="C633" s="12" t="s">
        <v>822</v>
      </c>
      <c r="D633" s="8">
        <v>14</v>
      </c>
      <c r="E633" s="8" t="s">
        <v>464</v>
      </c>
    </row>
    <row r="634" spans="1:5" x14ac:dyDescent="0.25">
      <c r="A634" s="8" t="str">
        <f t="shared" si="9"/>
        <v>101</v>
      </c>
      <c r="B634" s="8" t="s">
        <v>95</v>
      </c>
      <c r="C634" s="12" t="s">
        <v>823</v>
      </c>
      <c r="D634" s="8">
        <v>14</v>
      </c>
      <c r="E634" s="8" t="s">
        <v>464</v>
      </c>
    </row>
    <row r="635" spans="1:5" x14ac:dyDescent="0.25">
      <c r="A635" s="8" t="str">
        <f t="shared" si="9"/>
        <v>001</v>
      </c>
      <c r="B635" s="8" t="s">
        <v>262</v>
      </c>
      <c r="C635" s="12" t="s">
        <v>824</v>
      </c>
      <c r="D635" s="8">
        <v>14</v>
      </c>
      <c r="E635" s="8" t="s">
        <v>554</v>
      </c>
    </row>
    <row r="636" spans="1:5" x14ac:dyDescent="0.25">
      <c r="A636" s="8" t="str">
        <f t="shared" si="9"/>
        <v>002</v>
      </c>
      <c r="B636" s="8" t="s">
        <v>264</v>
      </c>
      <c r="C636" s="12" t="s">
        <v>825</v>
      </c>
      <c r="D636" s="8">
        <v>14</v>
      </c>
      <c r="E636" s="8" t="s">
        <v>554</v>
      </c>
    </row>
    <row r="637" spans="1:5" x14ac:dyDescent="0.25">
      <c r="A637" s="8" t="str">
        <f t="shared" si="9"/>
        <v>003</v>
      </c>
      <c r="B637" s="8" t="s">
        <v>67</v>
      </c>
      <c r="C637" s="12" t="s">
        <v>826</v>
      </c>
      <c r="D637" s="8">
        <v>14</v>
      </c>
      <c r="E637" s="8" t="s">
        <v>554</v>
      </c>
    </row>
    <row r="638" spans="1:5" x14ac:dyDescent="0.25">
      <c r="A638" s="8" t="str">
        <f t="shared" si="9"/>
        <v>004</v>
      </c>
      <c r="B638" s="8" t="s">
        <v>69</v>
      </c>
      <c r="C638" s="12" t="s">
        <v>827</v>
      </c>
      <c r="D638" s="8">
        <v>14</v>
      </c>
      <c r="E638" s="8" t="s">
        <v>554</v>
      </c>
    </row>
    <row r="639" spans="1:5" x14ac:dyDescent="0.25">
      <c r="A639" s="8" t="str">
        <f t="shared" si="9"/>
        <v>005</v>
      </c>
      <c r="B639" s="8" t="s">
        <v>78</v>
      </c>
      <c r="C639" s="12" t="s">
        <v>828</v>
      </c>
      <c r="D639" s="8">
        <v>14</v>
      </c>
      <c r="E639" s="8" t="s">
        <v>554</v>
      </c>
    </row>
    <row r="640" spans="1:5" x14ac:dyDescent="0.25">
      <c r="A640" s="8" t="str">
        <f t="shared" si="9"/>
        <v>006</v>
      </c>
      <c r="B640" s="8" t="s">
        <v>80</v>
      </c>
      <c r="C640" s="12" t="s">
        <v>829</v>
      </c>
      <c r="D640" s="8">
        <v>14</v>
      </c>
      <c r="E640" s="8" t="s">
        <v>554</v>
      </c>
    </row>
    <row r="641" spans="1:5" x14ac:dyDescent="0.25">
      <c r="A641" s="8" t="str">
        <f t="shared" si="9"/>
        <v>007</v>
      </c>
      <c r="B641" s="8" t="s">
        <v>71</v>
      </c>
      <c r="C641" s="12" t="s">
        <v>830</v>
      </c>
      <c r="D641" s="8">
        <v>14</v>
      </c>
      <c r="E641" s="8" t="s">
        <v>554</v>
      </c>
    </row>
    <row r="642" spans="1:5" x14ac:dyDescent="0.25">
      <c r="A642" s="8" t="str">
        <f t="shared" si="9"/>
        <v>008</v>
      </c>
      <c r="B642" s="8" t="s">
        <v>271</v>
      </c>
      <c r="C642" s="12" t="s">
        <v>831</v>
      </c>
      <c r="D642" s="8">
        <v>14</v>
      </c>
      <c r="E642" s="8" t="s">
        <v>554</v>
      </c>
    </row>
    <row r="643" spans="1:5" x14ac:dyDescent="0.25">
      <c r="A643" s="8" t="str">
        <f t="shared" ref="A643:A706" si="10">TEXT(B643,"000")</f>
        <v>001</v>
      </c>
      <c r="B643" s="8" t="s">
        <v>262</v>
      </c>
      <c r="C643" s="12" t="s">
        <v>832</v>
      </c>
      <c r="D643" s="8">
        <v>14</v>
      </c>
      <c r="E643" s="8" t="s">
        <v>433</v>
      </c>
    </row>
    <row r="644" spans="1:5" x14ac:dyDescent="0.25">
      <c r="A644" s="8" t="str">
        <f t="shared" si="10"/>
        <v>002</v>
      </c>
      <c r="B644" s="8" t="s">
        <v>264</v>
      </c>
      <c r="C644" s="12" t="s">
        <v>833</v>
      </c>
      <c r="D644" s="8">
        <v>14</v>
      </c>
      <c r="E644" s="8" t="s">
        <v>433</v>
      </c>
    </row>
    <row r="645" spans="1:5" x14ac:dyDescent="0.25">
      <c r="A645" s="8" t="str">
        <f t="shared" si="10"/>
        <v>003</v>
      </c>
      <c r="B645" s="8" t="s">
        <v>67</v>
      </c>
      <c r="C645" s="12" t="s">
        <v>834</v>
      </c>
      <c r="D645" s="8">
        <v>14</v>
      </c>
      <c r="E645" s="8" t="s">
        <v>433</v>
      </c>
    </row>
    <row r="646" spans="1:5" x14ac:dyDescent="0.25">
      <c r="A646" s="8" t="str">
        <f t="shared" si="10"/>
        <v>004</v>
      </c>
      <c r="B646" s="8" t="s">
        <v>69</v>
      </c>
      <c r="C646" s="12" t="s">
        <v>835</v>
      </c>
      <c r="D646" s="8">
        <v>14</v>
      </c>
      <c r="E646" s="8" t="s">
        <v>433</v>
      </c>
    </row>
    <row r="647" spans="1:5" x14ac:dyDescent="0.25">
      <c r="A647" s="8" t="str">
        <f t="shared" si="10"/>
        <v>005</v>
      </c>
      <c r="B647" s="8" t="s">
        <v>78</v>
      </c>
      <c r="C647" s="12" t="s">
        <v>836</v>
      </c>
      <c r="D647" s="8">
        <v>14</v>
      </c>
      <c r="E647" s="8" t="s">
        <v>433</v>
      </c>
    </row>
    <row r="648" spans="1:5" x14ac:dyDescent="0.25">
      <c r="A648" s="8" t="str">
        <f t="shared" si="10"/>
        <v>006</v>
      </c>
      <c r="B648" s="8" t="s">
        <v>80</v>
      </c>
      <c r="C648" s="12" t="s">
        <v>837</v>
      </c>
      <c r="D648" s="8">
        <v>14</v>
      </c>
      <c r="E648" s="8" t="s">
        <v>433</v>
      </c>
    </row>
    <row r="649" spans="1:5" x14ac:dyDescent="0.25">
      <c r="A649" s="8" t="str">
        <f t="shared" si="10"/>
        <v>008</v>
      </c>
      <c r="B649" s="8" t="s">
        <v>271</v>
      </c>
      <c r="C649" s="12" t="s">
        <v>838</v>
      </c>
      <c r="D649" s="8">
        <v>14</v>
      </c>
      <c r="E649" s="8" t="s">
        <v>433</v>
      </c>
    </row>
    <row r="650" spans="1:5" x14ac:dyDescent="0.25">
      <c r="A650" s="8" t="str">
        <f t="shared" si="10"/>
        <v>009</v>
      </c>
      <c r="B650" s="8" t="s">
        <v>273</v>
      </c>
      <c r="C650" s="12" t="s">
        <v>839</v>
      </c>
      <c r="D650" s="8">
        <v>14</v>
      </c>
      <c r="E650" s="8" t="s">
        <v>433</v>
      </c>
    </row>
    <row r="651" spans="1:5" x14ac:dyDescent="0.25">
      <c r="A651" s="8" t="str">
        <f t="shared" si="10"/>
        <v>010</v>
      </c>
      <c r="B651" s="8" t="s">
        <v>61</v>
      </c>
      <c r="C651" s="12" t="s">
        <v>840</v>
      </c>
      <c r="D651" s="8">
        <v>14</v>
      </c>
      <c r="E651" s="8" t="s">
        <v>433</v>
      </c>
    </row>
    <row r="652" spans="1:5" x14ac:dyDescent="0.25">
      <c r="A652" s="8" t="str">
        <f t="shared" si="10"/>
        <v>011</v>
      </c>
      <c r="B652" s="8" t="s">
        <v>74</v>
      </c>
      <c r="C652" s="12" t="s">
        <v>841</v>
      </c>
      <c r="D652" s="8">
        <v>14</v>
      </c>
      <c r="E652" s="8" t="s">
        <v>433</v>
      </c>
    </row>
    <row r="653" spans="1:5" x14ac:dyDescent="0.25">
      <c r="A653" s="8" t="str">
        <f t="shared" si="10"/>
        <v>012</v>
      </c>
      <c r="B653" s="8" t="s">
        <v>76</v>
      </c>
      <c r="C653" s="12" t="s">
        <v>842</v>
      </c>
      <c r="D653" s="8">
        <v>14</v>
      </c>
      <c r="E653" s="8" t="s">
        <v>433</v>
      </c>
    </row>
    <row r="654" spans="1:5" x14ac:dyDescent="0.25">
      <c r="A654" s="8" t="str">
        <f t="shared" si="10"/>
        <v>013</v>
      </c>
      <c r="B654" s="8" t="s">
        <v>278</v>
      </c>
      <c r="C654" s="12" t="s">
        <v>843</v>
      </c>
      <c r="D654" s="8">
        <v>14</v>
      </c>
      <c r="E654" s="8" t="s">
        <v>433</v>
      </c>
    </row>
    <row r="655" spans="1:5" x14ac:dyDescent="0.25">
      <c r="A655" s="8" t="str">
        <f t="shared" si="10"/>
        <v>014</v>
      </c>
      <c r="B655" s="8" t="s">
        <v>280</v>
      </c>
      <c r="C655" s="12" t="s">
        <v>844</v>
      </c>
      <c r="D655" s="8">
        <v>14</v>
      </c>
      <c r="E655" s="8" t="s">
        <v>433</v>
      </c>
    </row>
    <row r="656" spans="1:5" x14ac:dyDescent="0.25">
      <c r="A656" s="8" t="str">
        <f t="shared" si="10"/>
        <v>015</v>
      </c>
      <c r="B656" s="8" t="s">
        <v>346</v>
      </c>
      <c r="C656" s="12" t="s">
        <v>845</v>
      </c>
      <c r="D656" s="8">
        <v>14</v>
      </c>
      <c r="E656" s="8" t="s">
        <v>433</v>
      </c>
    </row>
    <row r="657" spans="1:5" x14ac:dyDescent="0.25">
      <c r="A657" s="8" t="str">
        <f t="shared" si="10"/>
        <v>001</v>
      </c>
      <c r="B657" s="8" t="s">
        <v>262</v>
      </c>
      <c r="C657" s="12" t="s">
        <v>846</v>
      </c>
      <c r="D657" s="8">
        <v>14</v>
      </c>
      <c r="E657" s="8" t="s">
        <v>718</v>
      </c>
    </row>
    <row r="658" spans="1:5" x14ac:dyDescent="0.25">
      <c r="A658" s="8" t="str">
        <f t="shared" si="10"/>
        <v>002</v>
      </c>
      <c r="B658" s="8" t="s">
        <v>264</v>
      </c>
      <c r="C658" s="12" t="s">
        <v>847</v>
      </c>
      <c r="D658" s="8">
        <v>14</v>
      </c>
      <c r="E658" s="8" t="s">
        <v>718</v>
      </c>
    </row>
    <row r="659" spans="1:5" x14ac:dyDescent="0.25">
      <c r="A659" s="8" t="str">
        <f t="shared" si="10"/>
        <v>003</v>
      </c>
      <c r="B659" s="8" t="s">
        <v>67</v>
      </c>
      <c r="C659" s="12" t="s">
        <v>848</v>
      </c>
      <c r="D659" s="8">
        <v>14</v>
      </c>
      <c r="E659" s="8" t="s">
        <v>718</v>
      </c>
    </row>
    <row r="660" spans="1:5" x14ac:dyDescent="0.25">
      <c r="A660" s="8" t="str">
        <f t="shared" si="10"/>
        <v>004</v>
      </c>
      <c r="B660" s="8" t="s">
        <v>69</v>
      </c>
      <c r="C660" s="12" t="s">
        <v>849</v>
      </c>
      <c r="D660" s="8">
        <v>14</v>
      </c>
      <c r="E660" s="8" t="s">
        <v>718</v>
      </c>
    </row>
    <row r="661" spans="1:5" x14ac:dyDescent="0.25">
      <c r="A661" s="8" t="str">
        <f t="shared" si="10"/>
        <v>005</v>
      </c>
      <c r="B661" s="8" t="s">
        <v>78</v>
      </c>
      <c r="C661" s="12" t="s">
        <v>850</v>
      </c>
      <c r="D661" s="8">
        <v>14</v>
      </c>
      <c r="E661" s="8" t="s">
        <v>718</v>
      </c>
    </row>
    <row r="662" spans="1:5" x14ac:dyDescent="0.25">
      <c r="A662" s="8" t="str">
        <f t="shared" si="10"/>
        <v>006</v>
      </c>
      <c r="B662" s="8" t="s">
        <v>80</v>
      </c>
      <c r="C662" s="12" t="s">
        <v>851</v>
      </c>
      <c r="D662" s="8">
        <v>14</v>
      </c>
      <c r="E662" s="8" t="s">
        <v>718</v>
      </c>
    </row>
    <row r="663" spans="1:5" x14ac:dyDescent="0.25">
      <c r="A663" s="8" t="str">
        <f t="shared" si="10"/>
        <v>007</v>
      </c>
      <c r="B663" s="8" t="s">
        <v>71</v>
      </c>
      <c r="C663" s="12" t="s">
        <v>852</v>
      </c>
      <c r="D663" s="8">
        <v>14</v>
      </c>
      <c r="E663" s="8" t="s">
        <v>718</v>
      </c>
    </row>
    <row r="664" spans="1:5" x14ac:dyDescent="0.25">
      <c r="A664" s="8" t="str">
        <f t="shared" si="10"/>
        <v>008</v>
      </c>
      <c r="B664" s="8" t="s">
        <v>271</v>
      </c>
      <c r="C664" s="12" t="s">
        <v>853</v>
      </c>
      <c r="D664" s="8">
        <v>14</v>
      </c>
      <c r="E664" s="8" t="s">
        <v>718</v>
      </c>
    </row>
    <row r="665" spans="1:5" x14ac:dyDescent="0.25">
      <c r="A665" s="8" t="str">
        <f t="shared" si="10"/>
        <v>009</v>
      </c>
      <c r="B665" s="8" t="s">
        <v>273</v>
      </c>
      <c r="C665" s="12" t="s">
        <v>854</v>
      </c>
      <c r="D665" s="8">
        <v>14</v>
      </c>
      <c r="E665" s="8" t="s">
        <v>718</v>
      </c>
    </row>
    <row r="666" spans="1:5" x14ac:dyDescent="0.25">
      <c r="A666" s="8" t="str">
        <f t="shared" si="10"/>
        <v>010</v>
      </c>
      <c r="B666" s="8" t="s">
        <v>61</v>
      </c>
      <c r="C666" s="12" t="s">
        <v>855</v>
      </c>
      <c r="D666" s="8">
        <v>14</v>
      </c>
      <c r="E666" s="8" t="s">
        <v>718</v>
      </c>
    </row>
    <row r="667" spans="1:5" x14ac:dyDescent="0.25">
      <c r="A667" s="8" t="str">
        <f t="shared" si="10"/>
        <v>011</v>
      </c>
      <c r="B667" s="8" t="s">
        <v>74</v>
      </c>
      <c r="C667" s="12" t="s">
        <v>856</v>
      </c>
      <c r="D667" s="8">
        <v>14</v>
      </c>
      <c r="E667" s="8" t="s">
        <v>718</v>
      </c>
    </row>
    <row r="668" spans="1:5" x14ac:dyDescent="0.25">
      <c r="A668" s="8" t="str">
        <f t="shared" si="10"/>
        <v>001</v>
      </c>
      <c r="B668" s="8" t="s">
        <v>262</v>
      </c>
      <c r="C668" s="12" t="s">
        <v>857</v>
      </c>
      <c r="D668" s="8">
        <v>14</v>
      </c>
      <c r="E668" s="8" t="s">
        <v>548</v>
      </c>
    </row>
    <row r="669" spans="1:5" x14ac:dyDescent="0.25">
      <c r="A669" s="8" t="str">
        <f t="shared" si="10"/>
        <v>002</v>
      </c>
      <c r="B669" s="8" t="s">
        <v>264</v>
      </c>
      <c r="C669" s="12" t="s">
        <v>858</v>
      </c>
      <c r="D669" s="8">
        <v>14</v>
      </c>
      <c r="E669" s="8" t="s">
        <v>548</v>
      </c>
    </row>
    <row r="670" spans="1:5" x14ac:dyDescent="0.25">
      <c r="A670" s="8" t="str">
        <f t="shared" si="10"/>
        <v>004</v>
      </c>
      <c r="B670" s="8" t="s">
        <v>69</v>
      </c>
      <c r="C670" s="12" t="s">
        <v>859</v>
      </c>
      <c r="D670" s="8">
        <v>14</v>
      </c>
      <c r="E670" s="8" t="s">
        <v>548</v>
      </c>
    </row>
    <row r="671" spans="1:5" x14ac:dyDescent="0.25">
      <c r="A671" s="8" t="str">
        <f t="shared" si="10"/>
        <v>005</v>
      </c>
      <c r="B671" s="8" t="s">
        <v>78</v>
      </c>
      <c r="C671" s="12" t="s">
        <v>860</v>
      </c>
      <c r="D671" s="8">
        <v>14</v>
      </c>
      <c r="E671" s="8" t="s">
        <v>548</v>
      </c>
    </row>
    <row r="672" spans="1:5" x14ac:dyDescent="0.25">
      <c r="A672" s="8" t="str">
        <f t="shared" si="10"/>
        <v>101</v>
      </c>
      <c r="B672" s="8">
        <v>101</v>
      </c>
      <c r="C672" s="12" t="s">
        <v>861</v>
      </c>
      <c r="D672" s="8">
        <v>14</v>
      </c>
      <c r="E672" s="8" t="s">
        <v>548</v>
      </c>
    </row>
    <row r="673" spans="1:5" x14ac:dyDescent="0.25">
      <c r="A673" s="8" t="str">
        <f t="shared" si="10"/>
        <v>102</v>
      </c>
      <c r="B673" s="8">
        <v>102</v>
      </c>
      <c r="C673" s="12" t="s">
        <v>862</v>
      </c>
      <c r="D673" s="8">
        <v>14</v>
      </c>
      <c r="E673" s="8" t="s">
        <v>548</v>
      </c>
    </row>
    <row r="674" spans="1:5" x14ac:dyDescent="0.25">
      <c r="A674" s="8" t="str">
        <f t="shared" si="10"/>
        <v>103</v>
      </c>
      <c r="B674" s="8">
        <v>103</v>
      </c>
      <c r="C674" s="12" t="s">
        <v>863</v>
      </c>
      <c r="D674" s="8">
        <v>14</v>
      </c>
      <c r="E674" s="8" t="s">
        <v>548</v>
      </c>
    </row>
    <row r="675" spans="1:5" x14ac:dyDescent="0.25">
      <c r="A675" s="8" t="str">
        <f t="shared" si="10"/>
        <v>202</v>
      </c>
      <c r="B675" s="8">
        <v>202</v>
      </c>
      <c r="C675" s="12" t="s">
        <v>864</v>
      </c>
      <c r="D675" s="8">
        <v>14</v>
      </c>
      <c r="E675" s="8" t="s">
        <v>548</v>
      </c>
    </row>
    <row r="676" spans="1:5" x14ac:dyDescent="0.25">
      <c r="A676" s="8" t="str">
        <f t="shared" si="10"/>
        <v>203</v>
      </c>
      <c r="B676" s="8">
        <v>203</v>
      </c>
      <c r="C676" s="12" t="s">
        <v>865</v>
      </c>
      <c r="D676" s="8">
        <v>14</v>
      </c>
      <c r="E676" s="8" t="s">
        <v>548</v>
      </c>
    </row>
    <row r="677" spans="1:5" x14ac:dyDescent="0.25">
      <c r="A677" s="8" t="str">
        <f t="shared" si="10"/>
        <v>301</v>
      </c>
      <c r="B677" s="8">
        <v>301</v>
      </c>
      <c r="C677" s="12" t="s">
        <v>866</v>
      </c>
      <c r="D677" s="8">
        <v>14</v>
      </c>
      <c r="E677" s="8" t="s">
        <v>548</v>
      </c>
    </row>
    <row r="678" spans="1:5" x14ac:dyDescent="0.25">
      <c r="A678" s="8" t="str">
        <f t="shared" si="10"/>
        <v>302</v>
      </c>
      <c r="B678" s="8">
        <v>302</v>
      </c>
      <c r="C678" s="12" t="s">
        <v>867</v>
      </c>
      <c r="D678" s="8">
        <v>14</v>
      </c>
      <c r="E678" s="8" t="s">
        <v>548</v>
      </c>
    </row>
    <row r="679" spans="1:5" x14ac:dyDescent="0.25">
      <c r="A679" s="8" t="str">
        <f t="shared" si="10"/>
        <v>303</v>
      </c>
      <c r="B679" s="8">
        <v>303</v>
      </c>
      <c r="C679" s="12" t="s">
        <v>868</v>
      </c>
      <c r="D679" s="8">
        <v>14</v>
      </c>
      <c r="E679" s="8" t="s">
        <v>548</v>
      </c>
    </row>
    <row r="680" spans="1:5" x14ac:dyDescent="0.25">
      <c r="A680" s="8" t="str">
        <f t="shared" si="10"/>
        <v>304</v>
      </c>
      <c r="B680" s="8">
        <v>304</v>
      </c>
      <c r="C680" s="12" t="s">
        <v>869</v>
      </c>
      <c r="D680" s="8">
        <v>14</v>
      </c>
      <c r="E680" s="8" t="s">
        <v>548</v>
      </c>
    </row>
    <row r="681" spans="1:5" x14ac:dyDescent="0.25">
      <c r="A681" s="8" t="str">
        <f t="shared" si="10"/>
        <v>401</v>
      </c>
      <c r="B681" s="8">
        <v>401</v>
      </c>
      <c r="C681" s="12" t="s">
        <v>870</v>
      </c>
      <c r="D681" s="8">
        <v>14</v>
      </c>
      <c r="E681" s="8" t="s">
        <v>548</v>
      </c>
    </row>
    <row r="682" spans="1:5" x14ac:dyDescent="0.25">
      <c r="A682" s="8" t="str">
        <f t="shared" si="10"/>
        <v>402</v>
      </c>
      <c r="B682" s="8">
        <v>402</v>
      </c>
      <c r="C682" s="12" t="s">
        <v>871</v>
      </c>
      <c r="D682" s="8">
        <v>14</v>
      </c>
      <c r="E682" s="8" t="s">
        <v>548</v>
      </c>
    </row>
    <row r="683" spans="1:5" x14ac:dyDescent="0.25">
      <c r="A683" s="8" t="str">
        <f t="shared" si="10"/>
        <v>403</v>
      </c>
      <c r="B683" s="8">
        <v>403</v>
      </c>
      <c r="C683" s="12" t="s">
        <v>872</v>
      </c>
      <c r="D683" s="8">
        <v>14</v>
      </c>
      <c r="E683" s="8" t="s">
        <v>548</v>
      </c>
    </row>
    <row r="684" spans="1:5" x14ac:dyDescent="0.25">
      <c r="A684" s="8" t="str">
        <f t="shared" si="10"/>
        <v>404</v>
      </c>
      <c r="B684" s="8">
        <v>404</v>
      </c>
      <c r="C684" s="12" t="s">
        <v>873</v>
      </c>
      <c r="D684" s="8">
        <v>14</v>
      </c>
      <c r="E684" s="8" t="s">
        <v>548</v>
      </c>
    </row>
    <row r="685" spans="1:5" x14ac:dyDescent="0.25">
      <c r="A685" s="8" t="str">
        <f t="shared" si="10"/>
        <v>501</v>
      </c>
      <c r="B685" s="8">
        <v>501</v>
      </c>
      <c r="C685" s="12" t="s">
        <v>874</v>
      </c>
      <c r="D685" s="8">
        <v>14</v>
      </c>
      <c r="E685" s="8" t="s">
        <v>548</v>
      </c>
    </row>
    <row r="686" spans="1:5" x14ac:dyDescent="0.25">
      <c r="A686" s="8" t="str">
        <f t="shared" si="10"/>
        <v>502</v>
      </c>
      <c r="B686" s="8">
        <v>502</v>
      </c>
      <c r="C686" s="12" t="s">
        <v>875</v>
      </c>
      <c r="D686" s="8">
        <v>14</v>
      </c>
      <c r="E686" s="8" t="s">
        <v>548</v>
      </c>
    </row>
    <row r="687" spans="1:5" x14ac:dyDescent="0.25">
      <c r="A687" s="8" t="str">
        <f t="shared" si="10"/>
        <v>503</v>
      </c>
      <c r="B687" s="8">
        <v>503</v>
      </c>
      <c r="C687" s="12" t="s">
        <v>876</v>
      </c>
      <c r="D687" s="8">
        <v>14</v>
      </c>
      <c r="E687" s="8" t="s">
        <v>548</v>
      </c>
    </row>
    <row r="688" spans="1:5" x14ac:dyDescent="0.25">
      <c r="A688" s="8" t="str">
        <f t="shared" si="10"/>
        <v>504</v>
      </c>
      <c r="B688" s="8">
        <v>504</v>
      </c>
      <c r="C688" s="12" t="s">
        <v>877</v>
      </c>
      <c r="D688" s="8">
        <v>14</v>
      </c>
      <c r="E688" s="8" t="s">
        <v>548</v>
      </c>
    </row>
    <row r="689" spans="1:5" x14ac:dyDescent="0.25">
      <c r="A689" s="8" t="str">
        <f t="shared" si="10"/>
        <v>601</v>
      </c>
      <c r="B689" s="8">
        <v>601</v>
      </c>
      <c r="C689" s="12" t="s">
        <v>878</v>
      </c>
      <c r="D689" s="8">
        <v>14</v>
      </c>
      <c r="E689" s="8" t="s">
        <v>548</v>
      </c>
    </row>
    <row r="690" spans="1:5" x14ac:dyDescent="0.25">
      <c r="A690" s="8" t="str">
        <f t="shared" si="10"/>
        <v>701</v>
      </c>
      <c r="B690" s="8">
        <v>701</v>
      </c>
      <c r="C690" s="12" t="s">
        <v>879</v>
      </c>
      <c r="D690" s="8">
        <v>14</v>
      </c>
      <c r="E690" s="8" t="s">
        <v>548</v>
      </c>
    </row>
    <row r="691" spans="1:5" x14ac:dyDescent="0.25">
      <c r="A691" s="8" t="str">
        <f t="shared" si="10"/>
        <v>702</v>
      </c>
      <c r="B691" s="8">
        <v>702</v>
      </c>
      <c r="C691" s="12" t="s">
        <v>880</v>
      </c>
      <c r="D691" s="8">
        <v>14</v>
      </c>
      <c r="E691" s="8" t="s">
        <v>548</v>
      </c>
    </row>
    <row r="692" spans="1:5" x14ac:dyDescent="0.25">
      <c r="A692" s="8" t="str">
        <f t="shared" si="10"/>
        <v>703</v>
      </c>
      <c r="B692" s="8">
        <v>703</v>
      </c>
      <c r="C692" s="12" t="s">
        <v>881</v>
      </c>
      <c r="D692" s="8">
        <v>14</v>
      </c>
      <c r="E692" s="8" t="s">
        <v>548</v>
      </c>
    </row>
    <row r="693" spans="1:5" x14ac:dyDescent="0.25">
      <c r="A693" s="8" t="str">
        <f t="shared" si="10"/>
        <v>704</v>
      </c>
      <c r="B693" s="8">
        <v>704</v>
      </c>
      <c r="C693" s="12" t="s">
        <v>882</v>
      </c>
      <c r="D693" s="8">
        <v>14</v>
      </c>
      <c r="E693" s="8" t="s">
        <v>548</v>
      </c>
    </row>
    <row r="694" spans="1:5" x14ac:dyDescent="0.25">
      <c r="A694" s="8" t="str">
        <f t="shared" si="10"/>
        <v>705</v>
      </c>
      <c r="B694" s="8">
        <v>705</v>
      </c>
      <c r="C694" s="12" t="s">
        <v>883</v>
      </c>
      <c r="D694" s="8">
        <v>14</v>
      </c>
      <c r="E694" s="8" t="s">
        <v>548</v>
      </c>
    </row>
    <row r="695" spans="1:5" x14ac:dyDescent="0.25">
      <c r="A695" s="8" t="str">
        <f t="shared" si="10"/>
        <v>001</v>
      </c>
      <c r="B695" s="8" t="s">
        <v>262</v>
      </c>
      <c r="C695" s="12" t="s">
        <v>884</v>
      </c>
      <c r="D695" s="8">
        <v>14</v>
      </c>
      <c r="E695" s="8" t="s">
        <v>526</v>
      </c>
    </row>
    <row r="696" spans="1:5" x14ac:dyDescent="0.25">
      <c r="A696" s="8" t="str">
        <f t="shared" si="10"/>
        <v>002</v>
      </c>
      <c r="B696" s="8" t="s">
        <v>264</v>
      </c>
      <c r="C696" s="12" t="s">
        <v>885</v>
      </c>
      <c r="D696" s="8">
        <v>14</v>
      </c>
      <c r="E696" s="8" t="s">
        <v>526</v>
      </c>
    </row>
    <row r="697" spans="1:5" x14ac:dyDescent="0.25">
      <c r="A697" s="8" t="str">
        <f t="shared" si="10"/>
        <v>003</v>
      </c>
      <c r="B697" s="8" t="s">
        <v>67</v>
      </c>
      <c r="C697" s="12" t="s">
        <v>886</v>
      </c>
      <c r="D697" s="8">
        <v>14</v>
      </c>
      <c r="E697" s="8" t="s">
        <v>526</v>
      </c>
    </row>
    <row r="698" spans="1:5" x14ac:dyDescent="0.25">
      <c r="A698" s="8" t="str">
        <f t="shared" si="10"/>
        <v>004</v>
      </c>
      <c r="B698" s="8">
        <v>4</v>
      </c>
      <c r="C698" s="12" t="s">
        <v>887</v>
      </c>
      <c r="D698" s="8">
        <v>14</v>
      </c>
      <c r="E698" s="8" t="s">
        <v>526</v>
      </c>
    </row>
    <row r="699" spans="1:5" x14ac:dyDescent="0.25">
      <c r="A699" s="8" t="str">
        <f t="shared" si="10"/>
        <v>005</v>
      </c>
      <c r="B699" s="8">
        <v>5</v>
      </c>
      <c r="C699" s="12" t="s">
        <v>888</v>
      </c>
      <c r="D699" s="8">
        <v>14</v>
      </c>
      <c r="E699" s="8" t="s">
        <v>526</v>
      </c>
    </row>
    <row r="700" spans="1:5" x14ac:dyDescent="0.25">
      <c r="A700" s="8" t="str">
        <f t="shared" si="10"/>
        <v>001</v>
      </c>
      <c r="B700" s="8" t="s">
        <v>262</v>
      </c>
      <c r="C700" s="12" t="s">
        <v>889</v>
      </c>
      <c r="D700" s="8">
        <v>14</v>
      </c>
    </row>
    <row r="701" spans="1:5" x14ac:dyDescent="0.25">
      <c r="A701" s="8" t="str">
        <f t="shared" si="10"/>
        <v>001</v>
      </c>
      <c r="B701" s="8" t="s">
        <v>262</v>
      </c>
      <c r="C701" s="12" t="s">
        <v>890</v>
      </c>
      <c r="D701" s="8">
        <v>14</v>
      </c>
      <c r="E701" s="8" t="s">
        <v>300</v>
      </c>
    </row>
    <row r="702" spans="1:5" x14ac:dyDescent="0.25">
      <c r="A702" s="8" t="str">
        <f t="shared" si="10"/>
        <v>002</v>
      </c>
      <c r="B702" s="8" t="s">
        <v>264</v>
      </c>
      <c r="C702" s="12" t="s">
        <v>891</v>
      </c>
      <c r="D702" s="8">
        <v>14</v>
      </c>
      <c r="E702" s="8" t="s">
        <v>300</v>
      </c>
    </row>
    <row r="703" spans="1:5" x14ac:dyDescent="0.25">
      <c r="A703" s="8" t="str">
        <f t="shared" si="10"/>
        <v>001</v>
      </c>
      <c r="B703" s="8" t="s">
        <v>262</v>
      </c>
      <c r="C703" s="12" t="s">
        <v>892</v>
      </c>
      <c r="D703" s="8">
        <v>14</v>
      </c>
      <c r="E703" s="8" t="s">
        <v>520</v>
      </c>
    </row>
    <row r="704" spans="1:5" x14ac:dyDescent="0.25">
      <c r="A704" s="8" t="str">
        <f t="shared" si="10"/>
        <v>002</v>
      </c>
      <c r="B704" s="8" t="s">
        <v>264</v>
      </c>
      <c r="C704" s="12" t="s">
        <v>893</v>
      </c>
      <c r="D704" s="8">
        <v>14</v>
      </c>
      <c r="E704" s="8" t="s">
        <v>520</v>
      </c>
    </row>
    <row r="705" spans="1:5" x14ac:dyDescent="0.25">
      <c r="A705" s="8" t="str">
        <f t="shared" si="10"/>
        <v>003</v>
      </c>
      <c r="B705" s="8" t="s">
        <v>67</v>
      </c>
      <c r="C705" s="12" t="s">
        <v>894</v>
      </c>
      <c r="D705" s="8">
        <v>14</v>
      </c>
      <c r="E705" s="8" t="s">
        <v>520</v>
      </c>
    </row>
    <row r="706" spans="1:5" x14ac:dyDescent="0.25">
      <c r="A706" s="8" t="str">
        <f t="shared" si="10"/>
        <v>004</v>
      </c>
      <c r="B706" s="8" t="s">
        <v>69</v>
      </c>
      <c r="C706" s="12" t="s">
        <v>895</v>
      </c>
      <c r="D706" s="8">
        <v>14</v>
      </c>
      <c r="E706" s="8" t="s">
        <v>520</v>
      </c>
    </row>
    <row r="707" spans="1:5" x14ac:dyDescent="0.25">
      <c r="A707" s="8" t="str">
        <f t="shared" ref="A707:A770" si="11">TEXT(B707,"000")</f>
        <v>005</v>
      </c>
      <c r="B707" s="8" t="s">
        <v>78</v>
      </c>
      <c r="C707" s="12" t="s">
        <v>896</v>
      </c>
      <c r="D707" s="8">
        <v>14</v>
      </c>
      <c r="E707" s="8" t="s">
        <v>520</v>
      </c>
    </row>
    <row r="708" spans="1:5" x14ac:dyDescent="0.25">
      <c r="A708" s="8" t="str">
        <f t="shared" si="11"/>
        <v>006</v>
      </c>
      <c r="B708" s="8" t="s">
        <v>80</v>
      </c>
      <c r="C708" s="12" t="s">
        <v>897</v>
      </c>
      <c r="D708" s="8">
        <v>14</v>
      </c>
      <c r="E708" s="8" t="s">
        <v>520</v>
      </c>
    </row>
    <row r="709" spans="1:5" x14ac:dyDescent="0.25">
      <c r="A709" s="8" t="str">
        <f t="shared" si="11"/>
        <v>007</v>
      </c>
      <c r="B709" s="8" t="s">
        <v>71</v>
      </c>
      <c r="C709" s="12" t="s">
        <v>898</v>
      </c>
      <c r="D709" s="8">
        <v>14</v>
      </c>
      <c r="E709" s="8" t="s">
        <v>520</v>
      </c>
    </row>
    <row r="710" spans="1:5" x14ac:dyDescent="0.25">
      <c r="A710" s="8" t="str">
        <f t="shared" si="11"/>
        <v>001</v>
      </c>
      <c r="B710" s="8" t="s">
        <v>262</v>
      </c>
      <c r="C710" s="12" t="s">
        <v>899</v>
      </c>
      <c r="D710" s="8">
        <v>14</v>
      </c>
      <c r="E710" s="8" t="s">
        <v>452</v>
      </c>
    </row>
    <row r="711" spans="1:5" x14ac:dyDescent="0.25">
      <c r="A711" s="8" t="str">
        <f t="shared" si="11"/>
        <v>000</v>
      </c>
      <c r="B711" s="8" t="s">
        <v>65</v>
      </c>
      <c r="C711" s="12" t="s">
        <v>900</v>
      </c>
      <c r="D711" s="8">
        <v>15</v>
      </c>
    </row>
    <row r="712" spans="1:5" x14ac:dyDescent="0.25">
      <c r="A712" s="8" t="str">
        <f t="shared" si="11"/>
        <v>001</v>
      </c>
      <c r="B712" s="8" t="s">
        <v>262</v>
      </c>
      <c r="C712" s="12" t="s">
        <v>901</v>
      </c>
      <c r="D712" s="8">
        <v>15</v>
      </c>
    </row>
    <row r="713" spans="1:5" x14ac:dyDescent="0.25">
      <c r="A713" s="8" t="str">
        <f t="shared" si="11"/>
        <v>002</v>
      </c>
      <c r="B713" s="8" t="s">
        <v>264</v>
      </c>
      <c r="C713" s="12" t="s">
        <v>902</v>
      </c>
      <c r="D713" s="8">
        <v>15</v>
      </c>
    </row>
    <row r="714" spans="1:5" x14ac:dyDescent="0.25">
      <c r="A714" s="8" t="str">
        <f t="shared" si="11"/>
        <v>003</v>
      </c>
      <c r="B714" s="8" t="s">
        <v>67</v>
      </c>
      <c r="C714" s="12" t="s">
        <v>903</v>
      </c>
      <c r="D714" s="8">
        <v>15</v>
      </c>
    </row>
    <row r="715" spans="1:5" x14ac:dyDescent="0.25">
      <c r="A715" s="8" t="str">
        <f t="shared" si="11"/>
        <v>004</v>
      </c>
      <c r="B715" s="8" t="s">
        <v>69</v>
      </c>
      <c r="C715" s="12" t="s">
        <v>904</v>
      </c>
      <c r="D715" s="8">
        <v>15</v>
      </c>
    </row>
    <row r="716" spans="1:5" x14ac:dyDescent="0.25">
      <c r="A716" s="8" t="str">
        <f t="shared" si="11"/>
        <v>005</v>
      </c>
      <c r="B716" s="8" t="s">
        <v>78</v>
      </c>
      <c r="C716" s="12" t="s">
        <v>905</v>
      </c>
      <c r="D716" s="8">
        <v>15</v>
      </c>
    </row>
    <row r="717" spans="1:5" x14ac:dyDescent="0.25">
      <c r="A717" s="8" t="str">
        <f t="shared" si="11"/>
        <v>006</v>
      </c>
      <c r="B717" s="8" t="s">
        <v>80</v>
      </c>
      <c r="C717" s="12" t="s">
        <v>906</v>
      </c>
      <c r="D717" s="8">
        <v>15</v>
      </c>
    </row>
    <row r="718" spans="1:5" x14ac:dyDescent="0.25">
      <c r="A718" s="8" t="str">
        <f t="shared" si="11"/>
        <v>007</v>
      </c>
      <c r="B718" s="8" t="s">
        <v>71</v>
      </c>
      <c r="C718" s="12" t="s">
        <v>907</v>
      </c>
      <c r="D718" s="8">
        <v>15</v>
      </c>
    </row>
    <row r="719" spans="1:5" x14ac:dyDescent="0.25">
      <c r="A719" s="8" t="str">
        <f t="shared" si="11"/>
        <v>008</v>
      </c>
      <c r="B719" s="8" t="s">
        <v>271</v>
      </c>
      <c r="C719" s="12" t="s">
        <v>908</v>
      </c>
      <c r="D719" s="8">
        <v>15</v>
      </c>
    </row>
    <row r="720" spans="1:5" x14ac:dyDescent="0.25">
      <c r="A720" s="8" t="str">
        <f t="shared" si="11"/>
        <v>009</v>
      </c>
      <c r="B720" s="8" t="s">
        <v>273</v>
      </c>
      <c r="C720" s="12" t="s">
        <v>909</v>
      </c>
      <c r="D720" s="8">
        <v>15</v>
      </c>
    </row>
    <row r="721" spans="1:4" x14ac:dyDescent="0.25">
      <c r="A721" s="8" t="str">
        <f t="shared" si="11"/>
        <v>001</v>
      </c>
      <c r="B721" s="8" t="s">
        <v>262</v>
      </c>
      <c r="C721" s="12" t="s">
        <v>910</v>
      </c>
      <c r="D721" s="8">
        <v>15</v>
      </c>
    </row>
    <row r="722" spans="1:4" x14ac:dyDescent="0.25">
      <c r="A722" s="8" t="str">
        <f t="shared" si="11"/>
        <v>101</v>
      </c>
      <c r="B722" s="8">
        <v>101</v>
      </c>
      <c r="C722" s="12" t="s">
        <v>911</v>
      </c>
      <c r="D722" s="8">
        <v>15</v>
      </c>
    </row>
    <row r="723" spans="1:4" x14ac:dyDescent="0.25">
      <c r="A723" s="8" t="str">
        <f t="shared" si="11"/>
        <v>201</v>
      </c>
      <c r="B723" s="8">
        <v>201</v>
      </c>
      <c r="C723" s="12" t="s">
        <v>912</v>
      </c>
      <c r="D723" s="8">
        <v>15</v>
      </c>
    </row>
    <row r="724" spans="1:4" x14ac:dyDescent="0.25">
      <c r="A724" s="8" t="str">
        <f t="shared" si="11"/>
        <v>202</v>
      </c>
      <c r="B724" s="8">
        <v>202</v>
      </c>
      <c r="C724" s="12" t="s">
        <v>913</v>
      </c>
      <c r="D724" s="8">
        <v>15</v>
      </c>
    </row>
    <row r="725" spans="1:4" x14ac:dyDescent="0.25">
      <c r="A725" s="8" t="str">
        <f t="shared" si="11"/>
        <v>203</v>
      </c>
      <c r="B725" s="8">
        <v>203</v>
      </c>
      <c r="C725" s="12" t="s">
        <v>914</v>
      </c>
      <c r="D725" s="8">
        <v>15</v>
      </c>
    </row>
    <row r="726" spans="1:4" x14ac:dyDescent="0.25">
      <c r="A726" s="8" t="str">
        <f t="shared" si="11"/>
        <v>204</v>
      </c>
      <c r="B726" s="8">
        <v>204</v>
      </c>
      <c r="C726" s="12" t="s">
        <v>915</v>
      </c>
      <c r="D726" s="8">
        <v>15</v>
      </c>
    </row>
    <row r="727" spans="1:4" x14ac:dyDescent="0.25">
      <c r="A727" s="8" t="str">
        <f t="shared" si="11"/>
        <v>205</v>
      </c>
      <c r="B727" s="8">
        <v>205</v>
      </c>
      <c r="C727" s="12" t="s">
        <v>916</v>
      </c>
      <c r="D727" s="8">
        <v>15</v>
      </c>
    </row>
    <row r="728" spans="1:4" x14ac:dyDescent="0.25">
      <c r="A728" s="8" t="str">
        <f t="shared" si="11"/>
        <v>206</v>
      </c>
      <c r="B728" s="8">
        <v>206</v>
      </c>
      <c r="C728" s="12" t="s">
        <v>917</v>
      </c>
      <c r="D728" s="8">
        <v>15</v>
      </c>
    </row>
    <row r="729" spans="1:4" x14ac:dyDescent="0.25">
      <c r="A729" s="8" t="str">
        <f t="shared" si="11"/>
        <v>207</v>
      </c>
      <c r="B729" s="8">
        <v>207</v>
      </c>
      <c r="C729" s="12" t="s">
        <v>918</v>
      </c>
      <c r="D729" s="8">
        <v>15</v>
      </c>
    </row>
    <row r="730" spans="1:4" x14ac:dyDescent="0.25">
      <c r="A730" s="8" t="str">
        <f t="shared" si="11"/>
        <v>208</v>
      </c>
      <c r="B730" s="8">
        <v>208</v>
      </c>
      <c r="C730" s="12" t="s">
        <v>919</v>
      </c>
      <c r="D730" s="8">
        <v>15</v>
      </c>
    </row>
    <row r="731" spans="1:4" x14ac:dyDescent="0.25">
      <c r="A731" s="8" t="str">
        <f t="shared" si="11"/>
        <v>209</v>
      </c>
      <c r="B731" s="8">
        <v>209</v>
      </c>
      <c r="C731" s="12" t="s">
        <v>920</v>
      </c>
      <c r="D731" s="8">
        <v>15</v>
      </c>
    </row>
    <row r="732" spans="1:4" x14ac:dyDescent="0.25">
      <c r="A732" s="8" t="str">
        <f t="shared" si="11"/>
        <v>210</v>
      </c>
      <c r="B732" s="8">
        <v>210</v>
      </c>
      <c r="C732" s="12" t="s">
        <v>921</v>
      </c>
      <c r="D732" s="8">
        <v>15</v>
      </c>
    </row>
    <row r="733" spans="1:4" x14ac:dyDescent="0.25">
      <c r="A733" s="8" t="str">
        <f t="shared" si="11"/>
        <v>211</v>
      </c>
      <c r="B733" s="8">
        <v>211</v>
      </c>
      <c r="C733" s="12" t="s">
        <v>922</v>
      </c>
      <c r="D733" s="8">
        <v>15</v>
      </c>
    </row>
    <row r="734" spans="1:4" x14ac:dyDescent="0.25">
      <c r="A734" s="8" t="str">
        <f t="shared" si="11"/>
        <v>212</v>
      </c>
      <c r="B734" s="8">
        <v>212</v>
      </c>
      <c r="C734" s="12" t="s">
        <v>923</v>
      </c>
      <c r="D734" s="8">
        <v>15</v>
      </c>
    </row>
    <row r="735" spans="1:4" x14ac:dyDescent="0.25">
      <c r="A735" s="8" t="str">
        <f t="shared" si="11"/>
        <v>213</v>
      </c>
      <c r="B735" s="8">
        <v>213</v>
      </c>
      <c r="C735" s="12" t="s">
        <v>924</v>
      </c>
      <c r="D735" s="8">
        <v>15</v>
      </c>
    </row>
    <row r="736" spans="1:4" x14ac:dyDescent="0.25">
      <c r="A736" s="8" t="str">
        <f t="shared" si="11"/>
        <v>214</v>
      </c>
      <c r="B736" s="8">
        <v>214</v>
      </c>
      <c r="C736" s="12" t="s">
        <v>925</v>
      </c>
      <c r="D736" s="8">
        <v>15</v>
      </c>
    </row>
    <row r="737" spans="1:5" x14ac:dyDescent="0.25">
      <c r="A737" s="8" t="str">
        <f t="shared" si="11"/>
        <v>215</v>
      </c>
      <c r="B737" s="8">
        <v>215</v>
      </c>
      <c r="C737" s="12" t="s">
        <v>926</v>
      </c>
      <c r="D737" s="8">
        <v>15</v>
      </c>
    </row>
    <row r="738" spans="1:5" x14ac:dyDescent="0.25">
      <c r="A738" s="8" t="str">
        <f t="shared" si="11"/>
        <v>216</v>
      </c>
      <c r="B738" s="8">
        <v>216</v>
      </c>
      <c r="C738" s="12" t="s">
        <v>927</v>
      </c>
      <c r="D738" s="8">
        <v>15</v>
      </c>
    </row>
    <row r="739" spans="1:5" x14ac:dyDescent="0.25">
      <c r="A739" s="8" t="str">
        <f t="shared" si="11"/>
        <v>001</v>
      </c>
      <c r="B739" s="8" t="s">
        <v>262</v>
      </c>
      <c r="C739" s="12" t="s">
        <v>928</v>
      </c>
      <c r="D739" s="8">
        <v>15</v>
      </c>
      <c r="E739" s="8" t="s">
        <v>520</v>
      </c>
    </row>
    <row r="740" spans="1:5" x14ac:dyDescent="0.25">
      <c r="A740" s="8" t="str">
        <f t="shared" si="11"/>
        <v>001</v>
      </c>
      <c r="B740" s="8" t="s">
        <v>262</v>
      </c>
      <c r="C740" s="12" t="s">
        <v>929</v>
      </c>
      <c r="D740" s="8">
        <v>15</v>
      </c>
      <c r="E740" s="8" t="s">
        <v>296</v>
      </c>
    </row>
    <row r="741" spans="1:5" x14ac:dyDescent="0.25">
      <c r="A741" s="8" t="str">
        <f t="shared" si="11"/>
        <v>100</v>
      </c>
      <c r="B741" s="8" t="s">
        <v>90</v>
      </c>
      <c r="C741" s="12" t="s">
        <v>66</v>
      </c>
      <c r="D741" s="8">
        <v>16</v>
      </c>
      <c r="E741" s="8" t="s">
        <v>282</v>
      </c>
    </row>
    <row r="742" spans="1:5" x14ac:dyDescent="0.25">
      <c r="A742" s="8" t="str">
        <f t="shared" si="11"/>
        <v>101</v>
      </c>
      <c r="B742" s="8" t="s">
        <v>95</v>
      </c>
      <c r="C742" s="12" t="s">
        <v>930</v>
      </c>
      <c r="D742" s="8">
        <v>16</v>
      </c>
      <c r="E742" s="8" t="s">
        <v>282</v>
      </c>
    </row>
    <row r="743" spans="1:5" x14ac:dyDescent="0.25">
      <c r="A743" s="8" t="str">
        <f t="shared" si="11"/>
        <v>100</v>
      </c>
      <c r="B743" s="8" t="s">
        <v>90</v>
      </c>
      <c r="C743" s="12" t="s">
        <v>66</v>
      </c>
      <c r="D743" s="8">
        <v>16</v>
      </c>
      <c r="E743" s="8" t="s">
        <v>288</v>
      </c>
    </row>
    <row r="744" spans="1:5" x14ac:dyDescent="0.25">
      <c r="A744" s="8" t="str">
        <f t="shared" si="11"/>
        <v>101</v>
      </c>
      <c r="B744" s="8" t="s">
        <v>95</v>
      </c>
      <c r="C744" s="12" t="s">
        <v>931</v>
      </c>
      <c r="D744" s="8">
        <v>16</v>
      </c>
      <c r="E744" s="8" t="s">
        <v>288</v>
      </c>
    </row>
    <row r="745" spans="1:5" x14ac:dyDescent="0.25">
      <c r="A745" s="8" t="str">
        <f t="shared" si="11"/>
        <v>001</v>
      </c>
      <c r="B745" s="8" t="s">
        <v>262</v>
      </c>
      <c r="C745" s="12" t="s">
        <v>932</v>
      </c>
      <c r="D745" s="8">
        <v>17</v>
      </c>
      <c r="E745" s="8" t="s">
        <v>300</v>
      </c>
    </row>
    <row r="746" spans="1:5" x14ac:dyDescent="0.25">
      <c r="A746" s="8" t="str">
        <f t="shared" si="11"/>
        <v>002</v>
      </c>
      <c r="B746" s="8" t="s">
        <v>264</v>
      </c>
      <c r="C746" s="12" t="s">
        <v>933</v>
      </c>
      <c r="D746" s="8">
        <v>17</v>
      </c>
      <c r="E746" s="8" t="s">
        <v>300</v>
      </c>
    </row>
    <row r="747" spans="1:5" x14ac:dyDescent="0.25">
      <c r="A747" s="8" t="str">
        <f t="shared" si="11"/>
        <v>003</v>
      </c>
      <c r="B747" s="8" t="s">
        <v>67</v>
      </c>
      <c r="C747" s="12" t="s">
        <v>934</v>
      </c>
      <c r="D747" s="8">
        <v>17</v>
      </c>
      <c r="E747" s="8" t="s">
        <v>300</v>
      </c>
    </row>
    <row r="748" spans="1:5" x14ac:dyDescent="0.25">
      <c r="A748" s="8" t="str">
        <f t="shared" si="11"/>
        <v>004</v>
      </c>
      <c r="B748" s="8" t="s">
        <v>69</v>
      </c>
      <c r="C748" s="12" t="s">
        <v>935</v>
      </c>
      <c r="D748" s="8">
        <v>17</v>
      </c>
      <c r="E748" s="8" t="s">
        <v>300</v>
      </c>
    </row>
    <row r="749" spans="1:5" x14ac:dyDescent="0.25">
      <c r="A749" s="8" t="str">
        <f t="shared" si="11"/>
        <v>005</v>
      </c>
      <c r="B749" s="8" t="s">
        <v>78</v>
      </c>
      <c r="C749" s="12" t="s">
        <v>936</v>
      </c>
      <c r="D749" s="8">
        <v>17</v>
      </c>
      <c r="E749" s="8" t="s">
        <v>300</v>
      </c>
    </row>
    <row r="750" spans="1:5" x14ac:dyDescent="0.25">
      <c r="A750" s="8" t="str">
        <f t="shared" si="11"/>
        <v>006</v>
      </c>
      <c r="B750" s="8" t="s">
        <v>80</v>
      </c>
      <c r="C750" s="12" t="s">
        <v>277</v>
      </c>
      <c r="D750" s="8">
        <v>17</v>
      </c>
      <c r="E750" s="8" t="s">
        <v>300</v>
      </c>
    </row>
    <row r="751" spans="1:5" x14ac:dyDescent="0.25">
      <c r="A751" s="8" t="str">
        <f t="shared" si="11"/>
        <v>007</v>
      </c>
      <c r="B751" s="8" t="s">
        <v>71</v>
      </c>
      <c r="C751" s="12" t="s">
        <v>937</v>
      </c>
      <c r="D751" s="8">
        <v>17</v>
      </c>
      <c r="E751" s="8" t="s">
        <v>300</v>
      </c>
    </row>
    <row r="752" spans="1:5" x14ac:dyDescent="0.25">
      <c r="A752" s="8" t="str">
        <f t="shared" si="11"/>
        <v>101</v>
      </c>
      <c r="B752" s="8" t="s">
        <v>95</v>
      </c>
      <c r="C752" s="12" t="s">
        <v>938</v>
      </c>
      <c r="D752" s="8">
        <v>17</v>
      </c>
      <c r="E752" s="8" t="s">
        <v>300</v>
      </c>
    </row>
    <row r="753" spans="1:5" x14ac:dyDescent="0.25">
      <c r="A753" s="8" t="str">
        <f t="shared" si="11"/>
        <v>102</v>
      </c>
      <c r="B753" s="8" t="s">
        <v>97</v>
      </c>
      <c r="C753" s="12" t="s">
        <v>939</v>
      </c>
      <c r="D753" s="8">
        <v>17</v>
      </c>
      <c r="E753" s="8" t="s">
        <v>300</v>
      </c>
    </row>
    <row r="754" spans="1:5" x14ac:dyDescent="0.25">
      <c r="A754" s="8" t="str">
        <f t="shared" si="11"/>
        <v>103</v>
      </c>
      <c r="B754" s="8" t="s">
        <v>99</v>
      </c>
      <c r="C754" s="12" t="s">
        <v>940</v>
      </c>
      <c r="D754" s="8">
        <v>17</v>
      </c>
      <c r="E754" s="8" t="s">
        <v>300</v>
      </c>
    </row>
    <row r="755" spans="1:5" x14ac:dyDescent="0.25">
      <c r="A755" s="8" t="str">
        <f t="shared" si="11"/>
        <v>104</v>
      </c>
      <c r="B755" s="8" t="s">
        <v>124</v>
      </c>
      <c r="C755" s="12" t="s">
        <v>941</v>
      </c>
      <c r="D755" s="8">
        <v>17</v>
      </c>
      <c r="E755" s="8" t="s">
        <v>300</v>
      </c>
    </row>
    <row r="756" spans="1:5" x14ac:dyDescent="0.25">
      <c r="A756" s="8" t="str">
        <f t="shared" si="11"/>
        <v>105</v>
      </c>
      <c r="B756" s="8" t="s">
        <v>101</v>
      </c>
      <c r="C756" s="12" t="s">
        <v>942</v>
      </c>
      <c r="D756" s="8">
        <v>17</v>
      </c>
      <c r="E756" s="8" t="s">
        <v>300</v>
      </c>
    </row>
    <row r="757" spans="1:5" x14ac:dyDescent="0.25">
      <c r="A757" s="8" t="str">
        <f t="shared" si="11"/>
        <v>106</v>
      </c>
      <c r="B757" s="8" t="s">
        <v>127</v>
      </c>
      <c r="C757" s="12" t="s">
        <v>943</v>
      </c>
      <c r="D757" s="8">
        <v>17</v>
      </c>
      <c r="E757" s="8" t="s">
        <v>300</v>
      </c>
    </row>
    <row r="758" spans="1:5" x14ac:dyDescent="0.25">
      <c r="A758" s="8" t="str">
        <f t="shared" si="11"/>
        <v>107</v>
      </c>
      <c r="B758" s="8" t="s">
        <v>129</v>
      </c>
      <c r="C758" s="12" t="s">
        <v>944</v>
      </c>
      <c r="D758" s="8">
        <v>17</v>
      </c>
      <c r="E758" s="8" t="s">
        <v>300</v>
      </c>
    </row>
    <row r="759" spans="1:5" x14ac:dyDescent="0.25">
      <c r="A759" s="8" t="str">
        <f t="shared" si="11"/>
        <v>108</v>
      </c>
      <c r="B759" s="8" t="s">
        <v>131</v>
      </c>
      <c r="C759" s="12" t="s">
        <v>945</v>
      </c>
      <c r="D759" s="8">
        <v>17</v>
      </c>
      <c r="E759" s="8" t="s">
        <v>300</v>
      </c>
    </row>
    <row r="760" spans="1:5" x14ac:dyDescent="0.25">
      <c r="A760" s="8" t="str">
        <f t="shared" si="11"/>
        <v>109</v>
      </c>
      <c r="B760" s="8" t="s">
        <v>133</v>
      </c>
      <c r="C760" s="12" t="s">
        <v>946</v>
      </c>
      <c r="D760" s="8">
        <v>17</v>
      </c>
      <c r="E760" s="8" t="s">
        <v>300</v>
      </c>
    </row>
    <row r="761" spans="1:5" x14ac:dyDescent="0.25">
      <c r="A761" s="8" t="str">
        <f t="shared" si="11"/>
        <v>110</v>
      </c>
      <c r="B761" s="8" t="s">
        <v>134</v>
      </c>
      <c r="C761" s="12" t="s">
        <v>947</v>
      </c>
      <c r="D761" s="8">
        <v>17</v>
      </c>
      <c r="E761" s="8" t="s">
        <v>300</v>
      </c>
    </row>
    <row r="762" spans="1:5" x14ac:dyDescent="0.25">
      <c r="A762" s="8" t="str">
        <f t="shared" si="11"/>
        <v>111</v>
      </c>
      <c r="B762" s="8" t="s">
        <v>136</v>
      </c>
      <c r="C762" s="12" t="s">
        <v>948</v>
      </c>
      <c r="D762" s="8">
        <v>17</v>
      </c>
      <c r="E762" s="8" t="s">
        <v>300</v>
      </c>
    </row>
    <row r="763" spans="1:5" x14ac:dyDescent="0.25">
      <c r="A763" s="8" t="str">
        <f t="shared" si="11"/>
        <v>112</v>
      </c>
      <c r="B763" s="8" t="s">
        <v>949</v>
      </c>
      <c r="C763" s="12" t="s">
        <v>950</v>
      </c>
      <c r="D763" s="8">
        <v>17</v>
      </c>
      <c r="E763" s="8" t="s">
        <v>300</v>
      </c>
    </row>
    <row r="764" spans="1:5" x14ac:dyDescent="0.25">
      <c r="A764" s="8" t="str">
        <f t="shared" si="11"/>
        <v>113</v>
      </c>
      <c r="B764" s="8" t="s">
        <v>951</v>
      </c>
      <c r="C764" s="12" t="s">
        <v>952</v>
      </c>
      <c r="D764" s="8">
        <v>17</v>
      </c>
      <c r="E764" s="8" t="s">
        <v>300</v>
      </c>
    </row>
    <row r="765" spans="1:5" x14ac:dyDescent="0.25">
      <c r="A765" s="8" t="str">
        <f t="shared" si="11"/>
        <v>114</v>
      </c>
      <c r="B765" s="8" t="s">
        <v>953</v>
      </c>
      <c r="C765" s="12" t="s">
        <v>954</v>
      </c>
      <c r="D765" s="8">
        <v>17</v>
      </c>
      <c r="E765" s="8" t="s">
        <v>300</v>
      </c>
    </row>
    <row r="766" spans="1:5" x14ac:dyDescent="0.25">
      <c r="A766" s="8" t="str">
        <f t="shared" si="11"/>
        <v>001</v>
      </c>
      <c r="B766" s="8" t="s">
        <v>262</v>
      </c>
      <c r="C766" s="12" t="s">
        <v>937</v>
      </c>
      <c r="D766" s="8">
        <v>17</v>
      </c>
      <c r="E766" s="8" t="s">
        <v>514</v>
      </c>
    </row>
    <row r="767" spans="1:5" x14ac:dyDescent="0.25">
      <c r="A767" s="8" t="str">
        <f t="shared" si="11"/>
        <v>002</v>
      </c>
      <c r="B767" s="8" t="s">
        <v>264</v>
      </c>
      <c r="C767" s="12" t="s">
        <v>955</v>
      </c>
      <c r="D767" s="8">
        <v>17</v>
      </c>
      <c r="E767" s="8" t="s">
        <v>514</v>
      </c>
    </row>
    <row r="768" spans="1:5" x14ac:dyDescent="0.25">
      <c r="A768" s="8" t="str">
        <f t="shared" si="11"/>
        <v>003</v>
      </c>
      <c r="B768" s="8" t="s">
        <v>67</v>
      </c>
      <c r="C768" s="12" t="s">
        <v>956</v>
      </c>
      <c r="D768" s="8">
        <v>17</v>
      </c>
      <c r="E768" s="8" t="s">
        <v>514</v>
      </c>
    </row>
    <row r="769" spans="1:5" x14ac:dyDescent="0.25">
      <c r="A769" s="8" t="str">
        <f t="shared" si="11"/>
        <v>004</v>
      </c>
      <c r="B769" s="8" t="s">
        <v>69</v>
      </c>
      <c r="C769" s="12" t="s">
        <v>957</v>
      </c>
      <c r="D769" s="8">
        <v>17</v>
      </c>
      <c r="E769" s="8" t="s">
        <v>514</v>
      </c>
    </row>
    <row r="770" spans="1:5" x14ac:dyDescent="0.25">
      <c r="A770" s="8" t="str">
        <f t="shared" si="11"/>
        <v>005</v>
      </c>
      <c r="B770" s="8" t="s">
        <v>78</v>
      </c>
      <c r="C770" s="12" t="s">
        <v>958</v>
      </c>
      <c r="D770" s="8">
        <v>17</v>
      </c>
      <c r="E770" s="8" t="s">
        <v>514</v>
      </c>
    </row>
    <row r="771" spans="1:5" x14ac:dyDescent="0.25">
      <c r="A771" s="8" t="str">
        <f t="shared" ref="A771:A834" si="12">TEXT(B771,"000")</f>
        <v>006</v>
      </c>
      <c r="B771" s="8" t="s">
        <v>80</v>
      </c>
      <c r="C771" s="12" t="s">
        <v>959</v>
      </c>
      <c r="D771" s="8">
        <v>17</v>
      </c>
      <c r="E771" s="8" t="s">
        <v>514</v>
      </c>
    </row>
    <row r="772" spans="1:5" x14ac:dyDescent="0.25">
      <c r="A772" s="8" t="str">
        <f t="shared" si="12"/>
        <v>007</v>
      </c>
      <c r="B772" s="8" t="s">
        <v>71</v>
      </c>
      <c r="C772" s="12" t="s">
        <v>960</v>
      </c>
      <c r="D772" s="8">
        <v>17</v>
      </c>
      <c r="E772" s="8" t="s">
        <v>514</v>
      </c>
    </row>
    <row r="773" spans="1:5" x14ac:dyDescent="0.25">
      <c r="A773" s="8" t="str">
        <f t="shared" si="12"/>
        <v>008</v>
      </c>
      <c r="B773" s="8" t="s">
        <v>271</v>
      </c>
      <c r="C773" s="12" t="s">
        <v>961</v>
      </c>
      <c r="D773" s="8">
        <v>17</v>
      </c>
      <c r="E773" s="8" t="s">
        <v>514</v>
      </c>
    </row>
    <row r="774" spans="1:5" x14ac:dyDescent="0.25">
      <c r="A774" s="8" t="str">
        <f t="shared" si="12"/>
        <v>009</v>
      </c>
      <c r="B774" s="8" t="s">
        <v>273</v>
      </c>
      <c r="C774" s="12" t="s">
        <v>962</v>
      </c>
      <c r="D774" s="8">
        <v>17</v>
      </c>
      <c r="E774" s="8" t="s">
        <v>514</v>
      </c>
    </row>
    <row r="775" spans="1:5" x14ac:dyDescent="0.25">
      <c r="A775" s="8" t="str">
        <f t="shared" si="12"/>
        <v>010</v>
      </c>
      <c r="B775" s="8" t="s">
        <v>61</v>
      </c>
      <c r="C775" s="12" t="s">
        <v>963</v>
      </c>
      <c r="D775" s="8">
        <v>17</v>
      </c>
      <c r="E775" s="8" t="s">
        <v>514</v>
      </c>
    </row>
    <row r="776" spans="1:5" x14ac:dyDescent="0.25">
      <c r="A776" s="8" t="str">
        <f t="shared" si="12"/>
        <v>000</v>
      </c>
      <c r="C776" s="12" t="s">
        <v>277</v>
      </c>
      <c r="D776" s="8">
        <v>17</v>
      </c>
      <c r="E776" s="8" t="s">
        <v>514</v>
      </c>
    </row>
    <row r="777" spans="1:5" x14ac:dyDescent="0.25">
      <c r="A777" s="8" t="str">
        <f t="shared" si="12"/>
        <v>001</v>
      </c>
      <c r="B777" s="8" t="s">
        <v>262</v>
      </c>
      <c r="C777" s="12" t="s">
        <v>937</v>
      </c>
      <c r="D777" s="8">
        <v>17</v>
      </c>
      <c r="E777" s="8" t="s">
        <v>431</v>
      </c>
    </row>
    <row r="778" spans="1:5" x14ac:dyDescent="0.25">
      <c r="A778" s="8" t="str">
        <f t="shared" si="12"/>
        <v>002</v>
      </c>
      <c r="B778" s="8" t="s">
        <v>264</v>
      </c>
      <c r="C778" s="12" t="s">
        <v>955</v>
      </c>
      <c r="D778" s="8">
        <v>17</v>
      </c>
      <c r="E778" s="8" t="s">
        <v>431</v>
      </c>
    </row>
    <row r="779" spans="1:5" x14ac:dyDescent="0.25">
      <c r="A779" s="8" t="str">
        <f t="shared" si="12"/>
        <v>003</v>
      </c>
      <c r="B779" s="8" t="s">
        <v>67</v>
      </c>
      <c r="C779" s="12" t="s">
        <v>956</v>
      </c>
      <c r="D779" s="8">
        <v>17</v>
      </c>
      <c r="E779" s="8" t="s">
        <v>431</v>
      </c>
    </row>
    <row r="780" spans="1:5" x14ac:dyDescent="0.25">
      <c r="A780" s="8" t="str">
        <f t="shared" si="12"/>
        <v>004</v>
      </c>
      <c r="B780" s="8" t="s">
        <v>69</v>
      </c>
      <c r="C780" s="12" t="s">
        <v>957</v>
      </c>
      <c r="D780" s="8">
        <v>17</v>
      </c>
      <c r="E780" s="8" t="s">
        <v>431</v>
      </c>
    </row>
    <row r="781" spans="1:5" x14ac:dyDescent="0.25">
      <c r="A781" s="8" t="str">
        <f t="shared" si="12"/>
        <v>005</v>
      </c>
      <c r="B781" s="8" t="s">
        <v>78</v>
      </c>
      <c r="C781" s="12" t="s">
        <v>958</v>
      </c>
      <c r="D781" s="8">
        <v>17</v>
      </c>
      <c r="E781" s="8" t="s">
        <v>431</v>
      </c>
    </row>
    <row r="782" spans="1:5" x14ac:dyDescent="0.25">
      <c r="A782" s="8" t="str">
        <f t="shared" si="12"/>
        <v>006</v>
      </c>
      <c r="B782" s="8" t="s">
        <v>80</v>
      </c>
      <c r="C782" s="12" t="s">
        <v>959</v>
      </c>
      <c r="D782" s="8">
        <v>17</v>
      </c>
      <c r="E782" s="8" t="s">
        <v>431</v>
      </c>
    </row>
    <row r="783" spans="1:5" x14ac:dyDescent="0.25">
      <c r="A783" s="8" t="str">
        <f t="shared" si="12"/>
        <v>007</v>
      </c>
      <c r="B783" s="8" t="s">
        <v>71</v>
      </c>
      <c r="C783" s="12" t="s">
        <v>960</v>
      </c>
      <c r="D783" s="8">
        <v>17</v>
      </c>
      <c r="E783" s="8" t="s">
        <v>431</v>
      </c>
    </row>
    <row r="784" spans="1:5" x14ac:dyDescent="0.25">
      <c r="A784" s="8" t="str">
        <f t="shared" si="12"/>
        <v>008</v>
      </c>
      <c r="B784" s="8" t="s">
        <v>271</v>
      </c>
      <c r="C784" s="12" t="s">
        <v>961</v>
      </c>
      <c r="D784" s="8">
        <v>17</v>
      </c>
      <c r="E784" s="8" t="s">
        <v>431</v>
      </c>
    </row>
    <row r="785" spans="1:5" x14ac:dyDescent="0.25">
      <c r="A785" s="8" t="str">
        <f t="shared" si="12"/>
        <v>009</v>
      </c>
      <c r="B785" s="8" t="s">
        <v>273</v>
      </c>
      <c r="C785" s="12" t="s">
        <v>962</v>
      </c>
      <c r="D785" s="8">
        <v>17</v>
      </c>
      <c r="E785" s="8" t="s">
        <v>431</v>
      </c>
    </row>
    <row r="786" spans="1:5" x14ac:dyDescent="0.25">
      <c r="A786" s="8" t="str">
        <f t="shared" si="12"/>
        <v>010</v>
      </c>
      <c r="B786" s="8" t="s">
        <v>61</v>
      </c>
      <c r="C786" s="12" t="s">
        <v>964</v>
      </c>
      <c r="D786" s="8">
        <v>17</v>
      </c>
      <c r="E786" s="8" t="s">
        <v>431</v>
      </c>
    </row>
    <row r="787" spans="1:5" x14ac:dyDescent="0.25">
      <c r="A787" s="8" t="str">
        <f t="shared" si="12"/>
        <v>001</v>
      </c>
      <c r="B787" s="8" t="s">
        <v>262</v>
      </c>
      <c r="C787" s="12" t="s">
        <v>965</v>
      </c>
      <c r="D787" s="8">
        <v>17</v>
      </c>
      <c r="E787" s="8" t="s">
        <v>419</v>
      </c>
    </row>
    <row r="788" spans="1:5" x14ac:dyDescent="0.25">
      <c r="A788" s="8" t="str">
        <f t="shared" si="12"/>
        <v>002</v>
      </c>
      <c r="B788" s="8" t="s">
        <v>264</v>
      </c>
      <c r="C788" s="12" t="s">
        <v>966</v>
      </c>
      <c r="D788" s="8">
        <v>17</v>
      </c>
      <c r="E788" s="8" t="s">
        <v>419</v>
      </c>
    </row>
    <row r="789" spans="1:5" x14ac:dyDescent="0.25">
      <c r="A789" s="8" t="str">
        <f t="shared" si="12"/>
        <v>003</v>
      </c>
      <c r="B789" s="8" t="s">
        <v>67</v>
      </c>
      <c r="C789" s="12" t="s">
        <v>967</v>
      </c>
      <c r="D789" s="8">
        <v>17</v>
      </c>
      <c r="E789" s="8" t="s">
        <v>419</v>
      </c>
    </row>
    <row r="790" spans="1:5" x14ac:dyDescent="0.25">
      <c r="A790" s="8" t="str">
        <f t="shared" si="12"/>
        <v>004</v>
      </c>
      <c r="B790" s="8" t="s">
        <v>69</v>
      </c>
      <c r="C790" s="12" t="s">
        <v>968</v>
      </c>
      <c r="D790" s="8">
        <v>17</v>
      </c>
      <c r="E790" s="8" t="s">
        <v>419</v>
      </c>
    </row>
    <row r="791" spans="1:5" x14ac:dyDescent="0.25">
      <c r="A791" s="8" t="str">
        <f t="shared" si="12"/>
        <v>005</v>
      </c>
      <c r="B791" s="8" t="s">
        <v>78</v>
      </c>
      <c r="C791" s="12" t="s">
        <v>969</v>
      </c>
      <c r="D791" s="8">
        <v>17</v>
      </c>
      <c r="E791" s="8" t="s">
        <v>419</v>
      </c>
    </row>
    <row r="792" spans="1:5" x14ac:dyDescent="0.25">
      <c r="A792" s="8" t="str">
        <f t="shared" si="12"/>
        <v>006</v>
      </c>
      <c r="B792" s="8" t="s">
        <v>80</v>
      </c>
      <c r="C792" s="12" t="s">
        <v>970</v>
      </c>
      <c r="D792" s="8">
        <v>17</v>
      </c>
      <c r="E792" s="8" t="s">
        <v>419</v>
      </c>
    </row>
    <row r="793" spans="1:5" x14ac:dyDescent="0.25">
      <c r="A793" s="8" t="str">
        <f t="shared" si="12"/>
        <v>007</v>
      </c>
      <c r="B793" s="8" t="s">
        <v>71</v>
      </c>
      <c r="C793" s="12" t="s">
        <v>971</v>
      </c>
      <c r="D793" s="8">
        <v>17</v>
      </c>
      <c r="E793" s="8" t="s">
        <v>419</v>
      </c>
    </row>
    <row r="794" spans="1:5" x14ac:dyDescent="0.25">
      <c r="A794" s="8" t="str">
        <f t="shared" si="12"/>
        <v>008</v>
      </c>
      <c r="B794" s="8" t="s">
        <v>271</v>
      </c>
      <c r="C794" s="12" t="s">
        <v>972</v>
      </c>
      <c r="D794" s="8">
        <v>17</v>
      </c>
      <c r="E794" s="8" t="s">
        <v>419</v>
      </c>
    </row>
    <row r="795" spans="1:5" x14ac:dyDescent="0.25">
      <c r="A795" s="8" t="str">
        <f t="shared" si="12"/>
        <v>009</v>
      </c>
      <c r="B795" s="8" t="s">
        <v>273</v>
      </c>
      <c r="C795" s="12" t="s">
        <v>973</v>
      </c>
      <c r="D795" s="8">
        <v>17</v>
      </c>
      <c r="E795" s="8" t="s">
        <v>419</v>
      </c>
    </row>
    <row r="796" spans="1:5" x14ac:dyDescent="0.25">
      <c r="A796" s="8" t="str">
        <f t="shared" si="12"/>
        <v>010</v>
      </c>
      <c r="B796" s="8" t="s">
        <v>61</v>
      </c>
      <c r="C796" s="12" t="s">
        <v>974</v>
      </c>
      <c r="D796" s="8">
        <v>17</v>
      </c>
      <c r="E796" s="8" t="s">
        <v>419</v>
      </c>
    </row>
    <row r="797" spans="1:5" x14ac:dyDescent="0.25">
      <c r="A797" s="8" t="str">
        <f t="shared" si="12"/>
        <v>401</v>
      </c>
      <c r="B797" s="8">
        <v>401</v>
      </c>
      <c r="C797" s="12" t="s">
        <v>937</v>
      </c>
      <c r="D797" s="8">
        <v>17</v>
      </c>
      <c r="E797" s="8" t="s">
        <v>296</v>
      </c>
    </row>
    <row r="798" spans="1:5" x14ac:dyDescent="0.25">
      <c r="A798" s="8" t="str">
        <f t="shared" si="12"/>
        <v>402</v>
      </c>
      <c r="B798" s="8">
        <v>402</v>
      </c>
      <c r="C798" s="12" t="s">
        <v>955</v>
      </c>
      <c r="D798" s="8">
        <v>17</v>
      </c>
      <c r="E798" s="8" t="s">
        <v>296</v>
      </c>
    </row>
    <row r="799" spans="1:5" x14ac:dyDescent="0.25">
      <c r="A799" s="8" t="str">
        <f t="shared" si="12"/>
        <v>403</v>
      </c>
      <c r="B799" s="8">
        <v>403</v>
      </c>
      <c r="C799" s="12" t="s">
        <v>956</v>
      </c>
      <c r="D799" s="8">
        <v>17</v>
      </c>
      <c r="E799" s="8" t="s">
        <v>296</v>
      </c>
    </row>
    <row r="800" spans="1:5" x14ac:dyDescent="0.25">
      <c r="A800" s="8" t="str">
        <f t="shared" si="12"/>
        <v>501</v>
      </c>
      <c r="B800" s="8">
        <v>501</v>
      </c>
      <c r="C800" s="12" t="s">
        <v>975</v>
      </c>
      <c r="D800" s="8">
        <v>17</v>
      </c>
    </row>
    <row r="801" spans="1:5" x14ac:dyDescent="0.25">
      <c r="A801" s="8" t="str">
        <f t="shared" si="12"/>
        <v>502</v>
      </c>
      <c r="B801" s="8">
        <v>502</v>
      </c>
      <c r="C801" s="12" t="s">
        <v>976</v>
      </c>
      <c r="D801" s="8">
        <v>17</v>
      </c>
    </row>
    <row r="802" spans="1:5" x14ac:dyDescent="0.25">
      <c r="A802" s="8" t="str">
        <f t="shared" si="12"/>
        <v>503</v>
      </c>
      <c r="B802" s="8">
        <v>503</v>
      </c>
      <c r="C802" s="12" t="s">
        <v>977</v>
      </c>
      <c r="D802" s="8">
        <v>17</v>
      </c>
    </row>
    <row r="803" spans="1:5" x14ac:dyDescent="0.25">
      <c r="A803" s="8" t="str">
        <f t="shared" si="12"/>
        <v>001</v>
      </c>
      <c r="B803" s="8" t="s">
        <v>262</v>
      </c>
      <c r="C803" s="12" t="s">
        <v>277</v>
      </c>
      <c r="D803" s="8">
        <v>17</v>
      </c>
      <c r="E803" s="8" t="s">
        <v>288</v>
      </c>
    </row>
    <row r="804" spans="1:5" x14ac:dyDescent="0.25">
      <c r="A804" s="8" t="str">
        <f t="shared" si="12"/>
        <v>002</v>
      </c>
      <c r="B804" s="8" t="s">
        <v>264</v>
      </c>
      <c r="C804" s="12" t="s">
        <v>955</v>
      </c>
      <c r="D804" s="8">
        <v>17</v>
      </c>
      <c r="E804" s="8" t="s">
        <v>288</v>
      </c>
    </row>
    <row r="805" spans="1:5" x14ac:dyDescent="0.25">
      <c r="A805" s="8" t="str">
        <f t="shared" si="12"/>
        <v>003</v>
      </c>
      <c r="B805" s="8" t="s">
        <v>67</v>
      </c>
      <c r="C805" s="12" t="s">
        <v>956</v>
      </c>
      <c r="D805" s="8">
        <v>17</v>
      </c>
      <c r="E805" s="8" t="s">
        <v>288</v>
      </c>
    </row>
    <row r="806" spans="1:5" x14ac:dyDescent="0.25">
      <c r="A806" s="8" t="str">
        <f t="shared" si="12"/>
        <v>004</v>
      </c>
      <c r="B806" s="8" t="s">
        <v>69</v>
      </c>
      <c r="C806" s="12" t="s">
        <v>957</v>
      </c>
      <c r="D806" s="8">
        <v>17</v>
      </c>
      <c r="E806" s="8" t="s">
        <v>288</v>
      </c>
    </row>
    <row r="807" spans="1:5" x14ac:dyDescent="0.25">
      <c r="A807" s="8" t="str">
        <f t="shared" si="12"/>
        <v>005</v>
      </c>
      <c r="B807" s="8" t="s">
        <v>78</v>
      </c>
      <c r="C807" s="12" t="s">
        <v>958</v>
      </c>
      <c r="D807" s="8">
        <v>17</v>
      </c>
      <c r="E807" s="8" t="s">
        <v>288</v>
      </c>
    </row>
    <row r="808" spans="1:5" x14ac:dyDescent="0.25">
      <c r="A808" s="8" t="str">
        <f t="shared" si="12"/>
        <v>006</v>
      </c>
      <c r="B808" s="8" t="s">
        <v>80</v>
      </c>
      <c r="C808" s="12" t="s">
        <v>959</v>
      </c>
      <c r="D808" s="8">
        <v>17</v>
      </c>
      <c r="E808" s="8" t="s">
        <v>288</v>
      </c>
    </row>
    <row r="809" spans="1:5" x14ac:dyDescent="0.25">
      <c r="A809" s="8" t="str">
        <f t="shared" si="12"/>
        <v>007</v>
      </c>
      <c r="B809" s="8" t="s">
        <v>71</v>
      </c>
      <c r="C809" s="12" t="s">
        <v>960</v>
      </c>
      <c r="D809" s="8">
        <v>17</v>
      </c>
      <c r="E809" s="8" t="s">
        <v>288</v>
      </c>
    </row>
    <row r="810" spans="1:5" x14ac:dyDescent="0.25">
      <c r="A810" s="8" t="str">
        <f t="shared" si="12"/>
        <v>008</v>
      </c>
      <c r="B810" s="8" t="s">
        <v>271</v>
      </c>
      <c r="C810" s="12" t="s">
        <v>961</v>
      </c>
      <c r="D810" s="8">
        <v>17</v>
      </c>
      <c r="E810" s="8" t="s">
        <v>288</v>
      </c>
    </row>
    <row r="811" spans="1:5" x14ac:dyDescent="0.25">
      <c r="A811" s="8" t="str">
        <f t="shared" si="12"/>
        <v>009</v>
      </c>
      <c r="B811" s="8" t="s">
        <v>273</v>
      </c>
      <c r="C811" s="12" t="s">
        <v>962</v>
      </c>
      <c r="D811" s="8">
        <v>17</v>
      </c>
      <c r="E811" s="8" t="s">
        <v>288</v>
      </c>
    </row>
    <row r="812" spans="1:5" x14ac:dyDescent="0.25">
      <c r="A812" s="8" t="str">
        <f t="shared" si="12"/>
        <v>010</v>
      </c>
      <c r="B812" s="8" t="s">
        <v>61</v>
      </c>
      <c r="C812" s="12" t="s">
        <v>963</v>
      </c>
      <c r="D812" s="8">
        <v>17</v>
      </c>
      <c r="E812" s="8" t="s">
        <v>288</v>
      </c>
    </row>
    <row r="813" spans="1:5" x14ac:dyDescent="0.25">
      <c r="A813" s="8" t="str">
        <f t="shared" si="12"/>
        <v>011</v>
      </c>
      <c r="B813" s="8" t="s">
        <v>74</v>
      </c>
      <c r="C813" s="12" t="s">
        <v>978</v>
      </c>
      <c r="D813" s="8">
        <v>17</v>
      </c>
      <c r="E813" s="8" t="s">
        <v>288</v>
      </c>
    </row>
    <row r="814" spans="1:5" x14ac:dyDescent="0.25">
      <c r="A814" s="8" t="str">
        <f t="shared" si="12"/>
        <v>012</v>
      </c>
      <c r="B814" s="8" t="s">
        <v>76</v>
      </c>
      <c r="C814" s="12" t="s">
        <v>979</v>
      </c>
      <c r="D814" s="8">
        <v>17</v>
      </c>
      <c r="E814" s="8" t="s">
        <v>288</v>
      </c>
    </row>
    <row r="815" spans="1:5" x14ac:dyDescent="0.25">
      <c r="A815" s="8" t="str">
        <f t="shared" si="12"/>
        <v>013</v>
      </c>
      <c r="B815" s="8" t="s">
        <v>278</v>
      </c>
      <c r="C815" s="12" t="s">
        <v>980</v>
      </c>
      <c r="D815" s="8">
        <v>17</v>
      </c>
      <c r="E815" s="8" t="s">
        <v>288</v>
      </c>
    </row>
    <row r="816" spans="1:5" x14ac:dyDescent="0.25">
      <c r="A816" s="8" t="str">
        <f t="shared" si="12"/>
        <v>014</v>
      </c>
      <c r="B816" s="8" t="s">
        <v>280</v>
      </c>
      <c r="C816" s="12" t="s">
        <v>981</v>
      </c>
      <c r="D816" s="8">
        <v>17</v>
      </c>
      <c r="E816" s="8" t="s">
        <v>288</v>
      </c>
    </row>
    <row r="817" spans="1:5" x14ac:dyDescent="0.25">
      <c r="A817" s="8" t="str">
        <f t="shared" si="12"/>
        <v>015</v>
      </c>
      <c r="B817" s="8" t="s">
        <v>346</v>
      </c>
      <c r="C817" s="12" t="s">
        <v>982</v>
      </c>
      <c r="D817" s="8">
        <v>17</v>
      </c>
      <c r="E817" s="8" t="s">
        <v>288</v>
      </c>
    </row>
    <row r="818" spans="1:5" x14ac:dyDescent="0.25">
      <c r="A818" s="8" t="str">
        <f t="shared" si="12"/>
        <v>001</v>
      </c>
      <c r="B818" s="8" t="s">
        <v>262</v>
      </c>
      <c r="C818" s="12" t="s">
        <v>277</v>
      </c>
      <c r="D818" s="8">
        <v>17</v>
      </c>
    </row>
    <row r="819" spans="1:5" x14ac:dyDescent="0.25">
      <c r="A819" s="8" t="str">
        <f t="shared" si="12"/>
        <v>002</v>
      </c>
      <c r="B819" s="8" t="s">
        <v>264</v>
      </c>
      <c r="C819" s="12" t="s">
        <v>937</v>
      </c>
      <c r="D819" s="8">
        <v>17</v>
      </c>
    </row>
    <row r="820" spans="1:5" x14ac:dyDescent="0.25">
      <c r="A820" s="8" t="str">
        <f t="shared" si="12"/>
        <v>003</v>
      </c>
      <c r="B820" s="8" t="s">
        <v>67</v>
      </c>
      <c r="C820" s="12" t="s">
        <v>955</v>
      </c>
      <c r="D820" s="8">
        <v>17</v>
      </c>
    </row>
    <row r="821" spans="1:5" x14ac:dyDescent="0.25">
      <c r="A821" s="8" t="str">
        <f t="shared" si="12"/>
        <v>004</v>
      </c>
      <c r="B821" s="8" t="s">
        <v>69</v>
      </c>
      <c r="C821" s="12" t="s">
        <v>956</v>
      </c>
      <c r="D821" s="8">
        <v>17</v>
      </c>
    </row>
    <row r="822" spans="1:5" x14ac:dyDescent="0.25">
      <c r="A822" s="8" t="str">
        <f t="shared" si="12"/>
        <v>005</v>
      </c>
      <c r="B822" s="8" t="s">
        <v>78</v>
      </c>
      <c r="C822" s="12" t="s">
        <v>957</v>
      </c>
      <c r="D822" s="8">
        <v>17</v>
      </c>
    </row>
    <row r="823" spans="1:5" x14ac:dyDescent="0.25">
      <c r="A823" s="8" t="str">
        <f t="shared" si="12"/>
        <v>006</v>
      </c>
      <c r="B823" s="8" t="s">
        <v>80</v>
      </c>
      <c r="C823" s="12" t="s">
        <v>958</v>
      </c>
      <c r="D823" s="8">
        <v>17</v>
      </c>
    </row>
    <row r="824" spans="1:5" x14ac:dyDescent="0.25">
      <c r="A824" s="8" t="str">
        <f t="shared" si="12"/>
        <v>007</v>
      </c>
      <c r="B824" s="8" t="s">
        <v>71</v>
      </c>
      <c r="C824" s="12" t="s">
        <v>959</v>
      </c>
      <c r="D824" s="8">
        <v>17</v>
      </c>
    </row>
    <row r="825" spans="1:5" x14ac:dyDescent="0.25">
      <c r="A825" s="8" t="str">
        <f t="shared" si="12"/>
        <v>008</v>
      </c>
      <c r="B825" s="8" t="s">
        <v>271</v>
      </c>
      <c r="C825" s="12" t="s">
        <v>960</v>
      </c>
      <c r="D825" s="8">
        <v>17</v>
      </c>
    </row>
    <row r="826" spans="1:5" x14ac:dyDescent="0.25">
      <c r="A826" s="8" t="str">
        <f t="shared" si="12"/>
        <v>009</v>
      </c>
      <c r="B826" s="8" t="s">
        <v>273</v>
      </c>
      <c r="C826" s="12" t="s">
        <v>961</v>
      </c>
      <c r="D826" s="8">
        <v>17</v>
      </c>
    </row>
    <row r="827" spans="1:5" x14ac:dyDescent="0.25">
      <c r="A827" s="8" t="str">
        <f t="shared" si="12"/>
        <v>010</v>
      </c>
      <c r="B827" s="8" t="s">
        <v>61</v>
      </c>
      <c r="C827" s="12" t="s">
        <v>962</v>
      </c>
      <c r="D827" s="8">
        <v>17</v>
      </c>
    </row>
    <row r="828" spans="1:5" x14ac:dyDescent="0.25">
      <c r="A828" s="8" t="str">
        <f t="shared" si="12"/>
        <v>011</v>
      </c>
      <c r="B828" s="8" t="s">
        <v>74</v>
      </c>
      <c r="C828" s="12" t="s">
        <v>963</v>
      </c>
      <c r="D828" s="8">
        <v>17</v>
      </c>
    </row>
    <row r="829" spans="1:5" x14ac:dyDescent="0.25">
      <c r="A829" s="8" t="str">
        <f t="shared" si="12"/>
        <v>012</v>
      </c>
      <c r="B829" s="8" t="s">
        <v>76</v>
      </c>
      <c r="C829" s="12" t="s">
        <v>978</v>
      </c>
      <c r="D829" s="8">
        <v>17</v>
      </c>
    </row>
    <row r="830" spans="1:5" x14ac:dyDescent="0.25">
      <c r="A830" s="8" t="str">
        <f t="shared" si="12"/>
        <v>013</v>
      </c>
      <c r="B830" s="8" t="s">
        <v>278</v>
      </c>
      <c r="C830" s="12" t="s">
        <v>979</v>
      </c>
      <c r="D830" s="8">
        <v>17</v>
      </c>
    </row>
    <row r="831" spans="1:5" x14ac:dyDescent="0.25">
      <c r="A831" s="8" t="str">
        <f t="shared" si="12"/>
        <v>014</v>
      </c>
      <c r="B831" s="8" t="s">
        <v>280</v>
      </c>
      <c r="C831" s="12" t="s">
        <v>980</v>
      </c>
      <c r="D831" s="8">
        <v>17</v>
      </c>
    </row>
    <row r="832" spans="1:5" x14ac:dyDescent="0.25">
      <c r="A832" s="8" t="str">
        <f t="shared" si="12"/>
        <v>015</v>
      </c>
      <c r="B832" s="8" t="s">
        <v>346</v>
      </c>
      <c r="C832" s="12" t="s">
        <v>981</v>
      </c>
      <c r="D832" s="8">
        <v>17</v>
      </c>
    </row>
    <row r="833" spans="1:5" x14ac:dyDescent="0.25">
      <c r="A833" s="8" t="str">
        <f t="shared" si="12"/>
        <v>001</v>
      </c>
      <c r="B833" s="8" t="s">
        <v>262</v>
      </c>
      <c r="C833" s="12" t="s">
        <v>983</v>
      </c>
      <c r="D833" s="8">
        <v>18</v>
      </c>
      <c r="E833" s="8" t="s">
        <v>282</v>
      </c>
    </row>
    <row r="834" spans="1:5" x14ac:dyDescent="0.25">
      <c r="A834" s="8" t="str">
        <f t="shared" si="12"/>
        <v>002</v>
      </c>
      <c r="B834" s="8" t="s">
        <v>264</v>
      </c>
      <c r="C834" s="12" t="s">
        <v>984</v>
      </c>
      <c r="D834" s="8">
        <v>18</v>
      </c>
      <c r="E834" s="8" t="s">
        <v>282</v>
      </c>
    </row>
    <row r="835" spans="1:5" x14ac:dyDescent="0.25">
      <c r="A835" s="8" t="str">
        <f t="shared" ref="A835:A898" si="13">TEXT(B835,"000")</f>
        <v>003</v>
      </c>
      <c r="B835" s="8" t="s">
        <v>67</v>
      </c>
      <c r="C835" s="12" t="s">
        <v>985</v>
      </c>
      <c r="D835" s="8">
        <v>18</v>
      </c>
      <c r="E835" s="8" t="s">
        <v>282</v>
      </c>
    </row>
    <row r="836" spans="1:5" x14ac:dyDescent="0.25">
      <c r="A836" s="8" t="str">
        <f t="shared" si="13"/>
        <v>004</v>
      </c>
      <c r="B836" s="8" t="s">
        <v>69</v>
      </c>
      <c r="C836" s="12" t="s">
        <v>986</v>
      </c>
      <c r="D836" s="8">
        <v>18</v>
      </c>
      <c r="E836" s="8" t="s">
        <v>282</v>
      </c>
    </row>
    <row r="837" spans="1:5" x14ac:dyDescent="0.25">
      <c r="A837" s="8" t="str">
        <f t="shared" si="13"/>
        <v>005</v>
      </c>
      <c r="B837" s="8" t="s">
        <v>78</v>
      </c>
      <c r="C837" s="12" t="s">
        <v>987</v>
      </c>
      <c r="D837" s="8">
        <v>18</v>
      </c>
      <c r="E837" s="8" t="s">
        <v>282</v>
      </c>
    </row>
    <row r="838" spans="1:5" x14ac:dyDescent="0.25">
      <c r="A838" s="8" t="str">
        <f t="shared" si="13"/>
        <v>006</v>
      </c>
      <c r="B838" s="8" t="s">
        <v>80</v>
      </c>
      <c r="C838" s="12" t="s">
        <v>988</v>
      </c>
      <c r="D838" s="8">
        <v>18</v>
      </c>
      <c r="E838" s="8" t="s">
        <v>282</v>
      </c>
    </row>
    <row r="839" spans="1:5" x14ac:dyDescent="0.25">
      <c r="A839" s="8" t="str">
        <f t="shared" si="13"/>
        <v>007</v>
      </c>
      <c r="B839" s="8" t="s">
        <v>71</v>
      </c>
      <c r="C839" s="12" t="s">
        <v>989</v>
      </c>
      <c r="D839" s="8">
        <v>18</v>
      </c>
      <c r="E839" s="8" t="s">
        <v>282</v>
      </c>
    </row>
    <row r="840" spans="1:5" x14ac:dyDescent="0.25">
      <c r="A840" s="8" t="str">
        <f t="shared" si="13"/>
        <v>008</v>
      </c>
      <c r="B840" s="8" t="s">
        <v>271</v>
      </c>
      <c r="C840" s="12" t="s">
        <v>990</v>
      </c>
      <c r="D840" s="8">
        <v>18</v>
      </c>
      <c r="E840" s="8" t="s">
        <v>282</v>
      </c>
    </row>
    <row r="841" spans="1:5" x14ac:dyDescent="0.25">
      <c r="A841" s="8" t="str">
        <f t="shared" si="13"/>
        <v>009</v>
      </c>
      <c r="B841" s="8" t="s">
        <v>273</v>
      </c>
      <c r="C841" s="12" t="s">
        <v>991</v>
      </c>
      <c r="D841" s="8">
        <v>18</v>
      </c>
      <c r="E841" s="8" t="s">
        <v>282</v>
      </c>
    </row>
    <row r="842" spans="1:5" x14ac:dyDescent="0.25">
      <c r="A842" s="8" t="str">
        <f t="shared" si="13"/>
        <v>000</v>
      </c>
      <c r="B842" s="8" t="s">
        <v>65</v>
      </c>
      <c r="C842" s="12" t="s">
        <v>66</v>
      </c>
      <c r="D842" s="8">
        <v>18</v>
      </c>
      <c r="E842" s="8" t="s">
        <v>288</v>
      </c>
    </row>
    <row r="843" spans="1:5" x14ac:dyDescent="0.25">
      <c r="A843" s="8" t="str">
        <f t="shared" si="13"/>
        <v>001</v>
      </c>
      <c r="B843" s="8" t="s">
        <v>262</v>
      </c>
      <c r="C843" s="12" t="s">
        <v>992</v>
      </c>
      <c r="D843" s="8">
        <v>18</v>
      </c>
      <c r="E843" s="8" t="s">
        <v>288</v>
      </c>
    </row>
    <row r="844" spans="1:5" x14ac:dyDescent="0.25">
      <c r="A844" s="8" t="str">
        <f t="shared" si="13"/>
        <v>002</v>
      </c>
      <c r="B844" s="8" t="s">
        <v>264</v>
      </c>
      <c r="C844" s="12" t="s">
        <v>993</v>
      </c>
      <c r="D844" s="8">
        <v>18</v>
      </c>
      <c r="E844" s="8" t="s">
        <v>288</v>
      </c>
    </row>
    <row r="845" spans="1:5" x14ac:dyDescent="0.25">
      <c r="A845" s="8" t="str">
        <f t="shared" si="13"/>
        <v>003</v>
      </c>
      <c r="B845" s="8" t="s">
        <v>67</v>
      </c>
      <c r="C845" s="12" t="s">
        <v>994</v>
      </c>
      <c r="D845" s="8">
        <v>18</v>
      </c>
      <c r="E845" s="8" t="s">
        <v>288</v>
      </c>
    </row>
    <row r="846" spans="1:5" x14ac:dyDescent="0.25">
      <c r="A846" s="8" t="str">
        <f t="shared" si="13"/>
        <v>004</v>
      </c>
      <c r="B846" s="8" t="s">
        <v>69</v>
      </c>
      <c r="C846" s="12" t="s">
        <v>995</v>
      </c>
      <c r="D846" s="8">
        <v>18</v>
      </c>
      <c r="E846" s="8" t="s">
        <v>288</v>
      </c>
    </row>
    <row r="847" spans="1:5" x14ac:dyDescent="0.25">
      <c r="A847" s="8" t="str">
        <f t="shared" si="13"/>
        <v>005</v>
      </c>
      <c r="B847" s="8" t="s">
        <v>78</v>
      </c>
      <c r="C847" s="12" t="s">
        <v>996</v>
      </c>
      <c r="D847" s="8">
        <v>18</v>
      </c>
      <c r="E847" s="8" t="s">
        <v>288</v>
      </c>
    </row>
    <row r="848" spans="1:5" x14ac:dyDescent="0.25">
      <c r="A848" s="8" t="str">
        <f t="shared" si="13"/>
        <v>006</v>
      </c>
      <c r="B848" s="8" t="s">
        <v>80</v>
      </c>
      <c r="C848" s="12" t="s">
        <v>997</v>
      </c>
      <c r="D848" s="8">
        <v>18</v>
      </c>
      <c r="E848" s="8" t="s">
        <v>288</v>
      </c>
    </row>
    <row r="849" spans="1:5" x14ac:dyDescent="0.25">
      <c r="A849" s="8" t="str">
        <f t="shared" si="13"/>
        <v>007</v>
      </c>
      <c r="B849" s="8" t="s">
        <v>71</v>
      </c>
      <c r="C849" s="12" t="s">
        <v>998</v>
      </c>
      <c r="D849" s="8">
        <v>18</v>
      </c>
      <c r="E849" s="8" t="s">
        <v>288</v>
      </c>
    </row>
    <row r="850" spans="1:5" x14ac:dyDescent="0.25">
      <c r="A850" s="8" t="str">
        <f t="shared" si="13"/>
        <v>008</v>
      </c>
      <c r="B850" s="8" t="s">
        <v>271</v>
      </c>
      <c r="C850" s="12" t="s">
        <v>999</v>
      </c>
      <c r="D850" s="8">
        <v>18</v>
      </c>
      <c r="E850" s="8" t="s">
        <v>288</v>
      </c>
    </row>
    <row r="851" spans="1:5" x14ac:dyDescent="0.25">
      <c r="A851" s="8" t="str">
        <f t="shared" si="13"/>
        <v>009</v>
      </c>
      <c r="B851" s="8" t="s">
        <v>273</v>
      </c>
      <c r="C851" s="12" t="s">
        <v>1000</v>
      </c>
      <c r="D851" s="8">
        <v>18</v>
      </c>
      <c r="E851" s="8" t="s">
        <v>288</v>
      </c>
    </row>
    <row r="852" spans="1:5" x14ac:dyDescent="0.25">
      <c r="A852" s="8" t="str">
        <f t="shared" si="13"/>
        <v>010</v>
      </c>
      <c r="B852" s="8" t="s">
        <v>61</v>
      </c>
      <c r="C852" s="12" t="s">
        <v>1001</v>
      </c>
      <c r="D852" s="8">
        <v>18</v>
      </c>
      <c r="E852" s="8" t="s">
        <v>288</v>
      </c>
    </row>
    <row r="853" spans="1:5" x14ac:dyDescent="0.25">
      <c r="A853" s="8" t="str">
        <f t="shared" si="13"/>
        <v>011</v>
      </c>
      <c r="B853" s="8" t="s">
        <v>74</v>
      </c>
      <c r="C853" s="12" t="s">
        <v>1002</v>
      </c>
      <c r="D853" s="8">
        <v>18</v>
      </c>
      <c r="E853" s="8" t="s">
        <v>288</v>
      </c>
    </row>
    <row r="854" spans="1:5" x14ac:dyDescent="0.25">
      <c r="A854" s="8" t="str">
        <f t="shared" si="13"/>
        <v>014</v>
      </c>
      <c r="B854" s="8" t="s">
        <v>280</v>
      </c>
      <c r="C854" s="12" t="s">
        <v>1003</v>
      </c>
      <c r="D854" s="8">
        <v>18</v>
      </c>
      <c r="E854" s="8" t="s">
        <v>288</v>
      </c>
    </row>
    <row r="855" spans="1:5" x14ac:dyDescent="0.25">
      <c r="A855" s="8" t="str">
        <f t="shared" si="13"/>
        <v>015</v>
      </c>
      <c r="B855" s="8" t="s">
        <v>346</v>
      </c>
      <c r="C855" s="12" t="s">
        <v>1004</v>
      </c>
      <c r="D855" s="8">
        <v>18</v>
      </c>
      <c r="E855" s="8" t="s">
        <v>288</v>
      </c>
    </row>
    <row r="856" spans="1:5" x14ac:dyDescent="0.25">
      <c r="A856" s="8" t="str">
        <f t="shared" si="13"/>
        <v>016</v>
      </c>
      <c r="B856" s="8" t="s">
        <v>82</v>
      </c>
      <c r="C856" s="12" t="s">
        <v>1005</v>
      </c>
      <c r="D856" s="8">
        <v>18</v>
      </c>
      <c r="E856" s="8" t="s">
        <v>288</v>
      </c>
    </row>
    <row r="857" spans="1:5" x14ac:dyDescent="0.25">
      <c r="A857" s="8" t="str">
        <f t="shared" si="13"/>
        <v>017</v>
      </c>
      <c r="B857" s="8" t="s">
        <v>349</v>
      </c>
      <c r="C857" s="12" t="s">
        <v>1006</v>
      </c>
      <c r="D857" s="8">
        <v>18</v>
      </c>
      <c r="E857" s="8" t="s">
        <v>288</v>
      </c>
    </row>
    <row r="858" spans="1:5" x14ac:dyDescent="0.25">
      <c r="A858" s="8" t="str">
        <f t="shared" si="13"/>
        <v>018</v>
      </c>
      <c r="B858" s="8" t="s">
        <v>351</v>
      </c>
      <c r="C858" s="12" t="s">
        <v>1007</v>
      </c>
      <c r="D858" s="8">
        <v>18</v>
      </c>
      <c r="E858" s="8" t="s">
        <v>288</v>
      </c>
    </row>
    <row r="859" spans="1:5" x14ac:dyDescent="0.25">
      <c r="A859" s="8" t="str">
        <f t="shared" si="13"/>
        <v>019</v>
      </c>
      <c r="B859" s="8" t="s">
        <v>353</v>
      </c>
      <c r="C859" s="12" t="s">
        <v>1008</v>
      </c>
      <c r="D859" s="8">
        <v>18</v>
      </c>
      <c r="E859" s="8" t="s">
        <v>288</v>
      </c>
    </row>
    <row r="860" spans="1:5" x14ac:dyDescent="0.25">
      <c r="A860" s="8" t="str">
        <f t="shared" si="13"/>
        <v>020</v>
      </c>
      <c r="B860" s="8" t="s">
        <v>63</v>
      </c>
      <c r="C860" s="12" t="s">
        <v>1009</v>
      </c>
      <c r="D860" s="8">
        <v>18</v>
      </c>
      <c r="E860" s="8" t="s">
        <v>288</v>
      </c>
    </row>
    <row r="861" spans="1:5" x14ac:dyDescent="0.25">
      <c r="A861" s="8" t="str">
        <f t="shared" si="13"/>
        <v>021</v>
      </c>
      <c r="B861" s="8" t="s">
        <v>356</v>
      </c>
      <c r="C861" s="12" t="s">
        <v>1010</v>
      </c>
      <c r="D861" s="8">
        <v>18</v>
      </c>
      <c r="E861" s="8" t="s">
        <v>288</v>
      </c>
    </row>
    <row r="862" spans="1:5" x14ac:dyDescent="0.25">
      <c r="A862" s="8" t="str">
        <f t="shared" si="13"/>
        <v>022</v>
      </c>
      <c r="B862" s="8" t="s">
        <v>358</v>
      </c>
      <c r="C862" s="12" t="s">
        <v>1011</v>
      </c>
      <c r="D862" s="8">
        <v>18</v>
      </c>
      <c r="E862" s="8" t="s">
        <v>288</v>
      </c>
    </row>
    <row r="863" spans="1:5" x14ac:dyDescent="0.25">
      <c r="A863" s="8" t="str">
        <f t="shared" si="13"/>
        <v>023</v>
      </c>
      <c r="B863" s="8" t="s">
        <v>360</v>
      </c>
      <c r="C863" s="12" t="s">
        <v>1012</v>
      </c>
      <c r="D863" s="8">
        <v>18</v>
      </c>
      <c r="E863" s="8" t="s">
        <v>288</v>
      </c>
    </row>
    <row r="864" spans="1:5" x14ac:dyDescent="0.25">
      <c r="A864" s="8" t="str">
        <f t="shared" si="13"/>
        <v>024</v>
      </c>
      <c r="B864" s="8" t="s">
        <v>362</v>
      </c>
      <c r="C864" s="12" t="s">
        <v>1013</v>
      </c>
      <c r="D864" s="8">
        <v>18</v>
      </c>
      <c r="E864" s="8" t="s">
        <v>288</v>
      </c>
    </row>
    <row r="865" spans="1:5" x14ac:dyDescent="0.25">
      <c r="A865" s="8" t="str">
        <f t="shared" si="13"/>
        <v>000</v>
      </c>
      <c r="B865" s="8" t="s">
        <v>65</v>
      </c>
      <c r="C865" s="12" t="s">
        <v>66</v>
      </c>
      <c r="D865" s="8">
        <v>18</v>
      </c>
      <c r="E865" s="8" t="s">
        <v>296</v>
      </c>
    </row>
    <row r="866" spans="1:5" x14ac:dyDescent="0.25">
      <c r="A866" s="8" t="str">
        <f t="shared" si="13"/>
        <v>001</v>
      </c>
      <c r="B866" s="8" t="s">
        <v>262</v>
      </c>
      <c r="C866" s="12" t="s">
        <v>1014</v>
      </c>
      <c r="D866" s="8">
        <v>18</v>
      </c>
      <c r="E866" s="8" t="s">
        <v>296</v>
      </c>
    </row>
    <row r="867" spans="1:5" x14ac:dyDescent="0.25">
      <c r="A867" s="8" t="str">
        <f t="shared" si="13"/>
        <v>002</v>
      </c>
      <c r="B867" s="8" t="s">
        <v>264</v>
      </c>
      <c r="C867" s="12" t="s">
        <v>1015</v>
      </c>
      <c r="D867" s="8">
        <v>18</v>
      </c>
      <c r="E867" s="8" t="s">
        <v>296</v>
      </c>
    </row>
    <row r="868" spans="1:5" x14ac:dyDescent="0.25">
      <c r="A868" s="8" t="str">
        <f t="shared" si="13"/>
        <v>003</v>
      </c>
      <c r="B868" s="8" t="s">
        <v>67</v>
      </c>
      <c r="C868" s="12" t="s">
        <v>1016</v>
      </c>
      <c r="D868" s="8">
        <v>18</v>
      </c>
      <c r="E868" s="8" t="s">
        <v>296</v>
      </c>
    </row>
    <row r="869" spans="1:5" x14ac:dyDescent="0.25">
      <c r="A869" s="8" t="str">
        <f t="shared" si="13"/>
        <v>004</v>
      </c>
      <c r="B869" s="8" t="s">
        <v>69</v>
      </c>
      <c r="C869" s="12" t="s">
        <v>1017</v>
      </c>
      <c r="D869" s="8">
        <v>18</v>
      </c>
      <c r="E869" s="8" t="s">
        <v>296</v>
      </c>
    </row>
    <row r="870" spans="1:5" x14ac:dyDescent="0.25">
      <c r="A870" s="8" t="str">
        <f t="shared" si="13"/>
        <v>005</v>
      </c>
      <c r="B870" s="8" t="s">
        <v>78</v>
      </c>
      <c r="C870" s="12" t="s">
        <v>1018</v>
      </c>
      <c r="D870" s="8">
        <v>18</v>
      </c>
      <c r="E870" s="8" t="s">
        <v>296</v>
      </c>
    </row>
    <row r="871" spans="1:5" x14ac:dyDescent="0.25">
      <c r="A871" s="8" t="str">
        <f t="shared" si="13"/>
        <v>006</v>
      </c>
      <c r="B871" s="8" t="s">
        <v>80</v>
      </c>
      <c r="C871" s="12" t="s">
        <v>1019</v>
      </c>
      <c r="D871" s="8">
        <v>18</v>
      </c>
      <c r="E871" s="8" t="s">
        <v>296</v>
      </c>
    </row>
    <row r="872" spans="1:5" x14ac:dyDescent="0.25">
      <c r="A872" s="8" t="str">
        <f t="shared" si="13"/>
        <v>007</v>
      </c>
      <c r="B872" s="8" t="s">
        <v>71</v>
      </c>
      <c r="C872" s="12" t="s">
        <v>1020</v>
      </c>
      <c r="D872" s="8">
        <v>18</v>
      </c>
      <c r="E872" s="8" t="s">
        <v>296</v>
      </c>
    </row>
    <row r="873" spans="1:5" x14ac:dyDescent="0.25">
      <c r="A873" s="8" t="str">
        <f t="shared" si="13"/>
        <v>008</v>
      </c>
      <c r="B873" s="8" t="s">
        <v>271</v>
      </c>
      <c r="C873" s="12" t="s">
        <v>1021</v>
      </c>
      <c r="D873" s="8">
        <v>18</v>
      </c>
      <c r="E873" s="8" t="s">
        <v>296</v>
      </c>
    </row>
    <row r="874" spans="1:5" x14ac:dyDescent="0.25">
      <c r="A874" s="8" t="str">
        <f t="shared" si="13"/>
        <v>009</v>
      </c>
      <c r="B874" s="8" t="s">
        <v>273</v>
      </c>
      <c r="C874" s="12" t="s">
        <v>1022</v>
      </c>
      <c r="D874" s="8">
        <v>18</v>
      </c>
      <c r="E874" s="8" t="s">
        <v>296</v>
      </c>
    </row>
    <row r="875" spans="1:5" x14ac:dyDescent="0.25">
      <c r="A875" s="8" t="str">
        <f t="shared" si="13"/>
        <v>010</v>
      </c>
      <c r="B875" s="8" t="s">
        <v>61</v>
      </c>
      <c r="C875" s="12" t="s">
        <v>1018</v>
      </c>
      <c r="D875" s="8">
        <v>18</v>
      </c>
      <c r="E875" s="8" t="s">
        <v>296</v>
      </c>
    </row>
    <row r="876" spans="1:5" x14ac:dyDescent="0.25">
      <c r="A876" s="8" t="str">
        <f t="shared" si="13"/>
        <v>011</v>
      </c>
      <c r="B876" s="8" t="s">
        <v>74</v>
      </c>
      <c r="C876" s="12" t="s">
        <v>1023</v>
      </c>
      <c r="D876" s="8">
        <v>18</v>
      </c>
      <c r="E876" s="8" t="s">
        <v>296</v>
      </c>
    </row>
    <row r="877" spans="1:5" x14ac:dyDescent="0.25">
      <c r="A877" s="8" t="str">
        <f t="shared" si="13"/>
        <v>012</v>
      </c>
      <c r="B877" s="8" t="s">
        <v>76</v>
      </c>
      <c r="C877" s="12" t="s">
        <v>1024</v>
      </c>
      <c r="D877" s="8">
        <v>18</v>
      </c>
      <c r="E877" s="8" t="s">
        <v>296</v>
      </c>
    </row>
    <row r="878" spans="1:5" x14ac:dyDescent="0.25">
      <c r="A878" s="8" t="str">
        <f t="shared" si="13"/>
        <v>013</v>
      </c>
      <c r="B878" s="8" t="s">
        <v>278</v>
      </c>
      <c r="C878" s="12" t="s">
        <v>1025</v>
      </c>
      <c r="D878" s="8">
        <v>18</v>
      </c>
      <c r="E878" s="8" t="s">
        <v>296</v>
      </c>
    </row>
    <row r="879" spans="1:5" x14ac:dyDescent="0.25">
      <c r="A879" s="8" t="str">
        <f t="shared" si="13"/>
        <v>014</v>
      </c>
      <c r="B879" s="8" t="s">
        <v>280</v>
      </c>
      <c r="C879" s="12" t="s">
        <v>1026</v>
      </c>
      <c r="D879" s="8">
        <v>18</v>
      </c>
      <c r="E879" s="8" t="s">
        <v>296</v>
      </c>
    </row>
    <row r="880" spans="1:5" x14ac:dyDescent="0.25">
      <c r="A880" s="8" t="str">
        <f t="shared" si="13"/>
        <v>015</v>
      </c>
      <c r="B880" s="8" t="s">
        <v>346</v>
      </c>
      <c r="C880" s="12" t="s">
        <v>1027</v>
      </c>
      <c r="D880" s="8">
        <v>18</v>
      </c>
      <c r="E880" s="8" t="s">
        <v>296</v>
      </c>
    </row>
    <row r="881" spans="1:5" x14ac:dyDescent="0.25">
      <c r="A881" s="8" t="str">
        <f t="shared" si="13"/>
        <v>016</v>
      </c>
      <c r="B881" s="8" t="s">
        <v>82</v>
      </c>
      <c r="C881" s="12" t="s">
        <v>1028</v>
      </c>
      <c r="D881" s="8">
        <v>18</v>
      </c>
      <c r="E881" s="8" t="s">
        <v>296</v>
      </c>
    </row>
    <row r="882" spans="1:5" x14ac:dyDescent="0.25">
      <c r="A882" s="8" t="str">
        <f t="shared" si="13"/>
        <v>000</v>
      </c>
      <c r="B882" s="8" t="s">
        <v>65</v>
      </c>
      <c r="C882" s="12" t="s">
        <v>66</v>
      </c>
      <c r="D882" s="8">
        <v>18</v>
      </c>
      <c r="E882" s="8" t="s">
        <v>481</v>
      </c>
    </row>
    <row r="883" spans="1:5" x14ac:dyDescent="0.25">
      <c r="A883" s="8" t="str">
        <f t="shared" si="13"/>
        <v>001</v>
      </c>
      <c r="B883" s="8" t="s">
        <v>262</v>
      </c>
      <c r="C883" s="12" t="s">
        <v>1029</v>
      </c>
      <c r="D883" s="8">
        <v>18</v>
      </c>
      <c r="E883" s="8" t="s">
        <v>481</v>
      </c>
    </row>
    <row r="884" spans="1:5" x14ac:dyDescent="0.25">
      <c r="A884" s="8" t="str">
        <f t="shared" si="13"/>
        <v>002</v>
      </c>
      <c r="B884" s="8" t="s">
        <v>264</v>
      </c>
      <c r="C884" s="12" t="s">
        <v>1030</v>
      </c>
      <c r="D884" s="8">
        <v>18</v>
      </c>
      <c r="E884" s="8" t="s">
        <v>481</v>
      </c>
    </row>
    <row r="885" spans="1:5" x14ac:dyDescent="0.25">
      <c r="A885" s="8" t="str">
        <f t="shared" si="13"/>
        <v>003</v>
      </c>
      <c r="B885" s="8" t="s">
        <v>67</v>
      </c>
      <c r="C885" s="12" t="s">
        <v>1031</v>
      </c>
      <c r="D885" s="8">
        <v>18</v>
      </c>
      <c r="E885" s="8" t="s">
        <v>481</v>
      </c>
    </row>
    <row r="886" spans="1:5" x14ac:dyDescent="0.25">
      <c r="A886" s="8" t="str">
        <f t="shared" si="13"/>
        <v>004</v>
      </c>
      <c r="B886" s="8" t="s">
        <v>69</v>
      </c>
      <c r="C886" s="12" t="s">
        <v>1032</v>
      </c>
      <c r="D886" s="8">
        <v>18</v>
      </c>
      <c r="E886" s="8" t="s">
        <v>481</v>
      </c>
    </row>
    <row r="887" spans="1:5" x14ac:dyDescent="0.25">
      <c r="A887" s="8" t="str">
        <f t="shared" si="13"/>
        <v>005</v>
      </c>
      <c r="B887" s="8" t="s">
        <v>78</v>
      </c>
      <c r="C887" s="12" t="s">
        <v>1033</v>
      </c>
      <c r="D887" s="8">
        <v>18</v>
      </c>
      <c r="E887" s="8" t="s">
        <v>481</v>
      </c>
    </row>
    <row r="888" spans="1:5" x14ac:dyDescent="0.25">
      <c r="A888" s="8" t="str">
        <f t="shared" si="13"/>
        <v>006</v>
      </c>
      <c r="B888" s="8" t="s">
        <v>80</v>
      </c>
      <c r="C888" s="12" t="s">
        <v>1034</v>
      </c>
      <c r="D888" s="8">
        <v>18</v>
      </c>
      <c r="E888" s="8" t="s">
        <v>481</v>
      </c>
    </row>
    <row r="889" spans="1:5" x14ac:dyDescent="0.25">
      <c r="A889" s="8" t="str">
        <f t="shared" si="13"/>
        <v>007</v>
      </c>
      <c r="B889" s="8" t="s">
        <v>71</v>
      </c>
      <c r="C889" s="12" t="s">
        <v>1035</v>
      </c>
      <c r="D889" s="8">
        <v>18</v>
      </c>
      <c r="E889" s="8" t="s">
        <v>481</v>
      </c>
    </row>
    <row r="890" spans="1:5" x14ac:dyDescent="0.25">
      <c r="A890" s="8" t="str">
        <f t="shared" si="13"/>
        <v>008</v>
      </c>
      <c r="B890" s="8" t="s">
        <v>271</v>
      </c>
      <c r="C890" s="12" t="s">
        <v>1036</v>
      </c>
      <c r="D890" s="8">
        <v>18</v>
      </c>
      <c r="E890" s="8" t="s">
        <v>481</v>
      </c>
    </row>
    <row r="891" spans="1:5" x14ac:dyDescent="0.25">
      <c r="A891" s="8" t="str">
        <f t="shared" si="13"/>
        <v>009</v>
      </c>
      <c r="B891" s="8" t="s">
        <v>273</v>
      </c>
      <c r="C891" s="12" t="s">
        <v>1037</v>
      </c>
      <c r="D891" s="8">
        <v>18</v>
      </c>
      <c r="E891" s="8" t="s">
        <v>481</v>
      </c>
    </row>
    <row r="892" spans="1:5" x14ac:dyDescent="0.25">
      <c r="A892" s="8" t="str">
        <f t="shared" si="13"/>
        <v>010</v>
      </c>
      <c r="B892" s="8" t="s">
        <v>61</v>
      </c>
      <c r="C892" s="12" t="s">
        <v>1038</v>
      </c>
      <c r="D892" s="8">
        <v>18</v>
      </c>
      <c r="E892" s="8" t="s">
        <v>481</v>
      </c>
    </row>
    <row r="893" spans="1:5" x14ac:dyDescent="0.25">
      <c r="A893" s="8" t="str">
        <f t="shared" si="13"/>
        <v>000</v>
      </c>
      <c r="B893" s="8" t="s">
        <v>65</v>
      </c>
      <c r="C893" s="12" t="s">
        <v>66</v>
      </c>
      <c r="D893" s="8">
        <v>18</v>
      </c>
      <c r="E893" s="8" t="s">
        <v>302</v>
      </c>
    </row>
    <row r="894" spans="1:5" x14ac:dyDescent="0.25">
      <c r="A894" s="8" t="str">
        <f t="shared" si="13"/>
        <v>001</v>
      </c>
      <c r="B894" s="8" t="s">
        <v>262</v>
      </c>
      <c r="C894" s="12" t="s">
        <v>1039</v>
      </c>
      <c r="D894" s="8">
        <v>18</v>
      </c>
      <c r="E894" s="8" t="s">
        <v>302</v>
      </c>
    </row>
    <row r="895" spans="1:5" x14ac:dyDescent="0.25">
      <c r="A895" s="8" t="str">
        <f t="shared" si="13"/>
        <v>002</v>
      </c>
      <c r="B895" s="8" t="s">
        <v>264</v>
      </c>
      <c r="C895" s="12" t="s">
        <v>1040</v>
      </c>
      <c r="D895" s="8">
        <v>18</v>
      </c>
      <c r="E895" s="8" t="s">
        <v>302</v>
      </c>
    </row>
    <row r="896" spans="1:5" x14ac:dyDescent="0.25">
      <c r="A896" s="8" t="str">
        <f t="shared" si="13"/>
        <v>000</v>
      </c>
      <c r="B896" s="8" t="s">
        <v>65</v>
      </c>
      <c r="C896" s="12" t="s">
        <v>66</v>
      </c>
      <c r="D896" s="8">
        <v>18</v>
      </c>
      <c r="E896" s="8" t="s">
        <v>300</v>
      </c>
    </row>
    <row r="897" spans="1:5" x14ac:dyDescent="0.25">
      <c r="A897" s="8" t="str">
        <f t="shared" si="13"/>
        <v>001</v>
      </c>
      <c r="B897" s="8" t="s">
        <v>262</v>
      </c>
      <c r="C897" s="12" t="s">
        <v>1041</v>
      </c>
      <c r="D897" s="8">
        <v>18</v>
      </c>
      <c r="E897" s="8" t="s">
        <v>300</v>
      </c>
    </row>
    <row r="898" spans="1:5" x14ac:dyDescent="0.25">
      <c r="A898" s="8" t="str">
        <f t="shared" si="13"/>
        <v>002</v>
      </c>
      <c r="B898" s="8" t="s">
        <v>264</v>
      </c>
      <c r="C898" s="12" t="s">
        <v>1042</v>
      </c>
      <c r="D898" s="8">
        <v>18</v>
      </c>
      <c r="E898" s="8" t="s">
        <v>300</v>
      </c>
    </row>
    <row r="899" spans="1:5" x14ac:dyDescent="0.25">
      <c r="A899" s="8" t="str">
        <f t="shared" ref="A899:A962" si="14">TEXT(B899,"000")</f>
        <v>003</v>
      </c>
      <c r="B899" s="8" t="s">
        <v>67</v>
      </c>
      <c r="C899" s="12" t="s">
        <v>1043</v>
      </c>
      <c r="D899" s="8">
        <v>18</v>
      </c>
      <c r="E899" s="8" t="s">
        <v>300</v>
      </c>
    </row>
    <row r="900" spans="1:5" x14ac:dyDescent="0.25">
      <c r="A900" s="8" t="str">
        <f t="shared" si="14"/>
        <v>004</v>
      </c>
      <c r="B900" s="8" t="s">
        <v>69</v>
      </c>
      <c r="C900" s="12" t="s">
        <v>1044</v>
      </c>
      <c r="D900" s="8">
        <v>18</v>
      </c>
      <c r="E900" s="8" t="s">
        <v>300</v>
      </c>
    </row>
    <row r="901" spans="1:5" x14ac:dyDescent="0.25">
      <c r="A901" s="8" t="str">
        <f t="shared" si="14"/>
        <v>005</v>
      </c>
      <c r="B901" s="8" t="s">
        <v>78</v>
      </c>
      <c r="C901" s="12" t="s">
        <v>1045</v>
      </c>
      <c r="D901" s="8">
        <v>18</v>
      </c>
      <c r="E901" s="8" t="s">
        <v>300</v>
      </c>
    </row>
    <row r="902" spans="1:5" x14ac:dyDescent="0.25">
      <c r="A902" s="8" t="str">
        <f t="shared" si="14"/>
        <v>006</v>
      </c>
      <c r="B902" s="8" t="s">
        <v>80</v>
      </c>
      <c r="C902" s="12" t="s">
        <v>1046</v>
      </c>
      <c r="D902" s="8">
        <v>18</v>
      </c>
      <c r="E902" s="8" t="s">
        <v>300</v>
      </c>
    </row>
    <row r="903" spans="1:5" x14ac:dyDescent="0.25">
      <c r="A903" s="8" t="str">
        <f t="shared" si="14"/>
        <v>007</v>
      </c>
      <c r="B903" s="8" t="s">
        <v>71</v>
      </c>
      <c r="C903" s="12" t="s">
        <v>1047</v>
      </c>
      <c r="D903" s="8">
        <v>18</v>
      </c>
      <c r="E903" s="8" t="s">
        <v>300</v>
      </c>
    </row>
    <row r="904" spans="1:5" x14ac:dyDescent="0.25">
      <c r="A904" s="8" t="str">
        <f t="shared" si="14"/>
        <v>008</v>
      </c>
      <c r="B904" s="8" t="s">
        <v>271</v>
      </c>
      <c r="C904" s="12" t="s">
        <v>1048</v>
      </c>
      <c r="D904" s="8">
        <v>18</v>
      </c>
      <c r="E904" s="8" t="s">
        <v>300</v>
      </c>
    </row>
    <row r="905" spans="1:5" x14ac:dyDescent="0.25">
      <c r="A905" s="8" t="str">
        <f t="shared" si="14"/>
        <v>009</v>
      </c>
      <c r="B905" s="8" t="s">
        <v>273</v>
      </c>
      <c r="C905" s="12" t="s">
        <v>1049</v>
      </c>
      <c r="D905" s="8">
        <v>18</v>
      </c>
      <c r="E905" s="8" t="s">
        <v>300</v>
      </c>
    </row>
    <row r="906" spans="1:5" x14ac:dyDescent="0.25">
      <c r="A906" s="8" t="str">
        <f t="shared" si="14"/>
        <v>010</v>
      </c>
      <c r="B906" s="8" t="s">
        <v>61</v>
      </c>
      <c r="C906" s="12" t="s">
        <v>1050</v>
      </c>
      <c r="D906" s="8">
        <v>18</v>
      </c>
      <c r="E906" s="8" t="s">
        <v>300</v>
      </c>
    </row>
    <row r="907" spans="1:5" x14ac:dyDescent="0.25">
      <c r="A907" s="8" t="str">
        <f t="shared" si="14"/>
        <v>011</v>
      </c>
      <c r="B907" s="8" t="s">
        <v>74</v>
      </c>
      <c r="C907" s="12" t="s">
        <v>1051</v>
      </c>
      <c r="D907" s="8">
        <v>18</v>
      </c>
      <c r="E907" s="8" t="s">
        <v>300</v>
      </c>
    </row>
    <row r="908" spans="1:5" x14ac:dyDescent="0.25">
      <c r="A908" s="8" t="str">
        <f t="shared" si="14"/>
        <v>012</v>
      </c>
      <c r="B908" s="8" t="s">
        <v>76</v>
      </c>
      <c r="C908" s="12" t="s">
        <v>1052</v>
      </c>
      <c r="D908" s="8">
        <v>18</v>
      </c>
      <c r="E908" s="8" t="s">
        <v>300</v>
      </c>
    </row>
    <row r="909" spans="1:5" x14ac:dyDescent="0.25">
      <c r="A909" s="8" t="str">
        <f t="shared" si="14"/>
        <v>013</v>
      </c>
      <c r="B909" s="8" t="s">
        <v>278</v>
      </c>
      <c r="C909" s="12" t="s">
        <v>1053</v>
      </c>
      <c r="D909" s="8">
        <v>18</v>
      </c>
      <c r="E909" s="8" t="s">
        <v>300</v>
      </c>
    </row>
    <row r="910" spans="1:5" x14ac:dyDescent="0.25">
      <c r="A910" s="8" t="str">
        <f t="shared" si="14"/>
        <v>014</v>
      </c>
      <c r="B910" s="8" t="s">
        <v>280</v>
      </c>
      <c r="C910" s="12" t="s">
        <v>1054</v>
      </c>
      <c r="D910" s="8">
        <v>18</v>
      </c>
      <c r="E910" s="8" t="s">
        <v>300</v>
      </c>
    </row>
    <row r="911" spans="1:5" x14ac:dyDescent="0.25">
      <c r="A911" s="8" t="str">
        <f t="shared" si="14"/>
        <v>015</v>
      </c>
      <c r="B911" s="8" t="s">
        <v>346</v>
      </c>
      <c r="C911" s="12" t="s">
        <v>1055</v>
      </c>
      <c r="D911" s="8">
        <v>18</v>
      </c>
      <c r="E911" s="8" t="s">
        <v>300</v>
      </c>
    </row>
    <row r="912" spans="1:5" x14ac:dyDescent="0.25">
      <c r="A912" s="8" t="str">
        <f t="shared" si="14"/>
        <v>016</v>
      </c>
      <c r="B912" s="8" t="s">
        <v>82</v>
      </c>
      <c r="C912" s="12" t="s">
        <v>1056</v>
      </c>
      <c r="D912" s="8">
        <v>18</v>
      </c>
      <c r="E912" s="8" t="s">
        <v>300</v>
      </c>
    </row>
    <row r="913" spans="1:5" x14ac:dyDescent="0.25">
      <c r="A913" s="8" t="str">
        <f t="shared" si="14"/>
        <v>017</v>
      </c>
      <c r="B913" s="8" t="s">
        <v>349</v>
      </c>
      <c r="C913" s="12" t="s">
        <v>1057</v>
      </c>
      <c r="D913" s="8">
        <v>18</v>
      </c>
      <c r="E913" s="8" t="s">
        <v>300</v>
      </c>
    </row>
    <row r="914" spans="1:5" x14ac:dyDescent="0.25">
      <c r="A914" s="8" t="str">
        <f t="shared" si="14"/>
        <v>018</v>
      </c>
      <c r="B914" s="8" t="s">
        <v>351</v>
      </c>
      <c r="C914" s="12" t="s">
        <v>1058</v>
      </c>
      <c r="D914" s="8">
        <v>18</v>
      </c>
      <c r="E914" s="8" t="s">
        <v>300</v>
      </c>
    </row>
    <row r="915" spans="1:5" x14ac:dyDescent="0.25">
      <c r="A915" s="8" t="str">
        <f t="shared" si="14"/>
        <v>019</v>
      </c>
      <c r="B915" s="8" t="s">
        <v>353</v>
      </c>
      <c r="C915" s="12" t="s">
        <v>1059</v>
      </c>
      <c r="D915" s="8">
        <v>18</v>
      </c>
      <c r="E915" s="8" t="s">
        <v>300</v>
      </c>
    </row>
    <row r="916" spans="1:5" x14ac:dyDescent="0.25">
      <c r="A916" s="8" t="str">
        <f t="shared" si="14"/>
        <v>020</v>
      </c>
      <c r="B916" s="8" t="s">
        <v>63</v>
      </c>
      <c r="C916" s="12" t="s">
        <v>1060</v>
      </c>
      <c r="D916" s="8">
        <v>18</v>
      </c>
      <c r="E916" s="8" t="s">
        <v>300</v>
      </c>
    </row>
    <row r="917" spans="1:5" x14ac:dyDescent="0.25">
      <c r="A917" s="8" t="str">
        <f t="shared" si="14"/>
        <v>021</v>
      </c>
      <c r="B917" s="8" t="s">
        <v>356</v>
      </c>
      <c r="C917" s="12" t="s">
        <v>1061</v>
      </c>
      <c r="D917" s="8">
        <v>18</v>
      </c>
      <c r="E917" s="8" t="s">
        <v>300</v>
      </c>
    </row>
    <row r="918" spans="1:5" x14ac:dyDescent="0.25">
      <c r="A918" s="8" t="str">
        <f t="shared" si="14"/>
        <v>022</v>
      </c>
      <c r="B918" s="8" t="s">
        <v>358</v>
      </c>
      <c r="C918" s="12" t="s">
        <v>1062</v>
      </c>
      <c r="D918" s="8">
        <v>18</v>
      </c>
      <c r="E918" s="8" t="s">
        <v>300</v>
      </c>
    </row>
    <row r="919" spans="1:5" x14ac:dyDescent="0.25">
      <c r="A919" s="8" t="str">
        <f t="shared" si="14"/>
        <v>023</v>
      </c>
      <c r="B919" s="8" t="s">
        <v>360</v>
      </c>
      <c r="C919" s="12" t="s">
        <v>1063</v>
      </c>
      <c r="D919" s="8">
        <v>18</v>
      </c>
      <c r="E919" s="8" t="s">
        <v>300</v>
      </c>
    </row>
    <row r="920" spans="1:5" x14ac:dyDescent="0.25">
      <c r="A920" s="8" t="str">
        <f t="shared" si="14"/>
        <v>024</v>
      </c>
      <c r="B920" s="8" t="s">
        <v>362</v>
      </c>
      <c r="C920" s="12" t="s">
        <v>1064</v>
      </c>
      <c r="D920" s="8">
        <v>18</v>
      </c>
      <c r="E920" s="8" t="s">
        <v>300</v>
      </c>
    </row>
    <row r="921" spans="1:5" x14ac:dyDescent="0.25">
      <c r="A921" s="8" t="str">
        <f t="shared" si="14"/>
        <v>025</v>
      </c>
      <c r="B921" s="8" t="s">
        <v>84</v>
      </c>
      <c r="C921" s="12" t="s">
        <v>1065</v>
      </c>
      <c r="D921" s="8">
        <v>18</v>
      </c>
      <c r="E921" s="8" t="s">
        <v>300</v>
      </c>
    </row>
    <row r="922" spans="1:5" x14ac:dyDescent="0.25">
      <c r="A922" s="8" t="str">
        <f t="shared" si="14"/>
        <v>026</v>
      </c>
      <c r="B922" s="8" t="s">
        <v>365</v>
      </c>
      <c r="C922" s="12" t="s">
        <v>1066</v>
      </c>
      <c r="D922" s="8">
        <v>18</v>
      </c>
      <c r="E922" s="8" t="s">
        <v>300</v>
      </c>
    </row>
    <row r="923" spans="1:5" x14ac:dyDescent="0.25">
      <c r="A923" s="8" t="str">
        <f t="shared" si="14"/>
        <v>027</v>
      </c>
      <c r="B923" s="8" t="s">
        <v>367</v>
      </c>
      <c r="C923" s="12" t="s">
        <v>1067</v>
      </c>
      <c r="D923" s="8">
        <v>18</v>
      </c>
      <c r="E923" s="8" t="s">
        <v>300</v>
      </c>
    </row>
    <row r="924" spans="1:5" x14ac:dyDescent="0.25">
      <c r="A924" s="8" t="str">
        <f t="shared" si="14"/>
        <v>028</v>
      </c>
      <c r="B924" s="8" t="s">
        <v>369</v>
      </c>
      <c r="C924" s="12" t="s">
        <v>1068</v>
      </c>
      <c r="D924" s="8">
        <v>18</v>
      </c>
      <c r="E924" s="8" t="s">
        <v>300</v>
      </c>
    </row>
    <row r="925" spans="1:5" x14ac:dyDescent="0.25">
      <c r="A925" s="8" t="str">
        <f t="shared" si="14"/>
        <v>028</v>
      </c>
      <c r="B925" s="8" t="s">
        <v>369</v>
      </c>
      <c r="C925" s="12" t="s">
        <v>1069</v>
      </c>
      <c r="D925" s="8">
        <v>18</v>
      </c>
      <c r="E925" s="8" t="s">
        <v>300</v>
      </c>
    </row>
    <row r="926" spans="1:5" x14ac:dyDescent="0.25">
      <c r="A926" s="8" t="str">
        <f t="shared" si="14"/>
        <v>029</v>
      </c>
      <c r="B926" s="8" t="s">
        <v>371</v>
      </c>
      <c r="C926" s="12" t="s">
        <v>1070</v>
      </c>
      <c r="D926" s="8">
        <v>18</v>
      </c>
      <c r="E926" s="8" t="s">
        <v>300</v>
      </c>
    </row>
    <row r="927" spans="1:5" x14ac:dyDescent="0.25">
      <c r="A927" s="8" t="str">
        <f t="shared" si="14"/>
        <v>030</v>
      </c>
      <c r="B927" s="8" t="s">
        <v>373</v>
      </c>
      <c r="C927" s="12" t="s">
        <v>1071</v>
      </c>
      <c r="D927" s="8">
        <v>18</v>
      </c>
      <c r="E927" s="8" t="s">
        <v>300</v>
      </c>
    </row>
    <row r="928" spans="1:5" x14ac:dyDescent="0.25">
      <c r="A928" s="8" t="str">
        <f t="shared" si="14"/>
        <v>031</v>
      </c>
      <c r="B928" s="8" t="s">
        <v>375</v>
      </c>
      <c r="C928" s="12" t="s">
        <v>1072</v>
      </c>
      <c r="D928" s="8">
        <v>18</v>
      </c>
      <c r="E928" s="8" t="s">
        <v>300</v>
      </c>
    </row>
    <row r="929" spans="1:5" x14ac:dyDescent="0.25">
      <c r="A929" s="8" t="str">
        <f t="shared" si="14"/>
        <v>032</v>
      </c>
      <c r="B929" s="8" t="s">
        <v>377</v>
      </c>
      <c r="C929" s="12" t="s">
        <v>1073</v>
      </c>
      <c r="D929" s="8">
        <v>18</v>
      </c>
      <c r="E929" s="8" t="s">
        <v>300</v>
      </c>
    </row>
    <row r="930" spans="1:5" x14ac:dyDescent="0.25">
      <c r="A930" s="8" t="str">
        <f t="shared" si="14"/>
        <v>033</v>
      </c>
      <c r="B930" s="8" t="s">
        <v>379</v>
      </c>
      <c r="C930" s="12" t="s">
        <v>1074</v>
      </c>
      <c r="D930" s="8">
        <v>18</v>
      </c>
      <c r="E930" s="8" t="s">
        <v>300</v>
      </c>
    </row>
    <row r="931" spans="1:5" x14ac:dyDescent="0.25">
      <c r="A931" s="8" t="str">
        <f t="shared" si="14"/>
        <v>034</v>
      </c>
      <c r="B931" s="8" t="s">
        <v>381</v>
      </c>
      <c r="C931" s="12" t="s">
        <v>1075</v>
      </c>
      <c r="D931" s="8">
        <v>18</v>
      </c>
      <c r="E931" s="8" t="s">
        <v>300</v>
      </c>
    </row>
    <row r="932" spans="1:5" x14ac:dyDescent="0.25">
      <c r="A932" s="8" t="str">
        <f t="shared" si="14"/>
        <v>035</v>
      </c>
      <c r="B932" s="8" t="s">
        <v>383</v>
      </c>
      <c r="C932" s="12" t="s">
        <v>1076</v>
      </c>
      <c r="D932" s="8">
        <v>18</v>
      </c>
      <c r="E932" s="8" t="s">
        <v>300</v>
      </c>
    </row>
    <row r="933" spans="1:5" x14ac:dyDescent="0.25">
      <c r="A933" s="8" t="str">
        <f t="shared" si="14"/>
        <v>036</v>
      </c>
      <c r="B933" s="8" t="s">
        <v>385</v>
      </c>
      <c r="C933" s="12" t="s">
        <v>1077</v>
      </c>
      <c r="D933" s="8">
        <v>18</v>
      </c>
      <c r="E933" s="8" t="s">
        <v>300</v>
      </c>
    </row>
    <row r="934" spans="1:5" x14ac:dyDescent="0.25">
      <c r="A934" s="8" t="str">
        <f t="shared" si="14"/>
        <v>037</v>
      </c>
      <c r="B934" s="8" t="s">
        <v>387</v>
      </c>
      <c r="C934" s="12" t="s">
        <v>1078</v>
      </c>
      <c r="D934" s="8">
        <v>18</v>
      </c>
      <c r="E934" s="8" t="s">
        <v>300</v>
      </c>
    </row>
    <row r="935" spans="1:5" x14ac:dyDescent="0.25">
      <c r="A935" s="8" t="str">
        <f t="shared" si="14"/>
        <v>038</v>
      </c>
      <c r="B935" s="8" t="s">
        <v>389</v>
      </c>
      <c r="C935" s="12" t="s">
        <v>1079</v>
      </c>
      <c r="D935" s="8">
        <v>18</v>
      </c>
      <c r="E935" s="8" t="s">
        <v>300</v>
      </c>
    </row>
    <row r="936" spans="1:5" x14ac:dyDescent="0.25">
      <c r="A936" s="8" t="str">
        <f t="shared" si="14"/>
        <v>039</v>
      </c>
      <c r="B936" s="8" t="s">
        <v>391</v>
      </c>
      <c r="C936" s="12" t="s">
        <v>1080</v>
      </c>
      <c r="D936" s="8">
        <v>18</v>
      </c>
      <c r="E936" s="8" t="s">
        <v>300</v>
      </c>
    </row>
    <row r="937" spans="1:5" x14ac:dyDescent="0.25">
      <c r="A937" s="8" t="str">
        <f t="shared" si="14"/>
        <v>040</v>
      </c>
      <c r="B937" s="8" t="s">
        <v>86</v>
      </c>
      <c r="C937" s="12" t="s">
        <v>1081</v>
      </c>
      <c r="D937" s="8">
        <v>18</v>
      </c>
      <c r="E937" s="8" t="s">
        <v>300</v>
      </c>
    </row>
    <row r="938" spans="1:5" x14ac:dyDescent="0.25">
      <c r="A938" s="8" t="str">
        <f t="shared" si="14"/>
        <v>041</v>
      </c>
      <c r="B938" s="8" t="s">
        <v>394</v>
      </c>
      <c r="C938" s="12" t="s">
        <v>1082</v>
      </c>
      <c r="D938" s="8">
        <v>18</v>
      </c>
      <c r="E938" s="8" t="s">
        <v>300</v>
      </c>
    </row>
    <row r="939" spans="1:5" x14ac:dyDescent="0.25">
      <c r="A939" s="8" t="str">
        <f t="shared" si="14"/>
        <v>042</v>
      </c>
      <c r="B939" s="8" t="s">
        <v>782</v>
      </c>
      <c r="C939" s="12" t="s">
        <v>1083</v>
      </c>
      <c r="D939" s="8">
        <v>18</v>
      </c>
      <c r="E939" s="8" t="s">
        <v>300</v>
      </c>
    </row>
    <row r="940" spans="1:5" x14ac:dyDescent="0.25">
      <c r="A940" s="8" t="str">
        <f t="shared" si="14"/>
        <v>043</v>
      </c>
      <c r="B940" s="8" t="s">
        <v>784</v>
      </c>
      <c r="C940" s="12" t="s">
        <v>1084</v>
      </c>
      <c r="D940" s="8">
        <v>18</v>
      </c>
      <c r="E940" s="8" t="s">
        <v>300</v>
      </c>
    </row>
    <row r="941" spans="1:5" x14ac:dyDescent="0.25">
      <c r="A941" s="8" t="str">
        <f t="shared" si="14"/>
        <v>044</v>
      </c>
      <c r="B941" s="8" t="s">
        <v>786</v>
      </c>
      <c r="C941" s="12" t="s">
        <v>1085</v>
      </c>
      <c r="D941" s="8">
        <v>18</v>
      </c>
      <c r="E941" s="8" t="s">
        <v>300</v>
      </c>
    </row>
    <row r="942" spans="1:5" x14ac:dyDescent="0.25">
      <c r="A942" s="8" t="str">
        <f t="shared" si="14"/>
        <v>045</v>
      </c>
      <c r="B942" s="8" t="s">
        <v>1086</v>
      </c>
      <c r="C942" s="12" t="s">
        <v>1087</v>
      </c>
      <c r="D942" s="8">
        <v>18</v>
      </c>
      <c r="E942" s="8" t="s">
        <v>300</v>
      </c>
    </row>
    <row r="943" spans="1:5" x14ac:dyDescent="0.25">
      <c r="A943" s="8" t="str">
        <f t="shared" si="14"/>
        <v>001</v>
      </c>
      <c r="B943" s="8" t="s">
        <v>262</v>
      </c>
      <c r="C943" s="12" t="s">
        <v>1088</v>
      </c>
      <c r="D943" s="8">
        <v>18</v>
      </c>
      <c r="E943" s="8" t="s">
        <v>416</v>
      </c>
    </row>
    <row r="944" spans="1:5" x14ac:dyDescent="0.25">
      <c r="A944" s="8" t="str">
        <f t="shared" si="14"/>
        <v>000</v>
      </c>
      <c r="B944" s="8" t="s">
        <v>65</v>
      </c>
      <c r="C944" s="12" t="s">
        <v>66</v>
      </c>
      <c r="D944" s="8">
        <v>18</v>
      </c>
      <c r="E944" s="8" t="s">
        <v>419</v>
      </c>
    </row>
    <row r="945" spans="1:5" x14ac:dyDescent="0.25">
      <c r="A945" s="8" t="str">
        <f t="shared" si="14"/>
        <v>001</v>
      </c>
      <c r="B945" s="8" t="s">
        <v>262</v>
      </c>
      <c r="C945" s="12" t="s">
        <v>1089</v>
      </c>
      <c r="D945" s="8">
        <v>18</v>
      </c>
      <c r="E945" s="8" t="s">
        <v>419</v>
      </c>
    </row>
    <row r="946" spans="1:5" x14ac:dyDescent="0.25">
      <c r="A946" s="8" t="str">
        <f t="shared" si="14"/>
        <v>002</v>
      </c>
      <c r="B946" s="8" t="s">
        <v>264</v>
      </c>
      <c r="C946" s="12" t="s">
        <v>1090</v>
      </c>
      <c r="D946" s="8">
        <v>18</v>
      </c>
      <c r="E946" s="8" t="s">
        <v>419</v>
      </c>
    </row>
    <row r="947" spans="1:5" x14ac:dyDescent="0.25">
      <c r="A947" s="8" t="str">
        <f t="shared" si="14"/>
        <v>003</v>
      </c>
      <c r="B947" s="8" t="s">
        <v>67</v>
      </c>
      <c r="C947" s="12" t="s">
        <v>1091</v>
      </c>
      <c r="D947" s="8">
        <v>18</v>
      </c>
      <c r="E947" s="8" t="s">
        <v>419</v>
      </c>
    </row>
    <row r="948" spans="1:5" x14ac:dyDescent="0.25">
      <c r="A948" s="8" t="str">
        <f t="shared" si="14"/>
        <v>004</v>
      </c>
      <c r="B948" s="8" t="s">
        <v>69</v>
      </c>
      <c r="C948" s="12" t="s">
        <v>1092</v>
      </c>
      <c r="D948" s="8">
        <v>18</v>
      </c>
      <c r="E948" s="8" t="s">
        <v>419</v>
      </c>
    </row>
    <row r="949" spans="1:5" x14ac:dyDescent="0.25">
      <c r="A949" s="8" t="str">
        <f t="shared" si="14"/>
        <v>005</v>
      </c>
      <c r="B949" s="8" t="s">
        <v>78</v>
      </c>
      <c r="C949" s="12" t="s">
        <v>1093</v>
      </c>
      <c r="D949" s="8">
        <v>18</v>
      </c>
      <c r="E949" s="8" t="s">
        <v>419</v>
      </c>
    </row>
    <row r="950" spans="1:5" x14ac:dyDescent="0.25">
      <c r="A950" s="8" t="str">
        <f t="shared" si="14"/>
        <v>006</v>
      </c>
      <c r="B950" s="8" t="s">
        <v>80</v>
      </c>
      <c r="C950" s="12" t="s">
        <v>1094</v>
      </c>
      <c r="D950" s="8">
        <v>18</v>
      </c>
      <c r="E950" s="8" t="s">
        <v>419</v>
      </c>
    </row>
    <row r="951" spans="1:5" x14ac:dyDescent="0.25">
      <c r="A951" s="8" t="str">
        <f t="shared" si="14"/>
        <v>007</v>
      </c>
      <c r="B951" s="8" t="s">
        <v>71</v>
      </c>
      <c r="C951" s="12" t="s">
        <v>1095</v>
      </c>
      <c r="D951" s="8">
        <v>18</v>
      </c>
      <c r="E951" s="8" t="s">
        <v>419</v>
      </c>
    </row>
    <row r="952" spans="1:5" x14ac:dyDescent="0.25">
      <c r="A952" s="8" t="str">
        <f t="shared" si="14"/>
        <v>008</v>
      </c>
      <c r="B952" s="8" t="s">
        <v>271</v>
      </c>
      <c r="C952" s="12" t="s">
        <v>1096</v>
      </c>
      <c r="D952" s="8">
        <v>18</v>
      </c>
      <c r="E952" s="8" t="s">
        <v>419</v>
      </c>
    </row>
    <row r="953" spans="1:5" x14ac:dyDescent="0.25">
      <c r="A953" s="8" t="str">
        <f t="shared" si="14"/>
        <v>009</v>
      </c>
      <c r="B953" s="8" t="s">
        <v>273</v>
      </c>
      <c r="C953" s="12" t="s">
        <v>1097</v>
      </c>
      <c r="D953" s="8">
        <v>18</v>
      </c>
      <c r="E953" s="8" t="s">
        <v>419</v>
      </c>
    </row>
    <row r="954" spans="1:5" x14ac:dyDescent="0.25">
      <c r="A954" s="8" t="str">
        <f t="shared" si="14"/>
        <v>000</v>
      </c>
      <c r="B954" s="8" t="s">
        <v>65</v>
      </c>
      <c r="C954" s="12" t="s">
        <v>66</v>
      </c>
      <c r="D954" s="8">
        <v>18</v>
      </c>
      <c r="E954" s="8" t="s">
        <v>425</v>
      </c>
    </row>
    <row r="955" spans="1:5" x14ac:dyDescent="0.25">
      <c r="A955" s="8" t="str">
        <f t="shared" si="14"/>
        <v>001</v>
      </c>
      <c r="B955" s="8" t="s">
        <v>262</v>
      </c>
      <c r="C955" s="12" t="s">
        <v>1089</v>
      </c>
      <c r="D955" s="8">
        <v>18</v>
      </c>
      <c r="E955" s="8" t="s">
        <v>425</v>
      </c>
    </row>
    <row r="956" spans="1:5" x14ac:dyDescent="0.25">
      <c r="A956" s="8" t="str">
        <f t="shared" si="14"/>
        <v>002</v>
      </c>
      <c r="B956" s="8" t="s">
        <v>264</v>
      </c>
      <c r="C956" s="12" t="s">
        <v>1098</v>
      </c>
      <c r="D956" s="8">
        <v>18</v>
      </c>
      <c r="E956" s="8" t="s">
        <v>425</v>
      </c>
    </row>
    <row r="957" spans="1:5" x14ac:dyDescent="0.25">
      <c r="A957" s="8" t="str">
        <f t="shared" si="14"/>
        <v>003</v>
      </c>
      <c r="B957" s="8" t="s">
        <v>67</v>
      </c>
      <c r="C957" s="12" t="s">
        <v>1099</v>
      </c>
      <c r="D957" s="8">
        <v>18</v>
      </c>
      <c r="E957" s="8" t="s">
        <v>425</v>
      </c>
    </row>
    <row r="958" spans="1:5" x14ac:dyDescent="0.25">
      <c r="A958" s="8" t="str">
        <f t="shared" si="14"/>
        <v>004</v>
      </c>
      <c r="B958" s="8" t="s">
        <v>69</v>
      </c>
      <c r="C958" s="12" t="s">
        <v>1100</v>
      </c>
      <c r="D958" s="8">
        <v>18</v>
      </c>
      <c r="E958" s="8" t="s">
        <v>425</v>
      </c>
    </row>
    <row r="959" spans="1:5" x14ac:dyDescent="0.25">
      <c r="A959" s="8" t="str">
        <f t="shared" si="14"/>
        <v>005</v>
      </c>
      <c r="B959" s="8" t="s">
        <v>78</v>
      </c>
      <c r="C959" s="12" t="s">
        <v>1101</v>
      </c>
      <c r="D959" s="8">
        <v>18</v>
      </c>
      <c r="E959" s="8" t="s">
        <v>425</v>
      </c>
    </row>
    <row r="960" spans="1:5" x14ac:dyDescent="0.25">
      <c r="A960" s="8" t="str">
        <f t="shared" si="14"/>
        <v>006</v>
      </c>
      <c r="B960" s="8" t="s">
        <v>80</v>
      </c>
      <c r="C960" s="12" t="s">
        <v>1102</v>
      </c>
      <c r="D960" s="8">
        <v>18</v>
      </c>
      <c r="E960" s="8" t="s">
        <v>425</v>
      </c>
    </row>
    <row r="961" spans="1:5" x14ac:dyDescent="0.25">
      <c r="A961" s="8" t="str">
        <f t="shared" si="14"/>
        <v>007</v>
      </c>
      <c r="B961" s="8" t="s">
        <v>71</v>
      </c>
      <c r="C961" s="12" t="s">
        <v>1095</v>
      </c>
      <c r="D961" s="8">
        <v>18</v>
      </c>
      <c r="E961" s="8" t="s">
        <v>425</v>
      </c>
    </row>
    <row r="962" spans="1:5" x14ac:dyDescent="0.25">
      <c r="A962" s="8" t="str">
        <f t="shared" si="14"/>
        <v>008</v>
      </c>
      <c r="B962" s="8" t="s">
        <v>271</v>
      </c>
      <c r="C962" s="12" t="s">
        <v>1103</v>
      </c>
      <c r="D962" s="8">
        <v>18</v>
      </c>
      <c r="E962" s="8" t="s">
        <v>425</v>
      </c>
    </row>
    <row r="963" spans="1:5" x14ac:dyDescent="0.25">
      <c r="A963" s="8" t="str">
        <f t="shared" ref="A963:A1026" si="15">TEXT(B963,"000")</f>
        <v>009</v>
      </c>
      <c r="B963" s="8" t="s">
        <v>273</v>
      </c>
      <c r="C963" s="12" t="s">
        <v>1097</v>
      </c>
      <c r="D963" s="8">
        <v>18</v>
      </c>
      <c r="E963" s="8" t="s">
        <v>425</v>
      </c>
    </row>
    <row r="964" spans="1:5" x14ac:dyDescent="0.25">
      <c r="A964" s="8" t="str">
        <f t="shared" si="15"/>
        <v>010</v>
      </c>
      <c r="B964" s="8" t="s">
        <v>61</v>
      </c>
      <c r="C964" s="12" t="s">
        <v>1104</v>
      </c>
      <c r="D964" s="8">
        <v>18</v>
      </c>
      <c r="E964" s="8" t="s">
        <v>425</v>
      </c>
    </row>
    <row r="965" spans="1:5" x14ac:dyDescent="0.25">
      <c r="A965" s="8" t="str">
        <f t="shared" si="15"/>
        <v>011</v>
      </c>
      <c r="B965" s="8" t="s">
        <v>74</v>
      </c>
      <c r="C965" s="12" t="s">
        <v>1105</v>
      </c>
      <c r="D965" s="8">
        <v>18</v>
      </c>
      <c r="E965" s="8" t="s">
        <v>425</v>
      </c>
    </row>
    <row r="966" spans="1:5" x14ac:dyDescent="0.25">
      <c r="A966" s="8" t="str">
        <f t="shared" si="15"/>
        <v>000</v>
      </c>
      <c r="B966" s="8" t="s">
        <v>65</v>
      </c>
      <c r="C966" s="12" t="s">
        <v>66</v>
      </c>
      <c r="D966" s="8">
        <v>18</v>
      </c>
      <c r="E966" s="8" t="s">
        <v>433</v>
      </c>
    </row>
    <row r="967" spans="1:5" x14ac:dyDescent="0.25">
      <c r="A967" s="8" t="str">
        <f t="shared" si="15"/>
        <v>001</v>
      </c>
      <c r="B967" s="8" t="s">
        <v>262</v>
      </c>
      <c r="C967" s="12" t="s">
        <v>762</v>
      </c>
      <c r="D967" s="8">
        <v>18</v>
      </c>
      <c r="E967" s="8" t="s">
        <v>433</v>
      </c>
    </row>
    <row r="968" spans="1:5" x14ac:dyDescent="0.25">
      <c r="A968" s="8" t="str">
        <f t="shared" si="15"/>
        <v>002</v>
      </c>
      <c r="B968" s="8" t="s">
        <v>264</v>
      </c>
      <c r="C968" s="12" t="s">
        <v>763</v>
      </c>
      <c r="D968" s="8">
        <v>18</v>
      </c>
      <c r="E968" s="8" t="s">
        <v>433</v>
      </c>
    </row>
    <row r="969" spans="1:5" x14ac:dyDescent="0.25">
      <c r="A969" s="8" t="str">
        <f t="shared" si="15"/>
        <v>003</v>
      </c>
      <c r="B969" s="8" t="s">
        <v>67</v>
      </c>
      <c r="C969" s="12" t="s">
        <v>1106</v>
      </c>
      <c r="D969" s="8">
        <v>18</v>
      </c>
      <c r="E969" s="8" t="s">
        <v>433</v>
      </c>
    </row>
    <row r="970" spans="1:5" x14ac:dyDescent="0.25">
      <c r="A970" s="8" t="str">
        <f t="shared" si="15"/>
        <v>004</v>
      </c>
      <c r="B970" s="8" t="s">
        <v>69</v>
      </c>
      <c r="C970" s="12" t="s">
        <v>1107</v>
      </c>
      <c r="D970" s="8">
        <v>18</v>
      </c>
      <c r="E970" s="8" t="s">
        <v>433</v>
      </c>
    </row>
    <row r="971" spans="1:5" x14ac:dyDescent="0.25">
      <c r="A971" s="8" t="str">
        <f t="shared" si="15"/>
        <v>000</v>
      </c>
      <c r="C971" s="12" t="s">
        <v>1108</v>
      </c>
      <c r="D971" s="8">
        <v>18</v>
      </c>
      <c r="E971" s="8" t="s">
        <v>433</v>
      </c>
    </row>
    <row r="972" spans="1:5" x14ac:dyDescent="0.25">
      <c r="A972" s="8" t="str">
        <f t="shared" si="15"/>
        <v>000</v>
      </c>
      <c r="B972" s="8" t="s">
        <v>65</v>
      </c>
      <c r="C972" s="12" t="s">
        <v>66</v>
      </c>
      <c r="D972" s="8">
        <v>18</v>
      </c>
      <c r="E972" s="8" t="s">
        <v>300</v>
      </c>
    </row>
    <row r="973" spans="1:5" x14ac:dyDescent="0.25">
      <c r="A973" s="8" t="str">
        <f t="shared" si="15"/>
        <v>001</v>
      </c>
      <c r="B973" s="8" t="s">
        <v>262</v>
      </c>
      <c r="C973" s="12" t="s">
        <v>1109</v>
      </c>
      <c r="D973" s="8">
        <v>18</v>
      </c>
      <c r="E973" s="8" t="s">
        <v>300</v>
      </c>
    </row>
    <row r="974" spans="1:5" x14ac:dyDescent="0.25">
      <c r="A974" s="8" t="str">
        <f t="shared" si="15"/>
        <v>002</v>
      </c>
      <c r="B974" s="8" t="s">
        <v>264</v>
      </c>
      <c r="C974" s="12" t="s">
        <v>1110</v>
      </c>
      <c r="D974" s="8">
        <v>18</v>
      </c>
      <c r="E974" s="8" t="s">
        <v>300</v>
      </c>
    </row>
    <row r="975" spans="1:5" x14ac:dyDescent="0.25">
      <c r="A975" s="8" t="str">
        <f t="shared" si="15"/>
        <v>001</v>
      </c>
      <c r="B975" s="8" t="s">
        <v>262</v>
      </c>
      <c r="C975" s="12" t="s">
        <v>1111</v>
      </c>
      <c r="D975" s="8">
        <v>18</v>
      </c>
      <c r="E975" s="8" t="s">
        <v>458</v>
      </c>
    </row>
    <row r="976" spans="1:5" x14ac:dyDescent="0.25">
      <c r="A976" s="8" t="str">
        <f t="shared" si="15"/>
        <v>002</v>
      </c>
      <c r="B976" s="8" t="s">
        <v>264</v>
      </c>
      <c r="C976" s="12" t="s">
        <v>1112</v>
      </c>
      <c r="D976" s="8">
        <v>18</v>
      </c>
      <c r="E976" s="8" t="s">
        <v>458</v>
      </c>
    </row>
    <row r="977" spans="1:5" x14ac:dyDescent="0.25">
      <c r="A977" s="8" t="str">
        <f t="shared" si="15"/>
        <v>003</v>
      </c>
      <c r="B977" s="8" t="s">
        <v>67</v>
      </c>
      <c r="C977" s="12" t="s">
        <v>1113</v>
      </c>
      <c r="D977" s="8">
        <v>18</v>
      </c>
      <c r="E977" s="8" t="s">
        <v>458</v>
      </c>
    </row>
    <row r="978" spans="1:5" x14ac:dyDescent="0.25">
      <c r="A978" s="8" t="str">
        <f t="shared" si="15"/>
        <v>004</v>
      </c>
      <c r="B978" s="8" t="s">
        <v>69</v>
      </c>
      <c r="C978" s="12" t="s">
        <v>1114</v>
      </c>
      <c r="D978" s="8">
        <v>18</v>
      </c>
      <c r="E978" s="8" t="s">
        <v>458</v>
      </c>
    </row>
    <row r="979" spans="1:5" x14ac:dyDescent="0.25">
      <c r="A979" s="8" t="str">
        <f t="shared" si="15"/>
        <v>005</v>
      </c>
      <c r="B979" s="8" t="s">
        <v>78</v>
      </c>
      <c r="C979" s="12" t="s">
        <v>1115</v>
      </c>
      <c r="D979" s="8">
        <v>18</v>
      </c>
      <c r="E979" s="8" t="s">
        <v>458</v>
      </c>
    </row>
    <row r="980" spans="1:5" x14ac:dyDescent="0.25">
      <c r="A980" s="8" t="str">
        <f t="shared" si="15"/>
        <v>006</v>
      </c>
      <c r="B980" s="8" t="s">
        <v>80</v>
      </c>
      <c r="C980" s="12" t="s">
        <v>1116</v>
      </c>
      <c r="D980" s="8">
        <v>18</v>
      </c>
      <c r="E980" s="8" t="s">
        <v>458</v>
      </c>
    </row>
    <row r="981" spans="1:5" x14ac:dyDescent="0.25">
      <c r="A981" s="8" t="str">
        <f t="shared" si="15"/>
        <v>007</v>
      </c>
      <c r="B981" s="8" t="s">
        <v>71</v>
      </c>
      <c r="C981" s="12" t="s">
        <v>1117</v>
      </c>
      <c r="D981" s="8">
        <v>18</v>
      </c>
      <c r="E981" s="8" t="s">
        <v>458</v>
      </c>
    </row>
    <row r="982" spans="1:5" x14ac:dyDescent="0.25">
      <c r="A982" s="8" t="str">
        <f t="shared" si="15"/>
        <v>008</v>
      </c>
      <c r="B982" s="8" t="s">
        <v>271</v>
      </c>
      <c r="C982" s="12" t="s">
        <v>1118</v>
      </c>
      <c r="D982" s="8">
        <v>18</v>
      </c>
      <c r="E982" s="8" t="s">
        <v>458</v>
      </c>
    </row>
    <row r="983" spans="1:5" x14ac:dyDescent="0.25">
      <c r="A983" s="8" t="str">
        <f t="shared" si="15"/>
        <v>009</v>
      </c>
      <c r="B983" s="8" t="s">
        <v>273</v>
      </c>
      <c r="C983" s="12" t="s">
        <v>1119</v>
      </c>
      <c r="D983" s="8">
        <v>18</v>
      </c>
      <c r="E983" s="8" t="s">
        <v>458</v>
      </c>
    </row>
    <row r="984" spans="1:5" x14ac:dyDescent="0.25">
      <c r="A984" s="8" t="str">
        <f t="shared" si="15"/>
        <v>010</v>
      </c>
      <c r="B984" s="8" t="s">
        <v>61</v>
      </c>
      <c r="C984" s="12" t="s">
        <v>1120</v>
      </c>
      <c r="D984" s="8">
        <v>18</v>
      </c>
      <c r="E984" s="8" t="s">
        <v>458</v>
      </c>
    </row>
    <row r="985" spans="1:5" x14ac:dyDescent="0.25">
      <c r="A985" s="8" t="str">
        <f t="shared" si="15"/>
        <v>011</v>
      </c>
      <c r="B985" s="8" t="s">
        <v>74</v>
      </c>
      <c r="C985" s="12" t="s">
        <v>1121</v>
      </c>
      <c r="D985" s="8">
        <v>18</v>
      </c>
      <c r="E985" s="8" t="s">
        <v>458</v>
      </c>
    </row>
    <row r="986" spans="1:5" x14ac:dyDescent="0.25">
      <c r="A986" s="8" t="str">
        <f t="shared" si="15"/>
        <v>012</v>
      </c>
      <c r="B986" s="8" t="s">
        <v>76</v>
      </c>
      <c r="C986" s="12" t="s">
        <v>1122</v>
      </c>
      <c r="D986" s="8">
        <v>18</v>
      </c>
      <c r="E986" s="8" t="s">
        <v>458</v>
      </c>
    </row>
    <row r="987" spans="1:5" x14ac:dyDescent="0.25">
      <c r="A987" s="8" t="str">
        <f t="shared" si="15"/>
        <v>013</v>
      </c>
      <c r="B987" s="8" t="s">
        <v>278</v>
      </c>
      <c r="C987" s="12" t="s">
        <v>1123</v>
      </c>
      <c r="D987" s="8">
        <v>18</v>
      </c>
      <c r="E987" s="8" t="s">
        <v>458</v>
      </c>
    </row>
    <row r="988" spans="1:5" x14ac:dyDescent="0.25">
      <c r="A988" s="8" t="str">
        <f t="shared" si="15"/>
        <v>014</v>
      </c>
      <c r="B988" s="8" t="s">
        <v>280</v>
      </c>
      <c r="C988" s="12" t="s">
        <v>1124</v>
      </c>
      <c r="D988" s="8">
        <v>18</v>
      </c>
      <c r="E988" s="8" t="s">
        <v>458</v>
      </c>
    </row>
    <row r="989" spans="1:5" x14ac:dyDescent="0.25">
      <c r="A989" s="8" t="str">
        <f t="shared" si="15"/>
        <v>015</v>
      </c>
      <c r="B989" s="8" t="s">
        <v>346</v>
      </c>
      <c r="C989" s="12" t="s">
        <v>1125</v>
      </c>
      <c r="D989" s="8">
        <v>18</v>
      </c>
      <c r="E989" s="8" t="s">
        <v>458</v>
      </c>
    </row>
    <row r="990" spans="1:5" x14ac:dyDescent="0.25">
      <c r="A990" s="8" t="str">
        <f t="shared" si="15"/>
        <v>016</v>
      </c>
      <c r="B990" s="8" t="s">
        <v>82</v>
      </c>
      <c r="C990" s="12" t="s">
        <v>1126</v>
      </c>
      <c r="D990" s="8">
        <v>18</v>
      </c>
      <c r="E990" s="8" t="s">
        <v>458</v>
      </c>
    </row>
    <row r="991" spans="1:5" x14ac:dyDescent="0.25">
      <c r="A991" s="8" t="str">
        <f t="shared" si="15"/>
        <v>017</v>
      </c>
      <c r="B991" s="8" t="s">
        <v>349</v>
      </c>
      <c r="C991" s="12" t="s">
        <v>1127</v>
      </c>
      <c r="D991" s="8">
        <v>18</v>
      </c>
      <c r="E991" s="8" t="s">
        <v>458</v>
      </c>
    </row>
    <row r="992" spans="1:5" x14ac:dyDescent="0.25">
      <c r="A992" s="8" t="str">
        <f t="shared" si="15"/>
        <v>018</v>
      </c>
      <c r="B992" s="8" t="s">
        <v>351</v>
      </c>
      <c r="C992" s="12" t="s">
        <v>1128</v>
      </c>
      <c r="D992" s="8">
        <v>18</v>
      </c>
      <c r="E992" s="8" t="s">
        <v>458</v>
      </c>
    </row>
    <row r="993" spans="1:5" x14ac:dyDescent="0.25">
      <c r="A993" s="8" t="str">
        <f t="shared" si="15"/>
        <v>019</v>
      </c>
      <c r="B993" s="8" t="s">
        <v>353</v>
      </c>
      <c r="C993" s="12" t="s">
        <v>1129</v>
      </c>
      <c r="D993" s="8">
        <v>18</v>
      </c>
      <c r="E993" s="8" t="s">
        <v>458</v>
      </c>
    </row>
    <row r="994" spans="1:5" x14ac:dyDescent="0.25">
      <c r="A994" s="8" t="str">
        <f t="shared" si="15"/>
        <v>001</v>
      </c>
      <c r="B994" s="8" t="s">
        <v>262</v>
      </c>
      <c r="C994" s="12" t="s">
        <v>1130</v>
      </c>
      <c r="D994" s="8">
        <v>18</v>
      </c>
      <c r="E994" s="8" t="s">
        <v>464</v>
      </c>
    </row>
    <row r="995" spans="1:5" x14ac:dyDescent="0.25">
      <c r="A995" s="8" t="str">
        <f t="shared" si="15"/>
        <v>002</v>
      </c>
      <c r="B995" s="8" t="s">
        <v>264</v>
      </c>
      <c r="C995" s="12" t="s">
        <v>1131</v>
      </c>
      <c r="D995" s="8">
        <v>18</v>
      </c>
      <c r="E995" s="8" t="s">
        <v>464</v>
      </c>
    </row>
    <row r="996" spans="1:5" x14ac:dyDescent="0.25">
      <c r="A996" s="8" t="str">
        <f t="shared" si="15"/>
        <v>003</v>
      </c>
      <c r="B996" s="8" t="s">
        <v>67</v>
      </c>
      <c r="C996" s="12" t="s">
        <v>1132</v>
      </c>
      <c r="D996" s="8">
        <v>18</v>
      </c>
      <c r="E996" s="8" t="s">
        <v>464</v>
      </c>
    </row>
    <row r="997" spans="1:5" x14ac:dyDescent="0.25">
      <c r="A997" s="8" t="str">
        <f t="shared" si="15"/>
        <v>004</v>
      </c>
      <c r="B997" s="8" t="s">
        <v>69</v>
      </c>
      <c r="C997" s="12" t="s">
        <v>1133</v>
      </c>
      <c r="D997" s="8">
        <v>18</v>
      </c>
      <c r="E997" s="8" t="s">
        <v>464</v>
      </c>
    </row>
    <row r="998" spans="1:5" x14ac:dyDescent="0.25">
      <c r="A998" s="8" t="str">
        <f t="shared" si="15"/>
        <v>005</v>
      </c>
      <c r="B998" s="8" t="s">
        <v>78</v>
      </c>
      <c r="C998" s="12" t="s">
        <v>1134</v>
      </c>
      <c r="D998" s="8">
        <v>18</v>
      </c>
      <c r="E998" s="8" t="s">
        <v>464</v>
      </c>
    </row>
    <row r="999" spans="1:5" x14ac:dyDescent="0.25">
      <c r="A999" s="8" t="str">
        <f t="shared" si="15"/>
        <v>006</v>
      </c>
      <c r="B999" s="8" t="s">
        <v>80</v>
      </c>
      <c r="C999" s="12" t="s">
        <v>1135</v>
      </c>
      <c r="D999" s="8">
        <v>18</v>
      </c>
      <c r="E999" s="8" t="s">
        <v>464</v>
      </c>
    </row>
    <row r="1000" spans="1:5" x14ac:dyDescent="0.25">
      <c r="A1000" s="8" t="str">
        <f t="shared" si="15"/>
        <v>007</v>
      </c>
      <c r="B1000" s="8" t="s">
        <v>71</v>
      </c>
      <c r="C1000" s="12" t="s">
        <v>1136</v>
      </c>
      <c r="D1000" s="8">
        <v>18</v>
      </c>
      <c r="E1000" s="8" t="s">
        <v>464</v>
      </c>
    </row>
    <row r="1001" spans="1:5" x14ac:dyDescent="0.25">
      <c r="A1001" s="8" t="str">
        <f t="shared" si="15"/>
        <v>008</v>
      </c>
      <c r="B1001" s="8" t="s">
        <v>271</v>
      </c>
      <c r="C1001" s="12" t="s">
        <v>1137</v>
      </c>
      <c r="D1001" s="8">
        <v>18</v>
      </c>
      <c r="E1001" s="8" t="s">
        <v>464</v>
      </c>
    </row>
    <row r="1002" spans="1:5" x14ac:dyDescent="0.25">
      <c r="A1002" s="8" t="str">
        <f t="shared" si="15"/>
        <v>009</v>
      </c>
      <c r="B1002" s="8" t="s">
        <v>273</v>
      </c>
      <c r="C1002" s="12" t="s">
        <v>1138</v>
      </c>
      <c r="D1002" s="8">
        <v>18</v>
      </c>
      <c r="E1002" s="8" t="s">
        <v>464</v>
      </c>
    </row>
    <row r="1003" spans="1:5" x14ac:dyDescent="0.25">
      <c r="A1003" s="8" t="str">
        <f t="shared" si="15"/>
        <v>010</v>
      </c>
      <c r="B1003" s="8" t="s">
        <v>61</v>
      </c>
      <c r="C1003" s="12" t="s">
        <v>1139</v>
      </c>
      <c r="D1003" s="8">
        <v>18</v>
      </c>
      <c r="E1003" s="8" t="s">
        <v>464</v>
      </c>
    </row>
    <row r="1004" spans="1:5" x14ac:dyDescent="0.25">
      <c r="A1004" s="8" t="str">
        <f t="shared" si="15"/>
        <v>011</v>
      </c>
      <c r="B1004" s="8" t="s">
        <v>74</v>
      </c>
      <c r="C1004" s="12" t="s">
        <v>1140</v>
      </c>
      <c r="D1004" s="8">
        <v>18</v>
      </c>
      <c r="E1004" s="8" t="s">
        <v>464</v>
      </c>
    </row>
    <row r="1005" spans="1:5" x14ac:dyDescent="0.25">
      <c r="A1005" s="8" t="str">
        <f t="shared" si="15"/>
        <v>012</v>
      </c>
      <c r="B1005" s="8" t="s">
        <v>76</v>
      </c>
      <c r="C1005" s="12" t="s">
        <v>1141</v>
      </c>
      <c r="D1005" s="8">
        <v>18</v>
      </c>
      <c r="E1005" s="8" t="s">
        <v>464</v>
      </c>
    </row>
    <row r="1006" spans="1:5" x14ac:dyDescent="0.25">
      <c r="A1006" s="8" t="str">
        <f t="shared" si="15"/>
        <v>013</v>
      </c>
      <c r="B1006" s="8" t="s">
        <v>278</v>
      </c>
      <c r="C1006" s="12" t="s">
        <v>1142</v>
      </c>
      <c r="D1006" s="8">
        <v>18</v>
      </c>
      <c r="E1006" s="8" t="s">
        <v>464</v>
      </c>
    </row>
    <row r="1007" spans="1:5" x14ac:dyDescent="0.25">
      <c r="A1007" s="8" t="str">
        <f t="shared" si="15"/>
        <v>014</v>
      </c>
      <c r="B1007" s="8" t="s">
        <v>280</v>
      </c>
      <c r="C1007" s="12" t="s">
        <v>1143</v>
      </c>
      <c r="D1007" s="8">
        <v>18</v>
      </c>
      <c r="E1007" s="8" t="s">
        <v>464</v>
      </c>
    </row>
    <row r="1008" spans="1:5" x14ac:dyDescent="0.25">
      <c r="A1008" s="8" t="str">
        <f t="shared" si="15"/>
        <v>015</v>
      </c>
      <c r="B1008" s="8" t="s">
        <v>346</v>
      </c>
      <c r="C1008" s="12" t="s">
        <v>1144</v>
      </c>
      <c r="D1008" s="8">
        <v>18</v>
      </c>
      <c r="E1008" s="8" t="s">
        <v>464</v>
      </c>
    </row>
    <row r="1009" spans="1:5" x14ac:dyDescent="0.25">
      <c r="A1009" s="8" t="str">
        <f t="shared" si="15"/>
        <v>016</v>
      </c>
      <c r="B1009" s="8" t="s">
        <v>82</v>
      </c>
      <c r="C1009" s="12" t="s">
        <v>1145</v>
      </c>
      <c r="D1009" s="8">
        <v>18</v>
      </c>
      <c r="E1009" s="8" t="s">
        <v>464</v>
      </c>
    </row>
    <row r="1010" spans="1:5" x14ac:dyDescent="0.25">
      <c r="A1010" s="8" t="str">
        <f t="shared" si="15"/>
        <v>017</v>
      </c>
      <c r="B1010" s="8" t="s">
        <v>349</v>
      </c>
      <c r="C1010" s="12" t="s">
        <v>1146</v>
      </c>
      <c r="D1010" s="8">
        <v>18</v>
      </c>
      <c r="E1010" s="8" t="s">
        <v>464</v>
      </c>
    </row>
    <row r="1011" spans="1:5" x14ac:dyDescent="0.25">
      <c r="A1011" s="8" t="str">
        <f t="shared" si="15"/>
        <v>018</v>
      </c>
      <c r="B1011" s="8" t="s">
        <v>351</v>
      </c>
      <c r="C1011" s="12" t="s">
        <v>1147</v>
      </c>
      <c r="D1011" s="8">
        <v>18</v>
      </c>
      <c r="E1011" s="8" t="s">
        <v>464</v>
      </c>
    </row>
    <row r="1012" spans="1:5" x14ac:dyDescent="0.25">
      <c r="A1012" s="8" t="str">
        <f t="shared" si="15"/>
        <v>019</v>
      </c>
      <c r="B1012" s="8" t="s">
        <v>353</v>
      </c>
      <c r="C1012" s="12" t="s">
        <v>1148</v>
      </c>
      <c r="D1012" s="8">
        <v>18</v>
      </c>
      <c r="E1012" s="8" t="s">
        <v>464</v>
      </c>
    </row>
    <row r="1013" spans="1:5" x14ac:dyDescent="0.25">
      <c r="A1013" s="8" t="str">
        <f t="shared" si="15"/>
        <v>020</v>
      </c>
      <c r="B1013" s="8" t="s">
        <v>63</v>
      </c>
      <c r="C1013" s="12" t="s">
        <v>1149</v>
      </c>
      <c r="D1013" s="8">
        <v>18</v>
      </c>
      <c r="E1013" s="8" t="s">
        <v>464</v>
      </c>
    </row>
    <row r="1014" spans="1:5" x14ac:dyDescent="0.25">
      <c r="A1014" s="8" t="str">
        <f t="shared" si="15"/>
        <v>021</v>
      </c>
      <c r="B1014" s="8" t="s">
        <v>356</v>
      </c>
      <c r="C1014" s="12" t="s">
        <v>1150</v>
      </c>
      <c r="D1014" s="8">
        <v>18</v>
      </c>
      <c r="E1014" s="8" t="s">
        <v>464</v>
      </c>
    </row>
    <row r="1015" spans="1:5" x14ac:dyDescent="0.25">
      <c r="A1015" s="8" t="str">
        <f t="shared" si="15"/>
        <v>022</v>
      </c>
      <c r="B1015" s="8" t="s">
        <v>358</v>
      </c>
      <c r="C1015" s="12" t="s">
        <v>1151</v>
      </c>
      <c r="D1015" s="8">
        <v>18</v>
      </c>
      <c r="E1015" s="8" t="s">
        <v>464</v>
      </c>
    </row>
    <row r="1016" spans="1:5" x14ac:dyDescent="0.25">
      <c r="A1016" s="8" t="str">
        <f t="shared" si="15"/>
        <v>023</v>
      </c>
      <c r="B1016" s="8" t="s">
        <v>360</v>
      </c>
      <c r="C1016" s="12" t="s">
        <v>1152</v>
      </c>
      <c r="D1016" s="8">
        <v>18</v>
      </c>
      <c r="E1016" s="8" t="s">
        <v>464</v>
      </c>
    </row>
    <row r="1017" spans="1:5" x14ac:dyDescent="0.25">
      <c r="A1017" s="8" t="str">
        <f t="shared" si="15"/>
        <v>024</v>
      </c>
      <c r="B1017" s="8" t="s">
        <v>362</v>
      </c>
      <c r="C1017" s="12" t="s">
        <v>1153</v>
      </c>
      <c r="D1017" s="8">
        <v>18</v>
      </c>
      <c r="E1017" s="8" t="s">
        <v>464</v>
      </c>
    </row>
    <row r="1018" spans="1:5" x14ac:dyDescent="0.25">
      <c r="A1018" s="8" t="str">
        <f t="shared" si="15"/>
        <v>025</v>
      </c>
      <c r="B1018" s="8" t="s">
        <v>84</v>
      </c>
      <c r="C1018" s="12" t="s">
        <v>1154</v>
      </c>
      <c r="D1018" s="8">
        <v>18</v>
      </c>
      <c r="E1018" s="8" t="s">
        <v>464</v>
      </c>
    </row>
    <row r="1019" spans="1:5" x14ac:dyDescent="0.25">
      <c r="A1019" s="8" t="str">
        <f t="shared" si="15"/>
        <v>026</v>
      </c>
      <c r="B1019" s="8" t="s">
        <v>365</v>
      </c>
      <c r="C1019" s="12" t="s">
        <v>1155</v>
      </c>
      <c r="D1019" s="8">
        <v>18</v>
      </c>
      <c r="E1019" s="8" t="s">
        <v>464</v>
      </c>
    </row>
    <row r="1020" spans="1:5" x14ac:dyDescent="0.25">
      <c r="A1020" s="8" t="str">
        <f t="shared" si="15"/>
        <v>027</v>
      </c>
      <c r="B1020" s="8" t="s">
        <v>367</v>
      </c>
      <c r="C1020" s="12" t="s">
        <v>1156</v>
      </c>
      <c r="D1020" s="8">
        <v>18</v>
      </c>
      <c r="E1020" s="8" t="s">
        <v>464</v>
      </c>
    </row>
    <row r="1021" spans="1:5" x14ac:dyDescent="0.25">
      <c r="A1021" s="8" t="str">
        <f t="shared" si="15"/>
        <v>028</v>
      </c>
      <c r="B1021" s="8" t="s">
        <v>369</v>
      </c>
      <c r="C1021" s="12" t="s">
        <v>1153</v>
      </c>
      <c r="D1021" s="8">
        <v>18</v>
      </c>
      <c r="E1021" s="8" t="s">
        <v>464</v>
      </c>
    </row>
    <row r="1022" spans="1:5" x14ac:dyDescent="0.25">
      <c r="A1022" s="8" t="str">
        <f t="shared" si="15"/>
        <v>029</v>
      </c>
      <c r="B1022" s="8" t="s">
        <v>371</v>
      </c>
      <c r="C1022" s="12" t="s">
        <v>1157</v>
      </c>
      <c r="D1022" s="8">
        <v>18</v>
      </c>
      <c r="E1022" s="8" t="s">
        <v>464</v>
      </c>
    </row>
    <row r="1023" spans="1:5" x14ac:dyDescent="0.25">
      <c r="A1023" s="8" t="str">
        <f t="shared" si="15"/>
        <v>001</v>
      </c>
      <c r="B1023" s="8" t="s">
        <v>262</v>
      </c>
      <c r="C1023" s="12" t="s">
        <v>1158</v>
      </c>
      <c r="D1023" s="8">
        <v>18</v>
      </c>
    </row>
    <row r="1024" spans="1:5" x14ac:dyDescent="0.25">
      <c r="A1024" s="8" t="str">
        <f t="shared" si="15"/>
        <v>002</v>
      </c>
      <c r="B1024" s="8" t="s">
        <v>264</v>
      </c>
      <c r="C1024" s="12" t="s">
        <v>1159</v>
      </c>
      <c r="D1024" s="8">
        <v>18</v>
      </c>
    </row>
    <row r="1025" spans="1:5" x14ac:dyDescent="0.25">
      <c r="A1025" s="8" t="str">
        <f t="shared" si="15"/>
        <v>003</v>
      </c>
      <c r="B1025" s="8" t="s">
        <v>67</v>
      </c>
      <c r="C1025" s="12" t="s">
        <v>1160</v>
      </c>
      <c r="D1025" s="8">
        <v>18</v>
      </c>
    </row>
    <row r="1026" spans="1:5" x14ac:dyDescent="0.25">
      <c r="A1026" s="8" t="str">
        <f t="shared" si="15"/>
        <v>004</v>
      </c>
      <c r="B1026" s="8" t="s">
        <v>69</v>
      </c>
      <c r="C1026" s="12" t="s">
        <v>1161</v>
      </c>
      <c r="D1026" s="8">
        <v>18</v>
      </c>
    </row>
    <row r="1027" spans="1:5" x14ac:dyDescent="0.25">
      <c r="A1027" s="8" t="str">
        <f t="shared" ref="A1027:A1090" si="16">TEXT(B1027,"000")</f>
        <v>005</v>
      </c>
      <c r="B1027" s="8" t="s">
        <v>78</v>
      </c>
      <c r="C1027" s="12" t="s">
        <v>1162</v>
      </c>
      <c r="D1027" s="8">
        <v>18</v>
      </c>
    </row>
    <row r="1028" spans="1:5" x14ac:dyDescent="0.25">
      <c r="A1028" s="8" t="str">
        <f t="shared" si="16"/>
        <v>006</v>
      </c>
      <c r="B1028" s="8" t="s">
        <v>80</v>
      </c>
      <c r="C1028" s="12" t="s">
        <v>1163</v>
      </c>
      <c r="D1028" s="8">
        <v>18</v>
      </c>
    </row>
    <row r="1029" spans="1:5" x14ac:dyDescent="0.25">
      <c r="A1029" s="8" t="str">
        <f t="shared" si="16"/>
        <v>007</v>
      </c>
      <c r="B1029" s="8" t="s">
        <v>71</v>
      </c>
      <c r="C1029" s="12" t="s">
        <v>1090</v>
      </c>
      <c r="D1029" s="8">
        <v>18</v>
      </c>
    </row>
    <row r="1030" spans="1:5" x14ac:dyDescent="0.25">
      <c r="A1030" s="8" t="str">
        <f t="shared" si="16"/>
        <v>008</v>
      </c>
      <c r="B1030" s="8" t="s">
        <v>271</v>
      </c>
      <c r="C1030" s="12" t="s">
        <v>1164</v>
      </c>
      <c r="D1030" s="8">
        <v>18</v>
      </c>
    </row>
    <row r="1031" spans="1:5" x14ac:dyDescent="0.25">
      <c r="A1031" s="8" t="str">
        <f t="shared" si="16"/>
        <v>009</v>
      </c>
      <c r="B1031" s="8" t="s">
        <v>273</v>
      </c>
      <c r="C1031" s="12" t="s">
        <v>1091</v>
      </c>
      <c r="D1031" s="8">
        <v>18</v>
      </c>
    </row>
    <row r="1032" spans="1:5" x14ac:dyDescent="0.25">
      <c r="A1032" s="8" t="str">
        <f t="shared" si="16"/>
        <v>010</v>
      </c>
      <c r="B1032" s="8" t="s">
        <v>61</v>
      </c>
      <c r="C1032" s="12" t="s">
        <v>1165</v>
      </c>
      <c r="D1032" s="8">
        <v>18</v>
      </c>
    </row>
    <row r="1033" spans="1:5" x14ac:dyDescent="0.25">
      <c r="A1033" s="8" t="str">
        <f t="shared" si="16"/>
        <v>011</v>
      </c>
      <c r="B1033" s="8" t="s">
        <v>74</v>
      </c>
      <c r="C1033" s="12" t="s">
        <v>1166</v>
      </c>
      <c r="D1033" s="8">
        <v>18</v>
      </c>
    </row>
    <row r="1034" spans="1:5" x14ac:dyDescent="0.25">
      <c r="A1034" s="8" t="str">
        <f t="shared" si="16"/>
        <v>001</v>
      </c>
      <c r="B1034" s="8" t="s">
        <v>262</v>
      </c>
      <c r="C1034" s="12" t="s">
        <v>1167</v>
      </c>
      <c r="D1034" s="8">
        <v>18</v>
      </c>
      <c r="E1034" s="8" t="s">
        <v>317</v>
      </c>
    </row>
    <row r="1035" spans="1:5" x14ac:dyDescent="0.25">
      <c r="A1035" s="8" t="str">
        <f t="shared" si="16"/>
        <v>002</v>
      </c>
      <c r="B1035" s="8" t="s">
        <v>264</v>
      </c>
      <c r="C1035" s="12" t="s">
        <v>1168</v>
      </c>
      <c r="D1035" s="8">
        <v>18</v>
      </c>
      <c r="E1035" s="8" t="s">
        <v>317</v>
      </c>
    </row>
    <row r="1036" spans="1:5" x14ac:dyDescent="0.25">
      <c r="A1036" s="8" t="str">
        <f t="shared" si="16"/>
        <v>003</v>
      </c>
      <c r="B1036" s="8" t="s">
        <v>67</v>
      </c>
      <c r="C1036" s="12" t="s">
        <v>1169</v>
      </c>
      <c r="D1036" s="8">
        <v>18</v>
      </c>
      <c r="E1036" s="8" t="s">
        <v>317</v>
      </c>
    </row>
    <row r="1037" spans="1:5" x14ac:dyDescent="0.25">
      <c r="A1037" s="8" t="str">
        <f t="shared" si="16"/>
        <v>004</v>
      </c>
      <c r="B1037" s="8" t="s">
        <v>69</v>
      </c>
      <c r="C1037" s="12" t="s">
        <v>1170</v>
      </c>
      <c r="D1037" s="8">
        <v>18</v>
      </c>
      <c r="E1037" s="8" t="s">
        <v>317</v>
      </c>
    </row>
    <row r="1038" spans="1:5" x14ac:dyDescent="0.25">
      <c r="A1038" s="8" t="str">
        <f t="shared" si="16"/>
        <v>005</v>
      </c>
      <c r="B1038" s="8" t="s">
        <v>78</v>
      </c>
      <c r="C1038" s="12" t="s">
        <v>1171</v>
      </c>
      <c r="D1038" s="8">
        <v>18</v>
      </c>
      <c r="E1038" s="8" t="s">
        <v>317</v>
      </c>
    </row>
    <row r="1039" spans="1:5" x14ac:dyDescent="0.25">
      <c r="A1039" s="8" t="str">
        <f t="shared" si="16"/>
        <v>006</v>
      </c>
      <c r="B1039" s="8" t="s">
        <v>80</v>
      </c>
      <c r="C1039" s="12" t="s">
        <v>1172</v>
      </c>
      <c r="D1039" s="8">
        <v>18</v>
      </c>
      <c r="E1039" s="8" t="s">
        <v>317</v>
      </c>
    </row>
    <row r="1040" spans="1:5" x14ac:dyDescent="0.25">
      <c r="A1040" s="8" t="str">
        <f t="shared" si="16"/>
        <v>007</v>
      </c>
      <c r="B1040" s="8" t="s">
        <v>71</v>
      </c>
      <c r="C1040" s="12" t="s">
        <v>1173</v>
      </c>
      <c r="D1040" s="8">
        <v>18</v>
      </c>
      <c r="E1040" s="8" t="s">
        <v>317</v>
      </c>
    </row>
    <row r="1041" spans="1:5" x14ac:dyDescent="0.25">
      <c r="A1041" s="8" t="str">
        <f t="shared" si="16"/>
        <v>001</v>
      </c>
      <c r="B1041" s="8" t="s">
        <v>262</v>
      </c>
      <c r="C1041" s="12" t="s">
        <v>1174</v>
      </c>
      <c r="D1041" s="8">
        <v>18</v>
      </c>
      <c r="E1041" s="8" t="s">
        <v>324</v>
      </c>
    </row>
    <row r="1042" spans="1:5" x14ac:dyDescent="0.25">
      <c r="A1042" s="8" t="str">
        <f t="shared" si="16"/>
        <v>002</v>
      </c>
      <c r="B1042" s="8" t="s">
        <v>264</v>
      </c>
      <c r="C1042" s="12" t="s">
        <v>1175</v>
      </c>
      <c r="D1042" s="8">
        <v>18</v>
      </c>
      <c r="E1042" s="8" t="s">
        <v>324</v>
      </c>
    </row>
    <row r="1043" spans="1:5" x14ac:dyDescent="0.25">
      <c r="A1043" s="8" t="str">
        <f t="shared" si="16"/>
        <v>006</v>
      </c>
      <c r="B1043" s="8" t="s">
        <v>80</v>
      </c>
      <c r="C1043" s="12" t="s">
        <v>1176</v>
      </c>
      <c r="D1043" s="8">
        <v>18</v>
      </c>
      <c r="E1043" s="8" t="s">
        <v>324</v>
      </c>
    </row>
    <row r="1044" spans="1:5" x14ac:dyDescent="0.25">
      <c r="A1044" s="8" t="str">
        <f t="shared" si="16"/>
        <v>001</v>
      </c>
      <c r="B1044" s="8" t="s">
        <v>262</v>
      </c>
      <c r="C1044" s="12" t="s">
        <v>1099</v>
      </c>
      <c r="D1044" s="8">
        <v>18</v>
      </c>
      <c r="E1044" s="8" t="s">
        <v>326</v>
      </c>
    </row>
    <row r="1045" spans="1:5" x14ac:dyDescent="0.25">
      <c r="A1045" s="8" t="str">
        <f t="shared" si="16"/>
        <v>002</v>
      </c>
      <c r="B1045" s="8" t="s">
        <v>264</v>
      </c>
      <c r="C1045" s="12" t="s">
        <v>1100</v>
      </c>
      <c r="D1045" s="8">
        <v>18</v>
      </c>
      <c r="E1045" s="8" t="s">
        <v>326</v>
      </c>
    </row>
    <row r="1046" spans="1:5" x14ac:dyDescent="0.25">
      <c r="A1046" s="8" t="str">
        <f t="shared" si="16"/>
        <v>001</v>
      </c>
      <c r="B1046" s="8" t="s">
        <v>262</v>
      </c>
      <c r="C1046" s="12" t="s">
        <v>1177</v>
      </c>
      <c r="D1046" s="8">
        <v>18</v>
      </c>
      <c r="E1046" s="8" t="s">
        <v>528</v>
      </c>
    </row>
    <row r="1047" spans="1:5" x14ac:dyDescent="0.25">
      <c r="A1047" s="8" t="str">
        <f t="shared" si="16"/>
        <v>002</v>
      </c>
      <c r="B1047" s="8" t="s">
        <v>264</v>
      </c>
      <c r="C1047" s="12" t="s">
        <v>1178</v>
      </c>
      <c r="D1047" s="8">
        <v>18</v>
      </c>
      <c r="E1047" s="8" t="s">
        <v>528</v>
      </c>
    </row>
    <row r="1048" spans="1:5" x14ac:dyDescent="0.25">
      <c r="A1048" s="8" t="str">
        <f t="shared" si="16"/>
        <v>003</v>
      </c>
      <c r="B1048" s="8" t="s">
        <v>67</v>
      </c>
      <c r="C1048" s="12" t="s">
        <v>1179</v>
      </c>
      <c r="D1048" s="8">
        <v>18</v>
      </c>
      <c r="E1048" s="8" t="s">
        <v>528</v>
      </c>
    </row>
    <row r="1049" spans="1:5" x14ac:dyDescent="0.25">
      <c r="A1049" s="8" t="str">
        <f t="shared" si="16"/>
        <v>004</v>
      </c>
      <c r="B1049" s="8" t="s">
        <v>69</v>
      </c>
      <c r="C1049" s="12" t="s">
        <v>1180</v>
      </c>
      <c r="D1049" s="8">
        <v>18</v>
      </c>
      <c r="E1049" s="8" t="s">
        <v>528</v>
      </c>
    </row>
    <row r="1050" spans="1:5" x14ac:dyDescent="0.25">
      <c r="A1050" s="8" t="str">
        <f t="shared" si="16"/>
        <v>005</v>
      </c>
      <c r="B1050" s="8" t="s">
        <v>78</v>
      </c>
      <c r="C1050" s="12" t="s">
        <v>1181</v>
      </c>
      <c r="D1050" s="8">
        <v>18</v>
      </c>
      <c r="E1050" s="8" t="s">
        <v>528</v>
      </c>
    </row>
    <row r="1051" spans="1:5" x14ac:dyDescent="0.25">
      <c r="A1051" s="8" t="str">
        <f t="shared" si="16"/>
        <v>006</v>
      </c>
      <c r="B1051" s="8" t="s">
        <v>80</v>
      </c>
      <c r="C1051" s="12" t="s">
        <v>1182</v>
      </c>
      <c r="D1051" s="8">
        <v>18</v>
      </c>
      <c r="E1051" s="8" t="s">
        <v>528</v>
      </c>
    </row>
    <row r="1052" spans="1:5" x14ac:dyDescent="0.25">
      <c r="A1052" s="8" t="str">
        <f t="shared" si="16"/>
        <v>007</v>
      </c>
      <c r="B1052" s="8" t="s">
        <v>71</v>
      </c>
      <c r="C1052" s="12" t="s">
        <v>1183</v>
      </c>
      <c r="D1052" s="8">
        <v>18</v>
      </c>
      <c r="E1052" s="8" t="s">
        <v>528</v>
      </c>
    </row>
    <row r="1053" spans="1:5" x14ac:dyDescent="0.25">
      <c r="A1053" s="8" t="str">
        <f t="shared" si="16"/>
        <v>008</v>
      </c>
      <c r="B1053" s="8" t="s">
        <v>271</v>
      </c>
      <c r="C1053" s="12" t="s">
        <v>1184</v>
      </c>
      <c r="D1053" s="8">
        <v>18</v>
      </c>
      <c r="E1053" s="8" t="s">
        <v>528</v>
      </c>
    </row>
    <row r="1054" spans="1:5" x14ac:dyDescent="0.25">
      <c r="A1054" s="8" t="str">
        <f t="shared" si="16"/>
        <v>009</v>
      </c>
      <c r="B1054" s="8" t="s">
        <v>273</v>
      </c>
      <c r="C1054" s="12" t="s">
        <v>1185</v>
      </c>
      <c r="D1054" s="8">
        <v>18</v>
      </c>
      <c r="E1054" s="8" t="s">
        <v>528</v>
      </c>
    </row>
    <row r="1055" spans="1:5" x14ac:dyDescent="0.25">
      <c r="A1055" s="8" t="str">
        <f t="shared" si="16"/>
        <v>010</v>
      </c>
      <c r="B1055" s="8" t="s">
        <v>61</v>
      </c>
      <c r="C1055" s="12" t="s">
        <v>1186</v>
      </c>
      <c r="D1055" s="8">
        <v>18</v>
      </c>
      <c r="E1055" s="8" t="s">
        <v>528</v>
      </c>
    </row>
    <row r="1056" spans="1:5" x14ac:dyDescent="0.25">
      <c r="A1056" s="8" t="str">
        <f t="shared" si="16"/>
        <v>011</v>
      </c>
      <c r="B1056" s="8" t="s">
        <v>74</v>
      </c>
      <c r="C1056" s="12" t="s">
        <v>1187</v>
      </c>
      <c r="D1056" s="8">
        <v>18</v>
      </c>
      <c r="E1056" s="8" t="s">
        <v>528</v>
      </c>
    </row>
    <row r="1057" spans="1:5" x14ac:dyDescent="0.25">
      <c r="A1057" s="8" t="str">
        <f t="shared" si="16"/>
        <v>012</v>
      </c>
      <c r="B1057" s="8" t="s">
        <v>76</v>
      </c>
      <c r="C1057" s="12" t="s">
        <v>1188</v>
      </c>
      <c r="D1057" s="8">
        <v>18</v>
      </c>
      <c r="E1057" s="8" t="s">
        <v>528</v>
      </c>
    </row>
    <row r="1058" spans="1:5" x14ac:dyDescent="0.25">
      <c r="A1058" s="8" t="str">
        <f t="shared" si="16"/>
        <v>013</v>
      </c>
      <c r="B1058" s="8" t="s">
        <v>278</v>
      </c>
      <c r="C1058" s="12" t="s">
        <v>1189</v>
      </c>
      <c r="D1058" s="8">
        <v>18</v>
      </c>
      <c r="E1058" s="8" t="s">
        <v>528</v>
      </c>
    </row>
    <row r="1059" spans="1:5" x14ac:dyDescent="0.25">
      <c r="A1059" s="8" t="str">
        <f t="shared" si="16"/>
        <v>014</v>
      </c>
      <c r="B1059" s="8" t="s">
        <v>280</v>
      </c>
      <c r="C1059" s="12" t="s">
        <v>1190</v>
      </c>
      <c r="D1059" s="8">
        <v>18</v>
      </c>
      <c r="E1059" s="8" t="s">
        <v>528</v>
      </c>
    </row>
    <row r="1060" spans="1:5" x14ac:dyDescent="0.25">
      <c r="A1060" s="8" t="str">
        <f t="shared" si="16"/>
        <v>015</v>
      </c>
      <c r="B1060" s="8" t="s">
        <v>346</v>
      </c>
      <c r="C1060" s="12" t="s">
        <v>1191</v>
      </c>
      <c r="D1060" s="8">
        <v>18</v>
      </c>
      <c r="E1060" s="8" t="s">
        <v>528</v>
      </c>
    </row>
    <row r="1061" spans="1:5" x14ac:dyDescent="0.25">
      <c r="A1061" s="8" t="str">
        <f t="shared" si="16"/>
        <v>016</v>
      </c>
      <c r="B1061" s="8" t="s">
        <v>82</v>
      </c>
      <c r="C1061" s="12" t="s">
        <v>1191</v>
      </c>
      <c r="D1061" s="8">
        <v>18</v>
      </c>
      <c r="E1061" s="8" t="s">
        <v>528</v>
      </c>
    </row>
    <row r="1062" spans="1:5" x14ac:dyDescent="0.25">
      <c r="A1062" s="8" t="str">
        <f t="shared" si="16"/>
        <v>017</v>
      </c>
      <c r="B1062" s="8" t="s">
        <v>349</v>
      </c>
      <c r="C1062" s="12" t="s">
        <v>1192</v>
      </c>
      <c r="D1062" s="8">
        <v>18</v>
      </c>
      <c r="E1062" s="8" t="s">
        <v>528</v>
      </c>
    </row>
    <row r="1063" spans="1:5" x14ac:dyDescent="0.25">
      <c r="A1063" s="8" t="str">
        <f t="shared" si="16"/>
        <v>018</v>
      </c>
      <c r="B1063" s="8" t="s">
        <v>351</v>
      </c>
      <c r="C1063" s="12" t="s">
        <v>1193</v>
      </c>
      <c r="D1063" s="8">
        <v>18</v>
      </c>
      <c r="E1063" s="8" t="s">
        <v>528</v>
      </c>
    </row>
    <row r="1064" spans="1:5" x14ac:dyDescent="0.25">
      <c r="A1064" s="8" t="str">
        <f t="shared" si="16"/>
        <v>018</v>
      </c>
      <c r="B1064" s="8" t="s">
        <v>351</v>
      </c>
      <c r="C1064" s="12" t="s">
        <v>1194</v>
      </c>
      <c r="D1064" s="8">
        <v>18</v>
      </c>
      <c r="E1064" s="8" t="s">
        <v>528</v>
      </c>
    </row>
    <row r="1065" spans="1:5" x14ac:dyDescent="0.25">
      <c r="A1065" s="8" t="str">
        <f t="shared" si="16"/>
        <v>019</v>
      </c>
      <c r="B1065" s="8" t="s">
        <v>353</v>
      </c>
      <c r="C1065" s="12" t="s">
        <v>1195</v>
      </c>
      <c r="D1065" s="8">
        <v>18</v>
      </c>
      <c r="E1065" s="8" t="s">
        <v>528</v>
      </c>
    </row>
    <row r="1066" spans="1:5" x14ac:dyDescent="0.25">
      <c r="A1066" s="8" t="str">
        <f t="shared" si="16"/>
        <v>001</v>
      </c>
      <c r="B1066" s="8" t="s">
        <v>262</v>
      </c>
      <c r="C1066" s="12" t="s">
        <v>1196</v>
      </c>
      <c r="D1066" s="8">
        <v>18</v>
      </c>
      <c r="E1066" s="8" t="s">
        <v>516</v>
      </c>
    </row>
    <row r="1067" spans="1:5" x14ac:dyDescent="0.25">
      <c r="A1067" s="8" t="str">
        <f t="shared" si="16"/>
        <v>002</v>
      </c>
      <c r="B1067" s="8" t="s">
        <v>264</v>
      </c>
      <c r="C1067" s="12" t="s">
        <v>1197</v>
      </c>
      <c r="D1067" s="8">
        <v>18</v>
      </c>
      <c r="E1067" s="8" t="s">
        <v>516</v>
      </c>
    </row>
    <row r="1068" spans="1:5" x14ac:dyDescent="0.25">
      <c r="A1068" s="8" t="str">
        <f t="shared" si="16"/>
        <v>001</v>
      </c>
      <c r="B1068" s="8" t="s">
        <v>262</v>
      </c>
      <c r="C1068" s="12" t="s">
        <v>1198</v>
      </c>
      <c r="D1068" s="8">
        <v>18</v>
      </c>
      <c r="E1068" s="8" t="s">
        <v>523</v>
      </c>
    </row>
    <row r="1069" spans="1:5" x14ac:dyDescent="0.25">
      <c r="A1069" s="8" t="str">
        <f t="shared" si="16"/>
        <v>002</v>
      </c>
      <c r="B1069" s="8" t="s">
        <v>264</v>
      </c>
      <c r="C1069" s="12" t="s">
        <v>1199</v>
      </c>
      <c r="D1069" s="8">
        <v>18</v>
      </c>
      <c r="E1069" s="8" t="s">
        <v>523</v>
      </c>
    </row>
    <row r="1070" spans="1:5" x14ac:dyDescent="0.25">
      <c r="A1070" s="8" t="str">
        <f t="shared" si="16"/>
        <v>003</v>
      </c>
      <c r="B1070" s="8" t="s">
        <v>67</v>
      </c>
      <c r="C1070" s="12" t="s">
        <v>1200</v>
      </c>
      <c r="D1070" s="8">
        <v>18</v>
      </c>
      <c r="E1070" s="8" t="s">
        <v>523</v>
      </c>
    </row>
    <row r="1071" spans="1:5" x14ac:dyDescent="0.25">
      <c r="A1071" s="8" t="str">
        <f t="shared" si="16"/>
        <v>004</v>
      </c>
      <c r="B1071" s="8" t="s">
        <v>69</v>
      </c>
      <c r="C1071" s="12" t="s">
        <v>1201</v>
      </c>
      <c r="D1071" s="8">
        <v>18</v>
      </c>
      <c r="E1071" s="8" t="s">
        <v>523</v>
      </c>
    </row>
    <row r="1072" spans="1:5" x14ac:dyDescent="0.25">
      <c r="A1072" s="8" t="str">
        <f t="shared" si="16"/>
        <v>001</v>
      </c>
      <c r="B1072" s="8">
        <v>1</v>
      </c>
      <c r="C1072" s="12" t="s">
        <v>1202</v>
      </c>
      <c r="D1072" s="8">
        <v>18</v>
      </c>
      <c r="E1072" s="8" t="s">
        <v>526</v>
      </c>
    </row>
    <row r="1073" spans="1:5" x14ac:dyDescent="0.25">
      <c r="A1073" s="8" t="str">
        <f t="shared" si="16"/>
        <v>002</v>
      </c>
      <c r="B1073" s="8" t="s">
        <v>264</v>
      </c>
      <c r="C1073" s="12" t="s">
        <v>1203</v>
      </c>
      <c r="D1073" s="8">
        <v>18</v>
      </c>
      <c r="E1073" s="8" t="s">
        <v>526</v>
      </c>
    </row>
    <row r="1074" spans="1:5" x14ac:dyDescent="0.25">
      <c r="A1074" s="8" t="str">
        <f t="shared" si="16"/>
        <v>001</v>
      </c>
      <c r="B1074" s="8" t="s">
        <v>262</v>
      </c>
      <c r="C1074" s="12" t="s">
        <v>1204</v>
      </c>
      <c r="D1074" s="8">
        <v>18</v>
      </c>
      <c r="E1074" s="8" t="s">
        <v>548</v>
      </c>
    </row>
    <row r="1075" spans="1:5" x14ac:dyDescent="0.25">
      <c r="A1075" s="8" t="str">
        <f t="shared" si="16"/>
        <v>004</v>
      </c>
      <c r="B1075" s="8" t="s">
        <v>69</v>
      </c>
      <c r="C1075" s="12" t="s">
        <v>1205</v>
      </c>
      <c r="D1075" s="8">
        <v>18</v>
      </c>
      <c r="E1075" s="8" t="s">
        <v>548</v>
      </c>
    </row>
    <row r="1076" spans="1:5" x14ac:dyDescent="0.25">
      <c r="A1076" s="8" t="str">
        <f t="shared" si="16"/>
        <v>001</v>
      </c>
      <c r="B1076" s="8" t="s">
        <v>262</v>
      </c>
      <c r="C1076" s="12" t="s">
        <v>1202</v>
      </c>
      <c r="D1076" s="8">
        <v>18</v>
      </c>
      <c r="E1076" s="8" t="s">
        <v>452</v>
      </c>
    </row>
    <row r="1077" spans="1:5" x14ac:dyDescent="0.25">
      <c r="A1077" s="8" t="str">
        <f t="shared" si="16"/>
        <v>002</v>
      </c>
      <c r="B1077" s="8" t="s">
        <v>264</v>
      </c>
      <c r="C1077" s="12" t="s">
        <v>1206</v>
      </c>
      <c r="D1077" s="8">
        <v>18</v>
      </c>
      <c r="E1077" s="8" t="s">
        <v>452</v>
      </c>
    </row>
    <row r="1078" spans="1:5" x14ac:dyDescent="0.25">
      <c r="A1078" s="8" t="str">
        <f t="shared" si="16"/>
        <v>003</v>
      </c>
      <c r="B1078" s="8" t="s">
        <v>67</v>
      </c>
      <c r="C1078" s="12" t="s">
        <v>1207</v>
      </c>
      <c r="D1078" s="8">
        <v>18</v>
      </c>
      <c r="E1078" s="8" t="s">
        <v>452</v>
      </c>
    </row>
    <row r="1079" spans="1:5" x14ac:dyDescent="0.25">
      <c r="A1079" s="8" t="str">
        <f t="shared" si="16"/>
        <v>004</v>
      </c>
      <c r="B1079" s="8" t="s">
        <v>69</v>
      </c>
      <c r="C1079" s="12" t="s">
        <v>1208</v>
      </c>
      <c r="D1079" s="8">
        <v>18</v>
      </c>
      <c r="E1079" s="8" t="s">
        <v>452</v>
      </c>
    </row>
    <row r="1080" spans="1:5" x14ac:dyDescent="0.25">
      <c r="A1080" s="8" t="str">
        <f t="shared" si="16"/>
        <v>005</v>
      </c>
      <c r="B1080" s="8" t="s">
        <v>78</v>
      </c>
      <c r="C1080" s="12" t="s">
        <v>1209</v>
      </c>
      <c r="D1080" s="8">
        <v>18</v>
      </c>
      <c r="E1080" s="8" t="s">
        <v>452</v>
      </c>
    </row>
    <row r="1081" spans="1:5" x14ac:dyDescent="0.25">
      <c r="A1081" s="8" t="str">
        <f t="shared" si="16"/>
        <v>006</v>
      </c>
      <c r="B1081" s="8" t="s">
        <v>80</v>
      </c>
      <c r="C1081" s="12" t="s">
        <v>1210</v>
      </c>
      <c r="D1081" s="8">
        <v>18</v>
      </c>
      <c r="E1081" s="8" t="s">
        <v>452</v>
      </c>
    </row>
    <row r="1082" spans="1:5" x14ac:dyDescent="0.25">
      <c r="A1082" s="8" t="str">
        <f t="shared" si="16"/>
        <v>007</v>
      </c>
      <c r="B1082" s="8" t="s">
        <v>71</v>
      </c>
      <c r="C1082" s="12" t="s">
        <v>1211</v>
      </c>
      <c r="D1082" s="8">
        <v>18</v>
      </c>
      <c r="E1082" s="8" t="s">
        <v>452</v>
      </c>
    </row>
    <row r="1083" spans="1:5" x14ac:dyDescent="0.25">
      <c r="A1083" s="8" t="str">
        <f t="shared" si="16"/>
        <v>001</v>
      </c>
      <c r="B1083" s="8" t="s">
        <v>262</v>
      </c>
      <c r="C1083" s="12" t="s">
        <v>1212</v>
      </c>
      <c r="D1083" s="8">
        <v>18</v>
      </c>
    </row>
    <row r="1084" spans="1:5" x14ac:dyDescent="0.25">
      <c r="A1084" s="8" t="str">
        <f t="shared" si="16"/>
        <v>002</v>
      </c>
      <c r="B1084" s="8" t="s">
        <v>264</v>
      </c>
      <c r="C1084" s="12" t="s">
        <v>1213</v>
      </c>
      <c r="D1084" s="8">
        <v>18</v>
      </c>
    </row>
    <row r="1085" spans="1:5" x14ac:dyDescent="0.25">
      <c r="A1085" s="8" t="str">
        <f t="shared" si="16"/>
        <v>003</v>
      </c>
      <c r="B1085" s="8" t="s">
        <v>67</v>
      </c>
      <c r="C1085" s="12" t="s">
        <v>1214</v>
      </c>
      <c r="D1085" s="8">
        <v>18</v>
      </c>
    </row>
    <row r="1086" spans="1:5" x14ac:dyDescent="0.25">
      <c r="A1086" s="8" t="str">
        <f t="shared" si="16"/>
        <v>004</v>
      </c>
      <c r="B1086" s="8" t="s">
        <v>69</v>
      </c>
      <c r="C1086" s="12" t="s">
        <v>1215</v>
      </c>
      <c r="D1086" s="8">
        <v>18</v>
      </c>
    </row>
    <row r="1087" spans="1:5" x14ac:dyDescent="0.25">
      <c r="A1087" s="8" t="str">
        <f t="shared" si="16"/>
        <v>005</v>
      </c>
      <c r="B1087" s="8" t="s">
        <v>78</v>
      </c>
      <c r="C1087" s="12" t="s">
        <v>1216</v>
      </c>
      <c r="D1087" s="8">
        <v>18</v>
      </c>
    </row>
    <row r="1088" spans="1:5" x14ac:dyDescent="0.25">
      <c r="A1088" s="8" t="str">
        <f t="shared" si="16"/>
        <v>006</v>
      </c>
      <c r="B1088" s="8" t="s">
        <v>80</v>
      </c>
      <c r="C1088" s="12" t="s">
        <v>1217</v>
      </c>
      <c r="D1088" s="8">
        <v>18</v>
      </c>
    </row>
    <row r="1089" spans="1:5" x14ac:dyDescent="0.25">
      <c r="A1089" s="8" t="str">
        <f t="shared" si="16"/>
        <v>007</v>
      </c>
      <c r="B1089" s="8" t="s">
        <v>71</v>
      </c>
      <c r="C1089" s="12" t="s">
        <v>1218</v>
      </c>
      <c r="D1089" s="8">
        <v>18</v>
      </c>
    </row>
    <row r="1090" spans="1:5" x14ac:dyDescent="0.25">
      <c r="A1090" s="8" t="str">
        <f t="shared" si="16"/>
        <v>008</v>
      </c>
      <c r="B1090" s="8" t="s">
        <v>271</v>
      </c>
      <c r="C1090" s="12" t="s">
        <v>1219</v>
      </c>
      <c r="D1090" s="8">
        <v>18</v>
      </c>
    </row>
    <row r="1091" spans="1:5" x14ac:dyDescent="0.25">
      <c r="A1091" s="8" t="str">
        <f t="shared" ref="A1091:A1154" si="17">TEXT(B1091,"000")</f>
        <v>009</v>
      </c>
      <c r="B1091" s="8" t="s">
        <v>273</v>
      </c>
      <c r="C1091" s="12" t="s">
        <v>1220</v>
      </c>
      <c r="D1091" s="8">
        <v>18</v>
      </c>
    </row>
    <row r="1092" spans="1:5" x14ac:dyDescent="0.25">
      <c r="A1092" s="8" t="str">
        <f t="shared" si="17"/>
        <v>010</v>
      </c>
      <c r="B1092" s="8" t="s">
        <v>61</v>
      </c>
      <c r="C1092" s="12" t="s">
        <v>1221</v>
      </c>
      <c r="D1092" s="8">
        <v>18</v>
      </c>
    </row>
    <row r="1093" spans="1:5" x14ac:dyDescent="0.25">
      <c r="A1093" s="8" t="str">
        <f t="shared" si="17"/>
        <v>011</v>
      </c>
      <c r="B1093" s="8" t="s">
        <v>74</v>
      </c>
      <c r="C1093" s="12" t="s">
        <v>1222</v>
      </c>
      <c r="D1093" s="8">
        <v>18</v>
      </c>
    </row>
    <row r="1094" spans="1:5" x14ac:dyDescent="0.25">
      <c r="A1094" s="8" t="str">
        <f t="shared" si="17"/>
        <v>012</v>
      </c>
      <c r="B1094" s="8" t="s">
        <v>76</v>
      </c>
      <c r="C1094" s="12" t="s">
        <v>1223</v>
      </c>
      <c r="D1094" s="8">
        <v>18</v>
      </c>
    </row>
    <row r="1095" spans="1:5" x14ac:dyDescent="0.25">
      <c r="A1095" s="8" t="str">
        <f t="shared" si="17"/>
        <v>013</v>
      </c>
      <c r="B1095" s="8" t="s">
        <v>278</v>
      </c>
      <c r="C1095" s="12" t="s">
        <v>1224</v>
      </c>
      <c r="D1095" s="8">
        <v>18</v>
      </c>
    </row>
    <row r="1096" spans="1:5" x14ac:dyDescent="0.25">
      <c r="A1096" s="8" t="str">
        <f t="shared" si="17"/>
        <v>001</v>
      </c>
      <c r="B1096" s="8" t="s">
        <v>262</v>
      </c>
      <c r="C1096" s="12" t="s">
        <v>1202</v>
      </c>
      <c r="D1096" s="8">
        <v>18</v>
      </c>
      <c r="E1096" s="8" t="s">
        <v>702</v>
      </c>
    </row>
    <row r="1097" spans="1:5" x14ac:dyDescent="0.25">
      <c r="A1097" s="8" t="str">
        <f t="shared" si="17"/>
        <v>002</v>
      </c>
      <c r="B1097" s="8" t="s">
        <v>264</v>
      </c>
      <c r="C1097" s="12" t="s">
        <v>1203</v>
      </c>
      <c r="D1097" s="8">
        <v>18</v>
      </c>
      <c r="E1097" s="8" t="s">
        <v>702</v>
      </c>
    </row>
    <row r="1098" spans="1:5" x14ac:dyDescent="0.25">
      <c r="A1098" s="8" t="str">
        <f t="shared" si="17"/>
        <v>003</v>
      </c>
      <c r="B1098" s="8" t="s">
        <v>67</v>
      </c>
      <c r="C1098" s="12" t="s">
        <v>1225</v>
      </c>
      <c r="D1098" s="8">
        <v>18</v>
      </c>
      <c r="E1098" s="8" t="s">
        <v>702</v>
      </c>
    </row>
    <row r="1099" spans="1:5" x14ac:dyDescent="0.25">
      <c r="A1099" s="8" t="str">
        <f t="shared" si="17"/>
        <v>004</v>
      </c>
      <c r="B1099" s="8" t="s">
        <v>69</v>
      </c>
      <c r="C1099" s="12" t="s">
        <v>1226</v>
      </c>
      <c r="D1099" s="8">
        <v>18</v>
      </c>
      <c r="E1099" s="8" t="s">
        <v>702</v>
      </c>
    </row>
    <row r="1100" spans="1:5" x14ac:dyDescent="0.25">
      <c r="A1100" s="8" t="str">
        <f t="shared" si="17"/>
        <v>005</v>
      </c>
      <c r="B1100" s="8" t="s">
        <v>78</v>
      </c>
      <c r="C1100" s="12" t="s">
        <v>1227</v>
      </c>
      <c r="D1100" s="8">
        <v>18</v>
      </c>
      <c r="E1100" s="8" t="s">
        <v>702</v>
      </c>
    </row>
    <row r="1101" spans="1:5" x14ac:dyDescent="0.25">
      <c r="A1101" s="8" t="str">
        <f t="shared" si="17"/>
        <v>006</v>
      </c>
      <c r="B1101" s="8" t="s">
        <v>80</v>
      </c>
      <c r="C1101" s="12" t="s">
        <v>1228</v>
      </c>
      <c r="D1101" s="8">
        <v>18</v>
      </c>
      <c r="E1101" s="8" t="s">
        <v>702</v>
      </c>
    </row>
    <row r="1102" spans="1:5" x14ac:dyDescent="0.25">
      <c r="A1102" s="8" t="str">
        <f t="shared" si="17"/>
        <v>007</v>
      </c>
      <c r="B1102" s="8" t="s">
        <v>71</v>
      </c>
      <c r="C1102" s="12" t="s">
        <v>1229</v>
      </c>
      <c r="D1102" s="8">
        <v>18</v>
      </c>
      <c r="E1102" s="8" t="s">
        <v>702</v>
      </c>
    </row>
    <row r="1103" spans="1:5" x14ac:dyDescent="0.25">
      <c r="A1103" s="8" t="str">
        <f t="shared" si="17"/>
        <v>001</v>
      </c>
      <c r="B1103" s="8" t="s">
        <v>262</v>
      </c>
      <c r="C1103" s="12" t="s">
        <v>1202</v>
      </c>
      <c r="D1103" s="8">
        <v>18</v>
      </c>
      <c r="E1103" s="8" t="s">
        <v>728</v>
      </c>
    </row>
    <row r="1104" spans="1:5" x14ac:dyDescent="0.25">
      <c r="A1104" s="8" t="str">
        <f t="shared" si="17"/>
        <v>002</v>
      </c>
      <c r="B1104" s="8" t="s">
        <v>264</v>
      </c>
      <c r="C1104" s="12" t="s">
        <v>1203</v>
      </c>
      <c r="D1104" s="8">
        <v>18</v>
      </c>
      <c r="E1104" s="8" t="s">
        <v>728</v>
      </c>
    </row>
    <row r="1105" spans="1:5" x14ac:dyDescent="0.25">
      <c r="A1105" s="8" t="str">
        <f t="shared" si="17"/>
        <v>003</v>
      </c>
      <c r="B1105" s="8" t="s">
        <v>67</v>
      </c>
      <c r="C1105" s="12" t="s">
        <v>1225</v>
      </c>
      <c r="D1105" s="8">
        <v>18</v>
      </c>
      <c r="E1105" s="8" t="s">
        <v>728</v>
      </c>
    </row>
    <row r="1106" spans="1:5" x14ac:dyDescent="0.25">
      <c r="A1106" s="8" t="str">
        <f t="shared" si="17"/>
        <v>004</v>
      </c>
      <c r="B1106" s="8" t="s">
        <v>69</v>
      </c>
      <c r="C1106" s="12" t="s">
        <v>1226</v>
      </c>
      <c r="D1106" s="8">
        <v>18</v>
      </c>
      <c r="E1106" s="8" t="s">
        <v>728</v>
      </c>
    </row>
    <row r="1107" spans="1:5" x14ac:dyDescent="0.25">
      <c r="A1107" s="8" t="str">
        <f t="shared" si="17"/>
        <v>005</v>
      </c>
      <c r="B1107" s="8" t="s">
        <v>78</v>
      </c>
      <c r="C1107" s="12" t="s">
        <v>1227</v>
      </c>
      <c r="D1107" s="8">
        <v>18</v>
      </c>
      <c r="E1107" s="8" t="s">
        <v>728</v>
      </c>
    </row>
    <row r="1108" spans="1:5" x14ac:dyDescent="0.25">
      <c r="A1108" s="8" t="str">
        <f t="shared" si="17"/>
        <v>000</v>
      </c>
      <c r="B1108" s="8" t="s">
        <v>65</v>
      </c>
      <c r="C1108" s="12" t="s">
        <v>66</v>
      </c>
      <c r="D1108" s="8">
        <v>19</v>
      </c>
      <c r="E1108" s="8" t="s">
        <v>282</v>
      </c>
    </row>
    <row r="1109" spans="1:5" x14ac:dyDescent="0.25">
      <c r="A1109" s="8" t="str">
        <f t="shared" si="17"/>
        <v>001</v>
      </c>
      <c r="B1109" s="8" t="s">
        <v>262</v>
      </c>
      <c r="C1109" s="12" t="s">
        <v>1230</v>
      </c>
      <c r="D1109" s="8">
        <v>19</v>
      </c>
      <c r="E1109" s="8" t="s">
        <v>282</v>
      </c>
    </row>
    <row r="1110" spans="1:5" x14ac:dyDescent="0.25">
      <c r="A1110" s="8" t="str">
        <f t="shared" si="17"/>
        <v>002</v>
      </c>
      <c r="B1110" s="8" t="s">
        <v>264</v>
      </c>
      <c r="C1110" s="12" t="s">
        <v>1231</v>
      </c>
      <c r="D1110" s="8">
        <v>19</v>
      </c>
      <c r="E1110" s="8" t="s">
        <v>282</v>
      </c>
    </row>
    <row r="1111" spans="1:5" x14ac:dyDescent="0.25">
      <c r="A1111" s="8" t="str">
        <f t="shared" si="17"/>
        <v>003</v>
      </c>
      <c r="B1111" s="8" t="s">
        <v>67</v>
      </c>
      <c r="C1111" s="12" t="s">
        <v>1232</v>
      </c>
      <c r="D1111" s="8">
        <v>19</v>
      </c>
      <c r="E1111" s="8" t="s">
        <v>282</v>
      </c>
    </row>
    <row r="1112" spans="1:5" x14ac:dyDescent="0.25">
      <c r="A1112" s="8" t="str">
        <f t="shared" si="17"/>
        <v>004</v>
      </c>
      <c r="B1112" s="8" t="s">
        <v>69</v>
      </c>
      <c r="C1112" s="12" t="s">
        <v>1233</v>
      </c>
      <c r="D1112" s="8">
        <v>19</v>
      </c>
      <c r="E1112" s="8" t="s">
        <v>282</v>
      </c>
    </row>
    <row r="1113" spans="1:5" x14ac:dyDescent="0.25">
      <c r="A1113" s="8" t="str">
        <f t="shared" si="17"/>
        <v>000</v>
      </c>
      <c r="B1113" s="8" t="s">
        <v>65</v>
      </c>
      <c r="C1113" s="12" t="s">
        <v>66</v>
      </c>
      <c r="D1113" s="8">
        <v>19</v>
      </c>
      <c r="E1113" s="8" t="s">
        <v>288</v>
      </c>
    </row>
    <row r="1114" spans="1:5" x14ac:dyDescent="0.25">
      <c r="A1114" s="8" t="str">
        <f t="shared" si="17"/>
        <v>001</v>
      </c>
      <c r="B1114" s="8" t="s">
        <v>262</v>
      </c>
      <c r="C1114" s="12" t="s">
        <v>1234</v>
      </c>
      <c r="D1114" s="8">
        <v>19</v>
      </c>
      <c r="E1114" s="8" t="s">
        <v>288</v>
      </c>
    </row>
    <row r="1115" spans="1:5" x14ac:dyDescent="0.25">
      <c r="A1115" s="8" t="str">
        <f t="shared" si="17"/>
        <v>002</v>
      </c>
      <c r="B1115" s="8" t="s">
        <v>264</v>
      </c>
      <c r="C1115" s="12" t="s">
        <v>934</v>
      </c>
      <c r="D1115" s="8">
        <v>19</v>
      </c>
      <c r="E1115" s="8" t="s">
        <v>288</v>
      </c>
    </row>
    <row r="1116" spans="1:5" x14ac:dyDescent="0.25">
      <c r="A1116" s="8" t="str">
        <f t="shared" si="17"/>
        <v>003</v>
      </c>
      <c r="B1116" s="8" t="s">
        <v>67</v>
      </c>
      <c r="C1116" s="12" t="s">
        <v>935</v>
      </c>
      <c r="D1116" s="8">
        <v>19</v>
      </c>
      <c r="E1116" s="8" t="s">
        <v>288</v>
      </c>
    </row>
    <row r="1117" spans="1:5" x14ac:dyDescent="0.25">
      <c r="A1117" s="8" t="str">
        <f t="shared" si="17"/>
        <v>004</v>
      </c>
      <c r="B1117" s="8" t="s">
        <v>69</v>
      </c>
      <c r="C1117" s="12" t="s">
        <v>936</v>
      </c>
      <c r="D1117" s="8">
        <v>19</v>
      </c>
      <c r="E1117" s="8" t="s">
        <v>288</v>
      </c>
    </row>
    <row r="1118" spans="1:5" x14ac:dyDescent="0.25">
      <c r="A1118" s="8" t="str">
        <f t="shared" si="17"/>
        <v>005</v>
      </c>
      <c r="B1118" s="8" t="s">
        <v>78</v>
      </c>
      <c r="C1118" s="12" t="s">
        <v>277</v>
      </c>
      <c r="D1118" s="8">
        <v>19</v>
      </c>
      <c r="E1118" s="8" t="s">
        <v>288</v>
      </c>
    </row>
    <row r="1119" spans="1:5" x14ac:dyDescent="0.25">
      <c r="A1119" s="8" t="str">
        <f t="shared" si="17"/>
        <v>006</v>
      </c>
      <c r="B1119" s="8" t="s">
        <v>80</v>
      </c>
      <c r="C1119" s="12" t="s">
        <v>937</v>
      </c>
      <c r="D1119" s="8">
        <v>19</v>
      </c>
      <c r="E1119" s="8" t="s">
        <v>288</v>
      </c>
    </row>
    <row r="1120" spans="1:5" x14ac:dyDescent="0.25">
      <c r="A1120" s="8" t="str">
        <f t="shared" si="17"/>
        <v>007</v>
      </c>
      <c r="B1120" s="8" t="s">
        <v>71</v>
      </c>
      <c r="C1120" s="12" t="s">
        <v>964</v>
      </c>
      <c r="D1120" s="8">
        <v>19</v>
      </c>
      <c r="E1120" s="8" t="s">
        <v>288</v>
      </c>
    </row>
    <row r="1121" spans="1:5" x14ac:dyDescent="0.25">
      <c r="A1121" s="8" t="str">
        <f t="shared" si="17"/>
        <v>008</v>
      </c>
      <c r="B1121" s="8" t="s">
        <v>271</v>
      </c>
      <c r="C1121" s="12" t="s">
        <v>955</v>
      </c>
      <c r="D1121" s="8">
        <v>19</v>
      </c>
      <c r="E1121" s="8" t="s">
        <v>288</v>
      </c>
    </row>
    <row r="1122" spans="1:5" x14ac:dyDescent="0.25">
      <c r="A1122" s="8" t="str">
        <f t="shared" si="17"/>
        <v>009</v>
      </c>
      <c r="B1122" s="8" t="s">
        <v>273</v>
      </c>
      <c r="C1122" s="12" t="s">
        <v>1235</v>
      </c>
      <c r="D1122" s="8">
        <v>19</v>
      </c>
      <c r="E1122" s="8" t="s">
        <v>288</v>
      </c>
    </row>
    <row r="1123" spans="1:5" x14ac:dyDescent="0.25">
      <c r="A1123" s="8" t="str">
        <f t="shared" si="17"/>
        <v>010</v>
      </c>
      <c r="B1123" s="8" t="s">
        <v>61</v>
      </c>
      <c r="C1123" s="12" t="s">
        <v>1236</v>
      </c>
      <c r="D1123" s="8">
        <v>19</v>
      </c>
      <c r="E1123" s="8" t="s">
        <v>288</v>
      </c>
    </row>
    <row r="1124" spans="1:5" x14ac:dyDescent="0.25">
      <c r="A1124" s="8" t="str">
        <f t="shared" si="17"/>
        <v>011</v>
      </c>
      <c r="B1124" s="8" t="s">
        <v>74</v>
      </c>
      <c r="C1124" s="12" t="s">
        <v>1237</v>
      </c>
      <c r="D1124" s="8">
        <v>19</v>
      </c>
      <c r="E1124" s="8" t="s">
        <v>288</v>
      </c>
    </row>
    <row r="1125" spans="1:5" x14ac:dyDescent="0.25">
      <c r="A1125" s="8" t="str">
        <f t="shared" si="17"/>
        <v>000</v>
      </c>
      <c r="B1125" s="8" t="s">
        <v>65</v>
      </c>
      <c r="C1125" s="12" t="s">
        <v>66</v>
      </c>
      <c r="D1125" s="8">
        <v>19</v>
      </c>
      <c r="E1125" s="8" t="s">
        <v>296</v>
      </c>
    </row>
    <row r="1126" spans="1:5" x14ac:dyDescent="0.25">
      <c r="A1126" s="8" t="str">
        <f t="shared" si="17"/>
        <v>001</v>
      </c>
      <c r="B1126" s="8" t="s">
        <v>262</v>
      </c>
      <c r="C1126" s="12" t="s">
        <v>1238</v>
      </c>
      <c r="D1126" s="8">
        <v>19</v>
      </c>
      <c r="E1126" s="8" t="s">
        <v>296</v>
      </c>
    </row>
    <row r="1127" spans="1:5" x14ac:dyDescent="0.25">
      <c r="A1127" s="8" t="str">
        <f t="shared" si="17"/>
        <v>002</v>
      </c>
      <c r="B1127" s="8" t="s">
        <v>264</v>
      </c>
      <c r="C1127" s="12" t="s">
        <v>1239</v>
      </c>
      <c r="D1127" s="8">
        <v>19</v>
      </c>
      <c r="E1127" s="8" t="s">
        <v>296</v>
      </c>
    </row>
    <row r="1128" spans="1:5" x14ac:dyDescent="0.25">
      <c r="A1128" s="8" t="str">
        <f t="shared" si="17"/>
        <v>003</v>
      </c>
      <c r="B1128" s="8" t="s">
        <v>67</v>
      </c>
      <c r="C1128" s="12" t="s">
        <v>1240</v>
      </c>
      <c r="D1128" s="8">
        <v>19</v>
      </c>
      <c r="E1128" s="8" t="s">
        <v>296</v>
      </c>
    </row>
    <row r="1129" spans="1:5" x14ac:dyDescent="0.25">
      <c r="A1129" s="8" t="str">
        <f t="shared" si="17"/>
        <v>004</v>
      </c>
      <c r="B1129" s="8" t="s">
        <v>69</v>
      </c>
      <c r="C1129" s="12" t="s">
        <v>1241</v>
      </c>
      <c r="D1129" s="8">
        <v>19</v>
      </c>
      <c r="E1129" s="8" t="s">
        <v>296</v>
      </c>
    </row>
    <row r="1130" spans="1:5" x14ac:dyDescent="0.25">
      <c r="A1130" s="8" t="str">
        <f t="shared" si="17"/>
        <v>006</v>
      </c>
      <c r="B1130" s="8" t="s">
        <v>80</v>
      </c>
      <c r="C1130" s="12" t="s">
        <v>1242</v>
      </c>
      <c r="D1130" s="8">
        <v>19</v>
      </c>
      <c r="E1130" s="8" t="s">
        <v>296</v>
      </c>
    </row>
    <row r="1131" spans="1:5" x14ac:dyDescent="0.25">
      <c r="A1131" s="8" t="str">
        <f t="shared" si="17"/>
        <v>007</v>
      </c>
      <c r="B1131" s="8" t="s">
        <v>71</v>
      </c>
      <c r="C1131" s="12" t="s">
        <v>1243</v>
      </c>
      <c r="D1131" s="8">
        <v>19</v>
      </c>
      <c r="E1131" s="8" t="s">
        <v>296</v>
      </c>
    </row>
    <row r="1132" spans="1:5" x14ac:dyDescent="0.25">
      <c r="A1132" s="8" t="str">
        <f t="shared" si="17"/>
        <v>008</v>
      </c>
      <c r="B1132" s="8" t="s">
        <v>271</v>
      </c>
      <c r="C1132" s="12" t="s">
        <v>1244</v>
      </c>
      <c r="D1132" s="8">
        <v>19</v>
      </c>
      <c r="E1132" s="8" t="s">
        <v>296</v>
      </c>
    </row>
    <row r="1133" spans="1:5" x14ac:dyDescent="0.25">
      <c r="A1133" s="8" t="str">
        <f t="shared" si="17"/>
        <v>009</v>
      </c>
      <c r="B1133" s="8" t="s">
        <v>273</v>
      </c>
      <c r="C1133" s="12" t="s">
        <v>1245</v>
      </c>
      <c r="D1133" s="8">
        <v>19</v>
      </c>
      <c r="E1133" s="8" t="s">
        <v>296</v>
      </c>
    </row>
    <row r="1134" spans="1:5" x14ac:dyDescent="0.25">
      <c r="A1134" s="8" t="str">
        <f t="shared" si="17"/>
        <v>010</v>
      </c>
      <c r="B1134" s="8" t="s">
        <v>61</v>
      </c>
      <c r="C1134" s="12" t="s">
        <v>1246</v>
      </c>
      <c r="D1134" s="8">
        <v>19</v>
      </c>
      <c r="E1134" s="8" t="s">
        <v>296</v>
      </c>
    </row>
    <row r="1135" spans="1:5" x14ac:dyDescent="0.25">
      <c r="A1135" s="8" t="str">
        <f t="shared" si="17"/>
        <v>011</v>
      </c>
      <c r="B1135" s="8" t="s">
        <v>74</v>
      </c>
      <c r="C1135" s="12" t="s">
        <v>1247</v>
      </c>
      <c r="D1135" s="8">
        <v>19</v>
      </c>
      <c r="E1135" s="8" t="s">
        <v>296</v>
      </c>
    </row>
    <row r="1136" spans="1:5" x14ac:dyDescent="0.25">
      <c r="A1136" s="8" t="str">
        <f t="shared" si="17"/>
        <v>012</v>
      </c>
      <c r="B1136" s="8" t="s">
        <v>76</v>
      </c>
      <c r="C1136" s="12" t="s">
        <v>1248</v>
      </c>
      <c r="D1136" s="8">
        <v>19</v>
      </c>
      <c r="E1136" s="8" t="s">
        <v>296</v>
      </c>
    </row>
    <row r="1137" spans="1:5" x14ac:dyDescent="0.25">
      <c r="A1137" s="8" t="str">
        <f t="shared" si="17"/>
        <v>013</v>
      </c>
      <c r="B1137" s="8" t="s">
        <v>278</v>
      </c>
      <c r="C1137" s="12" t="s">
        <v>1249</v>
      </c>
      <c r="D1137" s="8">
        <v>19</v>
      </c>
      <c r="E1137" s="8" t="s">
        <v>296</v>
      </c>
    </row>
    <row r="1138" spans="1:5" x14ac:dyDescent="0.25">
      <c r="A1138" s="8" t="str">
        <f t="shared" si="17"/>
        <v>014</v>
      </c>
      <c r="B1138" s="8" t="s">
        <v>280</v>
      </c>
      <c r="C1138" s="12" t="s">
        <v>1250</v>
      </c>
      <c r="D1138" s="8">
        <v>19</v>
      </c>
      <c r="E1138" s="8" t="s">
        <v>296</v>
      </c>
    </row>
    <row r="1139" spans="1:5" x14ac:dyDescent="0.25">
      <c r="A1139" s="8" t="str">
        <f t="shared" si="17"/>
        <v>015</v>
      </c>
      <c r="B1139" s="8" t="s">
        <v>346</v>
      </c>
      <c r="C1139" s="12" t="s">
        <v>1251</v>
      </c>
      <c r="D1139" s="8">
        <v>19</v>
      </c>
      <c r="E1139" s="8" t="s">
        <v>296</v>
      </c>
    </row>
    <row r="1140" spans="1:5" x14ac:dyDescent="0.25">
      <c r="A1140" s="8" t="str">
        <f t="shared" si="17"/>
        <v>002</v>
      </c>
      <c r="B1140" s="8" t="s">
        <v>264</v>
      </c>
      <c r="C1140" s="12" t="s">
        <v>1252</v>
      </c>
      <c r="D1140" s="8">
        <v>19</v>
      </c>
      <c r="E1140" s="8" t="s">
        <v>516</v>
      </c>
    </row>
    <row r="1141" spans="1:5" x14ac:dyDescent="0.25">
      <c r="A1141" s="8" t="str">
        <f t="shared" si="17"/>
        <v>004</v>
      </c>
      <c r="B1141" s="8" t="s">
        <v>69</v>
      </c>
      <c r="C1141" s="12" t="s">
        <v>1253</v>
      </c>
      <c r="D1141" s="8">
        <v>19</v>
      </c>
      <c r="E1141" s="8" t="s">
        <v>516</v>
      </c>
    </row>
    <row r="1142" spans="1:5" x14ac:dyDescent="0.25">
      <c r="A1142" s="8" t="str">
        <f t="shared" si="17"/>
        <v>000</v>
      </c>
      <c r="B1142" s="8" t="s">
        <v>65</v>
      </c>
      <c r="C1142" s="12" t="s">
        <v>66</v>
      </c>
      <c r="D1142" s="8">
        <v>19</v>
      </c>
      <c r="E1142" s="8" t="s">
        <v>514</v>
      </c>
    </row>
    <row r="1143" spans="1:5" x14ac:dyDescent="0.25">
      <c r="A1143" s="8" t="str">
        <f t="shared" si="17"/>
        <v>001</v>
      </c>
      <c r="B1143" s="8" t="s">
        <v>262</v>
      </c>
      <c r="C1143" s="12" t="s">
        <v>1254</v>
      </c>
      <c r="D1143" s="8">
        <v>19</v>
      </c>
      <c r="E1143" s="8" t="s">
        <v>514</v>
      </c>
    </row>
    <row r="1144" spans="1:5" x14ac:dyDescent="0.25">
      <c r="A1144" s="8" t="str">
        <f t="shared" si="17"/>
        <v>002</v>
      </c>
      <c r="B1144" s="8" t="s">
        <v>264</v>
      </c>
      <c r="C1144" s="12" t="s">
        <v>1255</v>
      </c>
      <c r="D1144" s="8">
        <v>19</v>
      </c>
      <c r="E1144" s="8" t="s">
        <v>514</v>
      </c>
    </row>
    <row r="1145" spans="1:5" x14ac:dyDescent="0.25">
      <c r="A1145" s="8" t="str">
        <f t="shared" si="17"/>
        <v>003</v>
      </c>
      <c r="B1145" s="8" t="s">
        <v>67</v>
      </c>
      <c r="C1145" s="12" t="s">
        <v>1256</v>
      </c>
      <c r="D1145" s="8">
        <v>19</v>
      </c>
      <c r="E1145" s="8" t="s">
        <v>514</v>
      </c>
    </row>
    <row r="1146" spans="1:5" x14ac:dyDescent="0.25">
      <c r="A1146" s="8" t="str">
        <f t="shared" si="17"/>
        <v>004</v>
      </c>
      <c r="B1146" s="8" t="s">
        <v>69</v>
      </c>
      <c r="C1146" s="12" t="s">
        <v>1257</v>
      </c>
      <c r="D1146" s="8">
        <v>19</v>
      </c>
      <c r="E1146" s="8" t="s">
        <v>514</v>
      </c>
    </row>
    <row r="1147" spans="1:5" x14ac:dyDescent="0.25">
      <c r="A1147" s="8" t="str">
        <f t="shared" si="17"/>
        <v>005</v>
      </c>
      <c r="B1147" s="8" t="s">
        <v>78</v>
      </c>
      <c r="C1147" s="12" t="s">
        <v>1258</v>
      </c>
      <c r="D1147" s="8">
        <v>19</v>
      </c>
      <c r="E1147" s="8" t="s">
        <v>514</v>
      </c>
    </row>
    <row r="1148" spans="1:5" x14ac:dyDescent="0.25">
      <c r="A1148" s="8" t="str">
        <f t="shared" si="17"/>
        <v>006</v>
      </c>
      <c r="B1148" s="8" t="s">
        <v>80</v>
      </c>
      <c r="C1148" s="12" t="s">
        <v>1259</v>
      </c>
      <c r="D1148" s="8">
        <v>19</v>
      </c>
      <c r="E1148" s="8" t="s">
        <v>514</v>
      </c>
    </row>
    <row r="1149" spans="1:5" x14ac:dyDescent="0.25">
      <c r="A1149" s="8" t="str">
        <f t="shared" si="17"/>
        <v>007</v>
      </c>
      <c r="B1149" s="8" t="s">
        <v>71</v>
      </c>
      <c r="C1149" s="12" t="s">
        <v>1260</v>
      </c>
      <c r="D1149" s="8">
        <v>19</v>
      </c>
      <c r="E1149" s="8" t="s">
        <v>514</v>
      </c>
    </row>
    <row r="1150" spans="1:5" x14ac:dyDescent="0.25">
      <c r="A1150" s="8" t="str">
        <f t="shared" si="17"/>
        <v>008</v>
      </c>
      <c r="B1150" s="8" t="s">
        <v>271</v>
      </c>
      <c r="C1150" s="12" t="s">
        <v>1261</v>
      </c>
      <c r="D1150" s="8">
        <v>19</v>
      </c>
      <c r="E1150" s="8" t="s">
        <v>514</v>
      </c>
    </row>
    <row r="1151" spans="1:5" x14ac:dyDescent="0.25">
      <c r="A1151" s="8" t="str">
        <f t="shared" si="17"/>
        <v>009</v>
      </c>
      <c r="B1151" s="8" t="s">
        <v>273</v>
      </c>
      <c r="C1151" s="12" t="s">
        <v>1262</v>
      </c>
      <c r="D1151" s="8">
        <v>19</v>
      </c>
      <c r="E1151" s="8" t="s">
        <v>514</v>
      </c>
    </row>
    <row r="1152" spans="1:5" x14ac:dyDescent="0.25">
      <c r="A1152" s="8" t="str">
        <f t="shared" si="17"/>
        <v>010</v>
      </c>
      <c r="B1152" s="8" t="s">
        <v>61</v>
      </c>
      <c r="C1152" s="12" t="s">
        <v>1263</v>
      </c>
      <c r="D1152" s="8">
        <v>19</v>
      </c>
      <c r="E1152" s="8" t="s">
        <v>514</v>
      </c>
    </row>
    <row r="1153" spans="1:5" x14ac:dyDescent="0.25">
      <c r="A1153" s="8" t="str">
        <f t="shared" si="17"/>
        <v>011</v>
      </c>
      <c r="B1153" s="8" t="s">
        <v>74</v>
      </c>
      <c r="C1153" s="12" t="s">
        <v>1264</v>
      </c>
      <c r="D1153" s="8">
        <v>19</v>
      </c>
      <c r="E1153" s="8" t="s">
        <v>514</v>
      </c>
    </row>
    <row r="1154" spans="1:5" x14ac:dyDescent="0.25">
      <c r="A1154" s="8" t="str">
        <f t="shared" si="17"/>
        <v>012</v>
      </c>
      <c r="B1154" s="8" t="s">
        <v>76</v>
      </c>
      <c r="C1154" s="12" t="s">
        <v>1265</v>
      </c>
      <c r="D1154" s="8">
        <v>19</v>
      </c>
      <c r="E1154" s="8" t="s">
        <v>514</v>
      </c>
    </row>
    <row r="1155" spans="1:5" x14ac:dyDescent="0.25">
      <c r="A1155" s="8" t="str">
        <f t="shared" ref="A1155:A1218" si="18">TEXT(B1155,"000")</f>
        <v>000</v>
      </c>
      <c r="B1155" s="8" t="s">
        <v>65</v>
      </c>
      <c r="C1155" s="12" t="s">
        <v>66</v>
      </c>
      <c r="D1155" s="8">
        <v>19</v>
      </c>
      <c r="E1155" s="8" t="s">
        <v>520</v>
      </c>
    </row>
    <row r="1156" spans="1:5" x14ac:dyDescent="0.25">
      <c r="A1156" s="8" t="str">
        <f t="shared" si="18"/>
        <v>001</v>
      </c>
      <c r="B1156" s="8" t="s">
        <v>262</v>
      </c>
      <c r="C1156" s="12" t="s">
        <v>1266</v>
      </c>
      <c r="D1156" s="8">
        <v>19</v>
      </c>
      <c r="E1156" s="8" t="s">
        <v>520</v>
      </c>
    </row>
    <row r="1157" spans="1:5" x14ac:dyDescent="0.25">
      <c r="A1157" s="8" t="str">
        <f t="shared" si="18"/>
        <v>002</v>
      </c>
      <c r="B1157" s="8" t="s">
        <v>264</v>
      </c>
      <c r="C1157" s="12" t="s">
        <v>1267</v>
      </c>
      <c r="D1157" s="8">
        <v>19</v>
      </c>
      <c r="E1157" s="8" t="s">
        <v>520</v>
      </c>
    </row>
    <row r="1158" spans="1:5" x14ac:dyDescent="0.25">
      <c r="A1158" s="8" t="str">
        <f t="shared" si="18"/>
        <v>003</v>
      </c>
      <c r="B1158" s="8" t="s">
        <v>67</v>
      </c>
      <c r="C1158" s="12" t="s">
        <v>1268</v>
      </c>
      <c r="D1158" s="8">
        <v>19</v>
      </c>
      <c r="E1158" s="8" t="s">
        <v>520</v>
      </c>
    </row>
    <row r="1159" spans="1:5" x14ac:dyDescent="0.25">
      <c r="A1159" s="8" t="str">
        <f t="shared" si="18"/>
        <v>004</v>
      </c>
      <c r="B1159" s="8" t="s">
        <v>69</v>
      </c>
      <c r="C1159" s="12" t="s">
        <v>1269</v>
      </c>
      <c r="D1159" s="8">
        <v>19</v>
      </c>
      <c r="E1159" s="8" t="s">
        <v>520</v>
      </c>
    </row>
    <row r="1160" spans="1:5" x14ac:dyDescent="0.25">
      <c r="A1160" s="8" t="str">
        <f t="shared" si="18"/>
        <v>005</v>
      </c>
      <c r="B1160" s="8" t="s">
        <v>78</v>
      </c>
      <c r="C1160" s="12" t="s">
        <v>1270</v>
      </c>
      <c r="D1160" s="8">
        <v>19</v>
      </c>
      <c r="E1160" s="8" t="s">
        <v>520</v>
      </c>
    </row>
    <row r="1161" spans="1:5" x14ac:dyDescent="0.25">
      <c r="A1161" s="8" t="str">
        <f t="shared" si="18"/>
        <v>006</v>
      </c>
      <c r="B1161" s="8" t="s">
        <v>80</v>
      </c>
      <c r="C1161" s="12" t="s">
        <v>1271</v>
      </c>
      <c r="D1161" s="8">
        <v>19</v>
      </c>
      <c r="E1161" s="8" t="s">
        <v>520</v>
      </c>
    </row>
    <row r="1162" spans="1:5" x14ac:dyDescent="0.25">
      <c r="A1162" s="8" t="str">
        <f t="shared" si="18"/>
        <v>007</v>
      </c>
      <c r="B1162" s="8" t="s">
        <v>71</v>
      </c>
      <c r="C1162" s="12" t="s">
        <v>1272</v>
      </c>
      <c r="D1162" s="8">
        <v>19</v>
      </c>
      <c r="E1162" s="8" t="s">
        <v>520</v>
      </c>
    </row>
    <row r="1163" spans="1:5" x14ac:dyDescent="0.25">
      <c r="A1163" s="8" t="str">
        <f t="shared" si="18"/>
        <v>008</v>
      </c>
      <c r="B1163" s="8" t="s">
        <v>271</v>
      </c>
      <c r="C1163" s="12" t="s">
        <v>1273</v>
      </c>
      <c r="D1163" s="8">
        <v>19</v>
      </c>
      <c r="E1163" s="8" t="s">
        <v>520</v>
      </c>
    </row>
    <row r="1164" spans="1:5" x14ac:dyDescent="0.25">
      <c r="A1164" s="8" t="str">
        <f t="shared" si="18"/>
        <v>009</v>
      </c>
      <c r="B1164" s="8" t="s">
        <v>273</v>
      </c>
      <c r="C1164" s="12" t="s">
        <v>1274</v>
      </c>
      <c r="D1164" s="8">
        <v>19</v>
      </c>
      <c r="E1164" s="8" t="s">
        <v>520</v>
      </c>
    </row>
    <row r="1165" spans="1:5" x14ac:dyDescent="0.25">
      <c r="A1165" s="8" t="str">
        <f t="shared" si="18"/>
        <v>010</v>
      </c>
      <c r="B1165" s="8" t="s">
        <v>61</v>
      </c>
      <c r="C1165" s="12" t="s">
        <v>1275</v>
      </c>
      <c r="D1165" s="8">
        <v>19</v>
      </c>
      <c r="E1165" s="8" t="s">
        <v>520</v>
      </c>
    </row>
    <row r="1166" spans="1:5" x14ac:dyDescent="0.25">
      <c r="A1166" s="8" t="str">
        <f t="shared" si="18"/>
        <v>000</v>
      </c>
      <c r="B1166" s="8" t="s">
        <v>65</v>
      </c>
      <c r="C1166" s="12" t="s">
        <v>66</v>
      </c>
      <c r="D1166" s="8">
        <v>19</v>
      </c>
      <c r="E1166" s="8" t="s">
        <v>416</v>
      </c>
    </row>
    <row r="1167" spans="1:5" x14ac:dyDescent="0.25">
      <c r="A1167" s="8" t="str">
        <f t="shared" si="18"/>
        <v>001</v>
      </c>
      <c r="B1167" s="8" t="s">
        <v>262</v>
      </c>
      <c r="C1167" s="12" t="s">
        <v>1276</v>
      </c>
      <c r="D1167" s="8">
        <v>19</v>
      </c>
      <c r="E1167" s="8" t="s">
        <v>416</v>
      </c>
    </row>
    <row r="1168" spans="1:5" x14ac:dyDescent="0.25">
      <c r="A1168" s="8" t="str">
        <f t="shared" si="18"/>
        <v>004</v>
      </c>
      <c r="B1168" s="8" t="s">
        <v>69</v>
      </c>
      <c r="C1168" s="12" t="s">
        <v>1277</v>
      </c>
      <c r="D1168" s="8">
        <v>19</v>
      </c>
      <c r="E1168" s="8" t="s">
        <v>416</v>
      </c>
    </row>
    <row r="1169" spans="1:5" x14ac:dyDescent="0.25">
      <c r="A1169" s="8" t="str">
        <f t="shared" si="18"/>
        <v>005</v>
      </c>
      <c r="B1169" s="8" t="s">
        <v>78</v>
      </c>
      <c r="C1169" s="12" t="s">
        <v>1278</v>
      </c>
      <c r="D1169" s="8">
        <v>19</v>
      </c>
      <c r="E1169" s="8" t="s">
        <v>416</v>
      </c>
    </row>
    <row r="1170" spans="1:5" x14ac:dyDescent="0.25">
      <c r="A1170" s="8" t="str">
        <f t="shared" si="18"/>
        <v>006</v>
      </c>
      <c r="B1170" s="8" t="s">
        <v>80</v>
      </c>
      <c r="C1170" s="12" t="s">
        <v>1279</v>
      </c>
      <c r="D1170" s="8">
        <v>19</v>
      </c>
      <c r="E1170" s="8" t="s">
        <v>416</v>
      </c>
    </row>
    <row r="1171" spans="1:5" x14ac:dyDescent="0.25">
      <c r="A1171" s="8" t="str">
        <f t="shared" si="18"/>
        <v>007</v>
      </c>
      <c r="B1171" s="8" t="s">
        <v>71</v>
      </c>
      <c r="C1171" s="12" t="s">
        <v>1280</v>
      </c>
      <c r="D1171" s="8">
        <v>19</v>
      </c>
      <c r="E1171" s="8" t="s">
        <v>416</v>
      </c>
    </row>
    <row r="1172" spans="1:5" x14ac:dyDescent="0.25">
      <c r="A1172" s="8" t="str">
        <f t="shared" si="18"/>
        <v>008</v>
      </c>
      <c r="B1172" s="8" t="s">
        <v>271</v>
      </c>
      <c r="C1172" s="12" t="s">
        <v>1281</v>
      </c>
      <c r="D1172" s="8">
        <v>19</v>
      </c>
      <c r="E1172" s="8" t="s">
        <v>416</v>
      </c>
    </row>
    <row r="1173" spans="1:5" x14ac:dyDescent="0.25">
      <c r="A1173" s="8" t="str">
        <f t="shared" si="18"/>
        <v>000</v>
      </c>
      <c r="B1173" s="8" t="s">
        <v>65</v>
      </c>
      <c r="C1173" s="12" t="s">
        <v>66</v>
      </c>
      <c r="D1173" s="8">
        <v>19</v>
      </c>
      <c r="E1173" s="8" t="s">
        <v>431</v>
      </c>
    </row>
    <row r="1174" spans="1:5" x14ac:dyDescent="0.25">
      <c r="A1174" s="8" t="str">
        <f t="shared" si="18"/>
        <v>001</v>
      </c>
      <c r="B1174" s="8" t="s">
        <v>262</v>
      </c>
      <c r="C1174" s="12" t="s">
        <v>1282</v>
      </c>
      <c r="D1174" s="8">
        <v>19</v>
      </c>
      <c r="E1174" s="8" t="s">
        <v>431</v>
      </c>
    </row>
    <row r="1175" spans="1:5" x14ac:dyDescent="0.25">
      <c r="A1175" s="8" t="str">
        <f t="shared" si="18"/>
        <v>002</v>
      </c>
      <c r="B1175" s="8" t="s">
        <v>264</v>
      </c>
      <c r="C1175" s="12" t="s">
        <v>1283</v>
      </c>
      <c r="D1175" s="8">
        <v>19</v>
      </c>
      <c r="E1175" s="8" t="s">
        <v>431</v>
      </c>
    </row>
    <row r="1176" spans="1:5" x14ac:dyDescent="0.25">
      <c r="A1176" s="8" t="str">
        <f t="shared" si="18"/>
        <v>003</v>
      </c>
      <c r="B1176" s="8" t="s">
        <v>67</v>
      </c>
      <c r="C1176" s="12" t="s">
        <v>1284</v>
      </c>
      <c r="D1176" s="8">
        <v>19</v>
      </c>
      <c r="E1176" s="8" t="s">
        <v>431</v>
      </c>
    </row>
    <row r="1177" spans="1:5" x14ac:dyDescent="0.25">
      <c r="A1177" s="8" t="str">
        <f t="shared" si="18"/>
        <v>004</v>
      </c>
      <c r="B1177" s="8" t="s">
        <v>69</v>
      </c>
      <c r="C1177" s="12" t="s">
        <v>1285</v>
      </c>
      <c r="D1177" s="8">
        <v>19</v>
      </c>
      <c r="E1177" s="8" t="s">
        <v>431</v>
      </c>
    </row>
    <row r="1178" spans="1:5" x14ac:dyDescent="0.25">
      <c r="A1178" s="8" t="str">
        <f t="shared" si="18"/>
        <v>005</v>
      </c>
      <c r="B1178" s="8" t="s">
        <v>78</v>
      </c>
      <c r="C1178" s="12" t="s">
        <v>1286</v>
      </c>
      <c r="D1178" s="8">
        <v>19</v>
      </c>
      <c r="E1178" s="8" t="s">
        <v>431</v>
      </c>
    </row>
    <row r="1179" spans="1:5" x14ac:dyDescent="0.25">
      <c r="A1179" s="8" t="str">
        <f t="shared" si="18"/>
        <v>006</v>
      </c>
      <c r="B1179" s="8" t="s">
        <v>80</v>
      </c>
      <c r="C1179" s="12" t="s">
        <v>1287</v>
      </c>
      <c r="D1179" s="8">
        <v>19</v>
      </c>
      <c r="E1179" s="8" t="s">
        <v>431</v>
      </c>
    </row>
    <row r="1180" spans="1:5" x14ac:dyDescent="0.25">
      <c r="A1180" s="8" t="str">
        <f t="shared" si="18"/>
        <v>007</v>
      </c>
      <c r="B1180" s="8" t="s">
        <v>71</v>
      </c>
      <c r="C1180" s="12" t="s">
        <v>1288</v>
      </c>
      <c r="D1180" s="8">
        <v>19</v>
      </c>
      <c r="E1180" s="8" t="s">
        <v>431</v>
      </c>
    </row>
    <row r="1181" spans="1:5" x14ac:dyDescent="0.25">
      <c r="A1181" s="8" t="str">
        <f t="shared" si="18"/>
        <v>008</v>
      </c>
      <c r="B1181" s="8" t="s">
        <v>271</v>
      </c>
      <c r="C1181" s="12" t="s">
        <v>1289</v>
      </c>
      <c r="D1181" s="8">
        <v>19</v>
      </c>
      <c r="E1181" s="8" t="s">
        <v>431</v>
      </c>
    </row>
    <row r="1182" spans="1:5" x14ac:dyDescent="0.25">
      <c r="A1182" s="8" t="str">
        <f t="shared" si="18"/>
        <v>009</v>
      </c>
      <c r="B1182" s="8" t="s">
        <v>273</v>
      </c>
      <c r="C1182" s="12" t="s">
        <v>1290</v>
      </c>
      <c r="D1182" s="8">
        <v>19</v>
      </c>
      <c r="E1182" s="8" t="s">
        <v>431</v>
      </c>
    </row>
    <row r="1183" spans="1:5" x14ac:dyDescent="0.25">
      <c r="A1183" s="8" t="str">
        <f t="shared" si="18"/>
        <v>101</v>
      </c>
      <c r="B1183" s="8" t="s">
        <v>95</v>
      </c>
      <c r="C1183" s="12" t="s">
        <v>1291</v>
      </c>
      <c r="D1183" s="8">
        <v>19</v>
      </c>
      <c r="E1183" s="8" t="s">
        <v>431</v>
      </c>
    </row>
    <row r="1184" spans="1:5" x14ac:dyDescent="0.25">
      <c r="A1184" s="8" t="str">
        <f t="shared" si="18"/>
        <v>102</v>
      </c>
      <c r="B1184" s="8" t="s">
        <v>97</v>
      </c>
      <c r="C1184" s="12" t="s">
        <v>1292</v>
      </c>
      <c r="D1184" s="8">
        <v>19</v>
      </c>
      <c r="E1184" s="8" t="s">
        <v>431</v>
      </c>
    </row>
    <row r="1185" spans="1:5" x14ac:dyDescent="0.25">
      <c r="A1185" s="8" t="str">
        <f t="shared" si="18"/>
        <v>103</v>
      </c>
      <c r="B1185" s="8" t="s">
        <v>99</v>
      </c>
      <c r="C1185" s="12" t="s">
        <v>1293</v>
      </c>
      <c r="D1185" s="8">
        <v>19</v>
      </c>
      <c r="E1185" s="8" t="s">
        <v>431</v>
      </c>
    </row>
    <row r="1186" spans="1:5" x14ac:dyDescent="0.25">
      <c r="A1186" s="8" t="str">
        <f t="shared" si="18"/>
        <v>104</v>
      </c>
      <c r="B1186" s="8" t="s">
        <v>124</v>
      </c>
      <c r="C1186" s="12" t="s">
        <v>1294</v>
      </c>
      <c r="D1186" s="8">
        <v>19</v>
      </c>
      <c r="E1186" s="8" t="s">
        <v>431</v>
      </c>
    </row>
    <row r="1187" spans="1:5" x14ac:dyDescent="0.25">
      <c r="A1187" s="8" t="str">
        <f t="shared" si="18"/>
        <v>105</v>
      </c>
      <c r="B1187" s="8" t="s">
        <v>101</v>
      </c>
      <c r="C1187" s="12" t="s">
        <v>1295</v>
      </c>
      <c r="D1187" s="8">
        <v>19</v>
      </c>
      <c r="E1187" s="8" t="s">
        <v>431</v>
      </c>
    </row>
    <row r="1188" spans="1:5" x14ac:dyDescent="0.25">
      <c r="A1188" s="8" t="str">
        <f t="shared" si="18"/>
        <v>106</v>
      </c>
      <c r="B1188" s="8" t="s">
        <v>127</v>
      </c>
      <c r="C1188" s="12" t="s">
        <v>1296</v>
      </c>
      <c r="D1188" s="8">
        <v>19</v>
      </c>
      <c r="E1188" s="8" t="s">
        <v>431</v>
      </c>
    </row>
    <row r="1189" spans="1:5" x14ac:dyDescent="0.25">
      <c r="A1189" s="8" t="str">
        <f t="shared" si="18"/>
        <v>107</v>
      </c>
      <c r="B1189" s="8" t="s">
        <v>129</v>
      </c>
      <c r="C1189" s="12" t="s">
        <v>1297</v>
      </c>
      <c r="D1189" s="8">
        <v>19</v>
      </c>
      <c r="E1189" s="8" t="s">
        <v>431</v>
      </c>
    </row>
    <row r="1190" spans="1:5" x14ac:dyDescent="0.25">
      <c r="A1190" s="8" t="str">
        <f t="shared" si="18"/>
        <v>108</v>
      </c>
      <c r="B1190" s="8" t="s">
        <v>131</v>
      </c>
      <c r="C1190" s="12" t="s">
        <v>1298</v>
      </c>
      <c r="D1190" s="8">
        <v>19</v>
      </c>
      <c r="E1190" s="8" t="s">
        <v>431</v>
      </c>
    </row>
    <row r="1191" spans="1:5" x14ac:dyDescent="0.25">
      <c r="A1191" s="8" t="str">
        <f t="shared" si="18"/>
        <v>109</v>
      </c>
      <c r="B1191" s="8" t="s">
        <v>133</v>
      </c>
      <c r="C1191" s="12" t="s">
        <v>1299</v>
      </c>
      <c r="D1191" s="8">
        <v>19</v>
      </c>
      <c r="E1191" s="8" t="s">
        <v>431</v>
      </c>
    </row>
    <row r="1192" spans="1:5" x14ac:dyDescent="0.25">
      <c r="A1192" s="8" t="str">
        <f t="shared" si="18"/>
        <v>110</v>
      </c>
      <c r="B1192" s="8" t="s">
        <v>134</v>
      </c>
      <c r="C1192" s="12" t="s">
        <v>1300</v>
      </c>
      <c r="D1192" s="8">
        <v>19</v>
      </c>
      <c r="E1192" s="8" t="s">
        <v>431</v>
      </c>
    </row>
    <row r="1193" spans="1:5" x14ac:dyDescent="0.25">
      <c r="A1193" s="8" t="str">
        <f t="shared" si="18"/>
        <v>000</v>
      </c>
      <c r="B1193" s="8" t="s">
        <v>65</v>
      </c>
      <c r="C1193" s="12" t="s">
        <v>66</v>
      </c>
      <c r="D1193" s="8">
        <v>19</v>
      </c>
      <c r="E1193" s="8" t="s">
        <v>419</v>
      </c>
    </row>
    <row r="1194" spans="1:5" x14ac:dyDescent="0.25">
      <c r="A1194" s="8" t="str">
        <f t="shared" si="18"/>
        <v>001</v>
      </c>
      <c r="B1194" s="8" t="s">
        <v>262</v>
      </c>
      <c r="C1194" s="12" t="s">
        <v>1301</v>
      </c>
      <c r="D1194" s="8">
        <v>19</v>
      </c>
      <c r="E1194" s="8" t="s">
        <v>419</v>
      </c>
    </row>
    <row r="1195" spans="1:5" x14ac:dyDescent="0.25">
      <c r="A1195" s="8" t="str">
        <f t="shared" si="18"/>
        <v>002</v>
      </c>
      <c r="B1195" s="8" t="s">
        <v>264</v>
      </c>
      <c r="C1195" s="12" t="s">
        <v>1302</v>
      </c>
      <c r="D1195" s="8">
        <v>19</v>
      </c>
      <c r="E1195" s="8" t="s">
        <v>419</v>
      </c>
    </row>
    <row r="1196" spans="1:5" x14ac:dyDescent="0.25">
      <c r="A1196" s="8" t="str">
        <f t="shared" si="18"/>
        <v>000</v>
      </c>
      <c r="B1196" s="8" t="s">
        <v>65</v>
      </c>
      <c r="C1196" s="12" t="s">
        <v>66</v>
      </c>
      <c r="D1196" s="8">
        <v>19</v>
      </c>
      <c r="E1196" s="8" t="s">
        <v>425</v>
      </c>
    </row>
    <row r="1197" spans="1:5" x14ac:dyDescent="0.25">
      <c r="A1197" s="8" t="str">
        <f t="shared" si="18"/>
        <v>001</v>
      </c>
      <c r="B1197" s="8" t="s">
        <v>262</v>
      </c>
      <c r="C1197" s="12" t="s">
        <v>1282</v>
      </c>
      <c r="D1197" s="8">
        <v>19</v>
      </c>
      <c r="E1197" s="8" t="s">
        <v>425</v>
      </c>
    </row>
    <row r="1198" spans="1:5" x14ac:dyDescent="0.25">
      <c r="A1198" s="8" t="str">
        <f t="shared" si="18"/>
        <v>002</v>
      </c>
      <c r="B1198" s="8" t="s">
        <v>264</v>
      </c>
      <c r="C1198" s="12" t="s">
        <v>1283</v>
      </c>
      <c r="D1198" s="8">
        <v>19</v>
      </c>
      <c r="E1198" s="8" t="s">
        <v>425</v>
      </c>
    </row>
    <row r="1199" spans="1:5" x14ac:dyDescent="0.25">
      <c r="A1199" s="8" t="str">
        <f t="shared" si="18"/>
        <v>003</v>
      </c>
      <c r="B1199" s="8" t="s">
        <v>67</v>
      </c>
      <c r="C1199" s="12" t="s">
        <v>1284</v>
      </c>
      <c r="D1199" s="8">
        <v>19</v>
      </c>
      <c r="E1199" s="8" t="s">
        <v>425</v>
      </c>
    </row>
    <row r="1200" spans="1:5" x14ac:dyDescent="0.25">
      <c r="A1200" s="8" t="str">
        <f t="shared" si="18"/>
        <v>004</v>
      </c>
      <c r="B1200" s="8" t="s">
        <v>69</v>
      </c>
      <c r="C1200" s="12" t="s">
        <v>1285</v>
      </c>
      <c r="D1200" s="8">
        <v>19</v>
      </c>
      <c r="E1200" s="8" t="s">
        <v>425</v>
      </c>
    </row>
    <row r="1201" spans="1:5" x14ac:dyDescent="0.25">
      <c r="A1201" s="8" t="str">
        <f t="shared" si="18"/>
        <v>005</v>
      </c>
      <c r="B1201" s="8" t="s">
        <v>78</v>
      </c>
      <c r="C1201" s="12" t="s">
        <v>1286</v>
      </c>
      <c r="D1201" s="8">
        <v>19</v>
      </c>
      <c r="E1201" s="8" t="s">
        <v>425</v>
      </c>
    </row>
    <row r="1202" spans="1:5" x14ac:dyDescent="0.25">
      <c r="A1202" s="8" t="str">
        <f t="shared" si="18"/>
        <v>006</v>
      </c>
      <c r="B1202" s="8" t="s">
        <v>80</v>
      </c>
      <c r="C1202" s="12" t="s">
        <v>1287</v>
      </c>
      <c r="D1202" s="8">
        <v>19</v>
      </c>
      <c r="E1202" s="8" t="s">
        <v>425</v>
      </c>
    </row>
    <row r="1203" spans="1:5" x14ac:dyDescent="0.25">
      <c r="A1203" s="8" t="str">
        <f t="shared" si="18"/>
        <v>007</v>
      </c>
      <c r="B1203" s="8" t="s">
        <v>71</v>
      </c>
      <c r="C1203" s="12" t="s">
        <v>1288</v>
      </c>
      <c r="D1203" s="8">
        <v>19</v>
      </c>
      <c r="E1203" s="8" t="s">
        <v>425</v>
      </c>
    </row>
    <row r="1204" spans="1:5" x14ac:dyDescent="0.25">
      <c r="A1204" s="8" t="str">
        <f t="shared" si="18"/>
        <v>008</v>
      </c>
      <c r="B1204" s="8" t="s">
        <v>271</v>
      </c>
      <c r="C1204" s="12" t="s">
        <v>1289</v>
      </c>
      <c r="D1204" s="8">
        <v>19</v>
      </c>
      <c r="E1204" s="8" t="s">
        <v>425</v>
      </c>
    </row>
    <row r="1205" spans="1:5" x14ac:dyDescent="0.25">
      <c r="A1205" s="8" t="str">
        <f t="shared" si="18"/>
        <v>009</v>
      </c>
      <c r="B1205" s="8" t="s">
        <v>273</v>
      </c>
      <c r="C1205" s="12" t="s">
        <v>1290</v>
      </c>
      <c r="D1205" s="8">
        <v>19</v>
      </c>
      <c r="E1205" s="8" t="s">
        <v>425</v>
      </c>
    </row>
    <row r="1206" spans="1:5" x14ac:dyDescent="0.25">
      <c r="A1206" s="8" t="str">
        <f t="shared" si="18"/>
        <v>101</v>
      </c>
      <c r="B1206" s="8" t="s">
        <v>95</v>
      </c>
      <c r="C1206" s="12" t="s">
        <v>1291</v>
      </c>
      <c r="D1206" s="8">
        <v>19</v>
      </c>
      <c r="E1206" s="8" t="s">
        <v>425</v>
      </c>
    </row>
    <row r="1207" spans="1:5" x14ac:dyDescent="0.25">
      <c r="A1207" s="8" t="str">
        <f t="shared" si="18"/>
        <v>102</v>
      </c>
      <c r="B1207" s="8" t="s">
        <v>97</v>
      </c>
      <c r="C1207" s="12" t="s">
        <v>1292</v>
      </c>
      <c r="D1207" s="8">
        <v>19</v>
      </c>
      <c r="E1207" s="8" t="s">
        <v>425</v>
      </c>
    </row>
    <row r="1208" spans="1:5" x14ac:dyDescent="0.25">
      <c r="A1208" s="8" t="str">
        <f t="shared" si="18"/>
        <v>103</v>
      </c>
      <c r="B1208" s="8" t="s">
        <v>99</v>
      </c>
      <c r="C1208" s="12" t="s">
        <v>1293</v>
      </c>
      <c r="D1208" s="8">
        <v>19</v>
      </c>
      <c r="E1208" s="8" t="s">
        <v>425</v>
      </c>
    </row>
    <row r="1209" spans="1:5" x14ac:dyDescent="0.25">
      <c r="A1209" s="8" t="str">
        <f t="shared" si="18"/>
        <v>104</v>
      </c>
      <c r="B1209" s="8" t="s">
        <v>124</v>
      </c>
      <c r="C1209" s="12" t="s">
        <v>1294</v>
      </c>
      <c r="D1209" s="8">
        <v>19</v>
      </c>
      <c r="E1209" s="8" t="s">
        <v>425</v>
      </c>
    </row>
    <row r="1210" spans="1:5" x14ac:dyDescent="0.25">
      <c r="A1210" s="8" t="str">
        <f t="shared" si="18"/>
        <v>105</v>
      </c>
      <c r="B1210" s="8" t="s">
        <v>101</v>
      </c>
      <c r="C1210" s="12" t="s">
        <v>1295</v>
      </c>
      <c r="D1210" s="8">
        <v>19</v>
      </c>
      <c r="E1210" s="8" t="s">
        <v>425</v>
      </c>
    </row>
    <row r="1211" spans="1:5" x14ac:dyDescent="0.25">
      <c r="A1211" s="8" t="str">
        <f t="shared" si="18"/>
        <v>106</v>
      </c>
      <c r="B1211" s="8" t="s">
        <v>127</v>
      </c>
      <c r="C1211" s="12" t="s">
        <v>1296</v>
      </c>
      <c r="D1211" s="8">
        <v>19</v>
      </c>
      <c r="E1211" s="8" t="s">
        <v>425</v>
      </c>
    </row>
    <row r="1212" spans="1:5" x14ac:dyDescent="0.25">
      <c r="A1212" s="8" t="str">
        <f t="shared" si="18"/>
        <v>107</v>
      </c>
      <c r="B1212" s="8" t="s">
        <v>129</v>
      </c>
      <c r="C1212" s="12" t="s">
        <v>1297</v>
      </c>
      <c r="D1212" s="8">
        <v>19</v>
      </c>
      <c r="E1212" s="8" t="s">
        <v>425</v>
      </c>
    </row>
    <row r="1213" spans="1:5" x14ac:dyDescent="0.25">
      <c r="A1213" s="8" t="str">
        <f t="shared" si="18"/>
        <v>108</v>
      </c>
      <c r="B1213" s="8" t="s">
        <v>131</v>
      </c>
      <c r="C1213" s="12" t="s">
        <v>1298</v>
      </c>
      <c r="D1213" s="8">
        <v>19</v>
      </c>
      <c r="E1213" s="8" t="s">
        <v>425</v>
      </c>
    </row>
    <row r="1214" spans="1:5" x14ac:dyDescent="0.25">
      <c r="A1214" s="8" t="str">
        <f t="shared" si="18"/>
        <v>109</v>
      </c>
      <c r="B1214" s="8" t="s">
        <v>133</v>
      </c>
      <c r="C1214" s="12" t="s">
        <v>1299</v>
      </c>
      <c r="D1214" s="8">
        <v>19</v>
      </c>
      <c r="E1214" s="8" t="s">
        <v>425</v>
      </c>
    </row>
    <row r="1215" spans="1:5" x14ac:dyDescent="0.25">
      <c r="A1215" s="8" t="str">
        <f t="shared" si="18"/>
        <v>000</v>
      </c>
      <c r="B1215" s="8" t="s">
        <v>65</v>
      </c>
      <c r="C1215" s="12" t="s">
        <v>66</v>
      </c>
      <c r="D1215" s="8">
        <v>19</v>
      </c>
      <c r="E1215" s="8" t="s">
        <v>433</v>
      </c>
    </row>
    <row r="1216" spans="1:5" x14ac:dyDescent="0.25">
      <c r="A1216" s="8" t="str">
        <f t="shared" si="18"/>
        <v>001</v>
      </c>
      <c r="B1216" s="8" t="s">
        <v>262</v>
      </c>
      <c r="C1216" s="12" t="s">
        <v>1303</v>
      </c>
      <c r="D1216" s="8">
        <v>19</v>
      </c>
      <c r="E1216" s="8" t="s">
        <v>433</v>
      </c>
    </row>
    <row r="1217" spans="1:5" x14ac:dyDescent="0.25">
      <c r="A1217" s="8" t="str">
        <f t="shared" si="18"/>
        <v>002</v>
      </c>
      <c r="B1217" s="8" t="s">
        <v>264</v>
      </c>
      <c r="C1217" s="12" t="s">
        <v>1304</v>
      </c>
      <c r="D1217" s="8">
        <v>19</v>
      </c>
      <c r="E1217" s="8" t="s">
        <v>433</v>
      </c>
    </row>
    <row r="1218" spans="1:5" x14ac:dyDescent="0.25">
      <c r="A1218" s="8" t="str">
        <f t="shared" si="18"/>
        <v>003</v>
      </c>
      <c r="B1218" s="8" t="s">
        <v>67</v>
      </c>
      <c r="C1218" s="12" t="s">
        <v>1305</v>
      </c>
      <c r="D1218" s="8">
        <v>19</v>
      </c>
      <c r="E1218" s="8" t="s">
        <v>433</v>
      </c>
    </row>
    <row r="1219" spans="1:5" x14ac:dyDescent="0.25">
      <c r="A1219" s="8" t="str">
        <f t="shared" ref="A1219:A1282" si="19">TEXT(B1219,"000")</f>
        <v>004</v>
      </c>
      <c r="B1219" s="8" t="s">
        <v>69</v>
      </c>
      <c r="C1219" s="12" t="s">
        <v>1306</v>
      </c>
      <c r="D1219" s="8">
        <v>19</v>
      </c>
      <c r="E1219" s="8" t="s">
        <v>433</v>
      </c>
    </row>
    <row r="1220" spans="1:5" x14ac:dyDescent="0.25">
      <c r="A1220" s="8" t="str">
        <f t="shared" si="19"/>
        <v>005</v>
      </c>
      <c r="B1220" s="8" t="s">
        <v>78</v>
      </c>
      <c r="C1220" s="12" t="s">
        <v>1307</v>
      </c>
      <c r="D1220" s="8">
        <v>19</v>
      </c>
      <c r="E1220" s="8" t="s">
        <v>433</v>
      </c>
    </row>
    <row r="1221" spans="1:5" x14ac:dyDescent="0.25">
      <c r="A1221" s="8" t="str">
        <f t="shared" si="19"/>
        <v>006</v>
      </c>
      <c r="B1221" s="8" t="s">
        <v>80</v>
      </c>
      <c r="C1221" s="12" t="s">
        <v>1308</v>
      </c>
      <c r="D1221" s="8">
        <v>19</v>
      </c>
      <c r="E1221" s="8" t="s">
        <v>433</v>
      </c>
    </row>
    <row r="1222" spans="1:5" x14ac:dyDescent="0.25">
      <c r="A1222" s="8" t="str">
        <f t="shared" si="19"/>
        <v>007</v>
      </c>
      <c r="B1222" s="8" t="s">
        <v>71</v>
      </c>
      <c r="C1222" s="12" t="s">
        <v>1309</v>
      </c>
      <c r="D1222" s="8">
        <v>19</v>
      </c>
      <c r="E1222" s="8" t="s">
        <v>433</v>
      </c>
    </row>
    <row r="1223" spans="1:5" x14ac:dyDescent="0.25">
      <c r="A1223" s="8" t="str">
        <f t="shared" si="19"/>
        <v>009</v>
      </c>
      <c r="B1223" s="8" t="s">
        <v>273</v>
      </c>
      <c r="C1223" s="12" t="s">
        <v>1310</v>
      </c>
      <c r="D1223" s="8">
        <v>19</v>
      </c>
      <c r="E1223" s="8" t="s">
        <v>433</v>
      </c>
    </row>
    <row r="1224" spans="1:5" x14ac:dyDescent="0.25">
      <c r="A1224" s="8" t="str">
        <f t="shared" si="19"/>
        <v>101</v>
      </c>
      <c r="B1224" s="8" t="s">
        <v>95</v>
      </c>
      <c r="C1224" s="12" t="s">
        <v>1311</v>
      </c>
      <c r="D1224" s="8">
        <v>19</v>
      </c>
      <c r="E1224" s="8" t="s">
        <v>433</v>
      </c>
    </row>
    <row r="1225" spans="1:5" x14ac:dyDescent="0.25">
      <c r="A1225" s="8" t="str">
        <f t="shared" si="19"/>
        <v>102</v>
      </c>
      <c r="B1225" s="8" t="s">
        <v>97</v>
      </c>
      <c r="C1225" s="12" t="s">
        <v>1312</v>
      </c>
      <c r="D1225" s="8">
        <v>19</v>
      </c>
      <c r="E1225" s="8" t="s">
        <v>433</v>
      </c>
    </row>
    <row r="1226" spans="1:5" x14ac:dyDescent="0.25">
      <c r="A1226" s="8" t="str">
        <f t="shared" si="19"/>
        <v>103</v>
      </c>
      <c r="B1226" s="8" t="s">
        <v>99</v>
      </c>
      <c r="C1226" s="12" t="s">
        <v>1313</v>
      </c>
      <c r="D1226" s="8">
        <v>19</v>
      </c>
      <c r="E1226" s="8" t="s">
        <v>433</v>
      </c>
    </row>
    <row r="1227" spans="1:5" x14ac:dyDescent="0.25">
      <c r="A1227" s="8" t="str">
        <f t="shared" si="19"/>
        <v>104</v>
      </c>
      <c r="B1227" s="8" t="s">
        <v>124</v>
      </c>
      <c r="C1227" s="12" t="s">
        <v>1314</v>
      </c>
      <c r="D1227" s="8">
        <v>19</v>
      </c>
      <c r="E1227" s="8" t="s">
        <v>433</v>
      </c>
    </row>
    <row r="1228" spans="1:5" x14ac:dyDescent="0.25">
      <c r="A1228" s="8" t="str">
        <f t="shared" si="19"/>
        <v>105</v>
      </c>
      <c r="B1228" s="8" t="s">
        <v>101</v>
      </c>
      <c r="C1228" s="12" t="s">
        <v>1315</v>
      </c>
      <c r="D1228" s="8">
        <v>19</v>
      </c>
      <c r="E1228" s="8" t="s">
        <v>433</v>
      </c>
    </row>
    <row r="1229" spans="1:5" x14ac:dyDescent="0.25">
      <c r="A1229" s="8" t="str">
        <f t="shared" si="19"/>
        <v>106</v>
      </c>
      <c r="B1229" s="8" t="s">
        <v>127</v>
      </c>
      <c r="C1229" s="12" t="s">
        <v>1316</v>
      </c>
      <c r="D1229" s="8">
        <v>19</v>
      </c>
      <c r="E1229" s="8" t="s">
        <v>433</v>
      </c>
    </row>
    <row r="1230" spans="1:5" x14ac:dyDescent="0.25">
      <c r="A1230" s="8" t="str">
        <f t="shared" si="19"/>
        <v>107</v>
      </c>
      <c r="B1230" s="8" t="s">
        <v>129</v>
      </c>
      <c r="C1230" s="12" t="s">
        <v>1317</v>
      </c>
      <c r="D1230" s="8">
        <v>19</v>
      </c>
      <c r="E1230" s="8" t="s">
        <v>433</v>
      </c>
    </row>
    <row r="1231" spans="1:5" x14ac:dyDescent="0.25">
      <c r="A1231" s="8" t="str">
        <f t="shared" si="19"/>
        <v>108</v>
      </c>
      <c r="B1231" s="8">
        <v>108</v>
      </c>
      <c r="C1231" s="12" t="s">
        <v>1318</v>
      </c>
      <c r="D1231" s="8">
        <v>19</v>
      </c>
      <c r="E1231" s="8" t="s">
        <v>433</v>
      </c>
    </row>
    <row r="1232" spans="1:5" x14ac:dyDescent="0.25">
      <c r="A1232" s="8" t="str">
        <f t="shared" si="19"/>
        <v>109</v>
      </c>
      <c r="B1232" s="8">
        <v>109</v>
      </c>
      <c r="C1232" s="12" t="s">
        <v>1319</v>
      </c>
      <c r="D1232" s="8">
        <v>19</v>
      </c>
      <c r="E1232" s="8" t="s">
        <v>433</v>
      </c>
    </row>
    <row r="1233" spans="1:5" x14ac:dyDescent="0.25">
      <c r="A1233" s="8" t="str">
        <f t="shared" si="19"/>
        <v>110</v>
      </c>
      <c r="B1233" s="8">
        <v>110</v>
      </c>
      <c r="C1233" s="12" t="s">
        <v>1320</v>
      </c>
      <c r="D1233" s="8">
        <v>19</v>
      </c>
      <c r="E1233" s="8" t="s">
        <v>433</v>
      </c>
    </row>
    <row r="1234" spans="1:5" x14ac:dyDescent="0.25">
      <c r="A1234" s="8" t="str">
        <f t="shared" si="19"/>
        <v>111</v>
      </c>
      <c r="B1234" s="8">
        <v>111</v>
      </c>
      <c r="C1234" s="12" t="s">
        <v>1321</v>
      </c>
      <c r="D1234" s="8">
        <v>19</v>
      </c>
      <c r="E1234" s="8" t="s">
        <v>433</v>
      </c>
    </row>
    <row r="1235" spans="1:5" x14ac:dyDescent="0.25">
      <c r="A1235" s="8" t="str">
        <f t="shared" si="19"/>
        <v>201</v>
      </c>
      <c r="B1235" s="8">
        <v>201</v>
      </c>
      <c r="C1235" s="12" t="s">
        <v>1322</v>
      </c>
      <c r="D1235" s="8">
        <v>19</v>
      </c>
      <c r="E1235" s="8" t="s">
        <v>433</v>
      </c>
    </row>
    <row r="1236" spans="1:5" x14ac:dyDescent="0.25">
      <c r="A1236" s="8" t="str">
        <f t="shared" si="19"/>
        <v>202</v>
      </c>
      <c r="B1236" s="8">
        <v>202</v>
      </c>
      <c r="C1236" s="12" t="s">
        <v>1323</v>
      </c>
      <c r="D1236" s="8">
        <v>19</v>
      </c>
      <c r="E1236" s="8" t="s">
        <v>433</v>
      </c>
    </row>
    <row r="1237" spans="1:5" x14ac:dyDescent="0.25">
      <c r="A1237" s="8" t="str">
        <f t="shared" si="19"/>
        <v>203</v>
      </c>
      <c r="B1237" s="8">
        <v>203</v>
      </c>
      <c r="C1237" s="12" t="s">
        <v>1324</v>
      </c>
      <c r="D1237" s="8">
        <v>19</v>
      </c>
      <c r="E1237" s="8" t="s">
        <v>433</v>
      </c>
    </row>
    <row r="1238" spans="1:5" x14ac:dyDescent="0.25">
      <c r="A1238" s="8" t="str">
        <f t="shared" si="19"/>
        <v>204</v>
      </c>
      <c r="B1238" s="8">
        <v>204</v>
      </c>
      <c r="C1238" s="12" t="s">
        <v>1325</v>
      </c>
      <c r="D1238" s="8">
        <v>19</v>
      </c>
      <c r="E1238" s="8" t="s">
        <v>433</v>
      </c>
    </row>
    <row r="1239" spans="1:5" x14ac:dyDescent="0.25">
      <c r="A1239" s="8" t="str">
        <f t="shared" si="19"/>
        <v>205</v>
      </c>
      <c r="B1239" s="8">
        <v>205</v>
      </c>
      <c r="C1239" s="12" t="s">
        <v>1326</v>
      </c>
      <c r="D1239" s="8">
        <v>19</v>
      </c>
      <c r="E1239" s="8" t="s">
        <v>433</v>
      </c>
    </row>
    <row r="1240" spans="1:5" x14ac:dyDescent="0.25">
      <c r="A1240" s="8" t="str">
        <f t="shared" si="19"/>
        <v>206</v>
      </c>
      <c r="B1240" s="8">
        <v>206</v>
      </c>
      <c r="C1240" s="12" t="s">
        <v>1327</v>
      </c>
      <c r="D1240" s="8">
        <v>19</v>
      </c>
      <c r="E1240" s="8" t="s">
        <v>433</v>
      </c>
    </row>
    <row r="1241" spans="1:5" x14ac:dyDescent="0.25">
      <c r="A1241" s="8" t="str">
        <f t="shared" si="19"/>
        <v>207</v>
      </c>
      <c r="B1241" s="8">
        <v>207</v>
      </c>
      <c r="C1241" s="12" t="s">
        <v>1328</v>
      </c>
      <c r="D1241" s="8">
        <v>19</v>
      </c>
      <c r="E1241" s="8" t="s">
        <v>433</v>
      </c>
    </row>
    <row r="1242" spans="1:5" x14ac:dyDescent="0.25">
      <c r="A1242" s="8" t="str">
        <f t="shared" si="19"/>
        <v>208</v>
      </c>
      <c r="B1242" s="8">
        <v>208</v>
      </c>
      <c r="C1242" s="12" t="s">
        <v>1329</v>
      </c>
      <c r="D1242" s="8">
        <v>19</v>
      </c>
      <c r="E1242" s="8" t="s">
        <v>433</v>
      </c>
    </row>
    <row r="1243" spans="1:5" x14ac:dyDescent="0.25">
      <c r="A1243" s="8" t="str">
        <f t="shared" si="19"/>
        <v>503</v>
      </c>
      <c r="B1243" s="8">
        <v>503</v>
      </c>
      <c r="C1243" s="12" t="s">
        <v>1330</v>
      </c>
      <c r="D1243" s="8">
        <v>19</v>
      </c>
      <c r="E1243" s="8" t="s">
        <v>433</v>
      </c>
    </row>
    <row r="1244" spans="1:5" x14ac:dyDescent="0.25">
      <c r="A1244" s="8" t="str">
        <f t="shared" si="19"/>
        <v>504</v>
      </c>
      <c r="B1244" s="8">
        <v>504</v>
      </c>
      <c r="C1244" s="12" t="s">
        <v>1331</v>
      </c>
      <c r="D1244" s="8">
        <v>19</v>
      </c>
      <c r="E1244" s="8" t="s">
        <v>433</v>
      </c>
    </row>
    <row r="1245" spans="1:5" x14ac:dyDescent="0.25">
      <c r="A1245" s="8" t="str">
        <f t="shared" si="19"/>
        <v>505</v>
      </c>
      <c r="B1245" s="8">
        <v>505</v>
      </c>
      <c r="C1245" s="12" t="s">
        <v>1332</v>
      </c>
      <c r="D1245" s="8">
        <v>19</v>
      </c>
      <c r="E1245" s="8" t="s">
        <v>433</v>
      </c>
    </row>
    <row r="1246" spans="1:5" x14ac:dyDescent="0.25">
      <c r="A1246" s="8" t="str">
        <f t="shared" si="19"/>
        <v>035</v>
      </c>
      <c r="B1246" s="8" t="s">
        <v>383</v>
      </c>
      <c r="C1246" s="12" t="s">
        <v>1333</v>
      </c>
      <c r="D1246" s="8">
        <v>19</v>
      </c>
      <c r="E1246" s="8" t="s">
        <v>433</v>
      </c>
    </row>
    <row r="1247" spans="1:5" x14ac:dyDescent="0.25">
      <c r="A1247" s="8" t="str">
        <f t="shared" si="19"/>
        <v>601</v>
      </c>
      <c r="B1247" s="8">
        <v>601</v>
      </c>
      <c r="C1247" s="12" t="s">
        <v>1334</v>
      </c>
      <c r="D1247" s="8">
        <v>19</v>
      </c>
      <c r="E1247" s="8" t="s">
        <v>433</v>
      </c>
    </row>
    <row r="1248" spans="1:5" x14ac:dyDescent="0.25">
      <c r="A1248" s="8" t="str">
        <f t="shared" si="19"/>
        <v>602</v>
      </c>
      <c r="B1248" s="8">
        <v>602</v>
      </c>
      <c r="C1248" s="12" t="s">
        <v>1335</v>
      </c>
      <c r="D1248" s="8">
        <v>19</v>
      </c>
      <c r="E1248" s="8" t="s">
        <v>433</v>
      </c>
    </row>
    <row r="1249" spans="1:5" x14ac:dyDescent="0.25">
      <c r="A1249" s="8" t="str">
        <f t="shared" si="19"/>
        <v>603</v>
      </c>
      <c r="B1249" s="8">
        <v>603</v>
      </c>
      <c r="C1249" s="12" t="s">
        <v>1336</v>
      </c>
      <c r="D1249" s="8">
        <v>19</v>
      </c>
      <c r="E1249" s="8" t="s">
        <v>433</v>
      </c>
    </row>
    <row r="1250" spans="1:5" x14ac:dyDescent="0.25">
      <c r="A1250" s="8" t="str">
        <f t="shared" si="19"/>
        <v>604</v>
      </c>
      <c r="B1250" s="8">
        <v>604</v>
      </c>
      <c r="C1250" s="12" t="s">
        <v>1337</v>
      </c>
      <c r="D1250" s="8">
        <v>19</v>
      </c>
      <c r="E1250" s="8" t="s">
        <v>433</v>
      </c>
    </row>
    <row r="1251" spans="1:5" x14ac:dyDescent="0.25">
      <c r="A1251" s="8" t="str">
        <f t="shared" si="19"/>
        <v>000</v>
      </c>
      <c r="B1251" s="8" t="s">
        <v>65</v>
      </c>
      <c r="C1251" s="12" t="s">
        <v>66</v>
      </c>
      <c r="D1251" s="8">
        <v>19</v>
      </c>
      <c r="E1251" s="8" t="s">
        <v>452</v>
      </c>
    </row>
    <row r="1252" spans="1:5" x14ac:dyDescent="0.25">
      <c r="A1252" s="8" t="str">
        <f t="shared" si="19"/>
        <v>001</v>
      </c>
      <c r="B1252" s="8" t="s">
        <v>262</v>
      </c>
      <c r="C1252" s="12" t="s">
        <v>1303</v>
      </c>
      <c r="D1252" s="8">
        <v>19</v>
      </c>
      <c r="E1252" s="8" t="s">
        <v>452</v>
      </c>
    </row>
    <row r="1253" spans="1:5" x14ac:dyDescent="0.25">
      <c r="A1253" s="8" t="str">
        <f t="shared" si="19"/>
        <v>002</v>
      </c>
      <c r="B1253" s="8" t="s">
        <v>264</v>
      </c>
      <c r="C1253" s="12" t="s">
        <v>1304</v>
      </c>
      <c r="D1253" s="8">
        <v>19</v>
      </c>
      <c r="E1253" s="8" t="s">
        <v>452</v>
      </c>
    </row>
    <row r="1254" spans="1:5" x14ac:dyDescent="0.25">
      <c r="A1254" s="8" t="str">
        <f t="shared" si="19"/>
        <v>003</v>
      </c>
      <c r="B1254" s="8" t="s">
        <v>67</v>
      </c>
      <c r="C1254" s="12" t="s">
        <v>1305</v>
      </c>
      <c r="D1254" s="8">
        <v>19</v>
      </c>
      <c r="E1254" s="8" t="s">
        <v>452</v>
      </c>
    </row>
    <row r="1255" spans="1:5" x14ac:dyDescent="0.25">
      <c r="A1255" s="8" t="str">
        <f t="shared" si="19"/>
        <v>004</v>
      </c>
      <c r="B1255" s="8" t="s">
        <v>69</v>
      </c>
      <c r="C1255" s="12" t="s">
        <v>1306</v>
      </c>
      <c r="D1255" s="8">
        <v>19</v>
      </c>
      <c r="E1255" s="8" t="s">
        <v>452</v>
      </c>
    </row>
    <row r="1256" spans="1:5" x14ac:dyDescent="0.25">
      <c r="A1256" s="8" t="str">
        <f t="shared" si="19"/>
        <v>005</v>
      </c>
      <c r="B1256" s="8" t="s">
        <v>78</v>
      </c>
      <c r="C1256" s="12" t="s">
        <v>1307</v>
      </c>
      <c r="D1256" s="8">
        <v>19</v>
      </c>
      <c r="E1256" s="8" t="s">
        <v>452</v>
      </c>
    </row>
    <row r="1257" spans="1:5" x14ac:dyDescent="0.25">
      <c r="A1257" s="8" t="str">
        <f t="shared" si="19"/>
        <v>006</v>
      </c>
      <c r="B1257" s="8" t="s">
        <v>80</v>
      </c>
      <c r="C1257" s="12" t="s">
        <v>1308</v>
      </c>
      <c r="D1257" s="8">
        <v>19</v>
      </c>
      <c r="E1257" s="8" t="s">
        <v>452</v>
      </c>
    </row>
    <row r="1258" spans="1:5" x14ac:dyDescent="0.25">
      <c r="A1258" s="8" t="str">
        <f t="shared" si="19"/>
        <v>007</v>
      </c>
      <c r="B1258" s="8" t="s">
        <v>71</v>
      </c>
      <c r="C1258" s="12" t="s">
        <v>1309</v>
      </c>
      <c r="D1258" s="8">
        <v>19</v>
      </c>
      <c r="E1258" s="8" t="s">
        <v>452</v>
      </c>
    </row>
    <row r="1259" spans="1:5" x14ac:dyDescent="0.25">
      <c r="A1259" s="8" t="str">
        <f t="shared" si="19"/>
        <v>008</v>
      </c>
      <c r="B1259" s="8" t="s">
        <v>271</v>
      </c>
      <c r="C1259" s="12" t="s">
        <v>1338</v>
      </c>
      <c r="D1259" s="8">
        <v>19</v>
      </c>
      <c r="E1259" s="8" t="s">
        <v>452</v>
      </c>
    </row>
    <row r="1260" spans="1:5" x14ac:dyDescent="0.25">
      <c r="A1260" s="8" t="str">
        <f t="shared" si="19"/>
        <v>009</v>
      </c>
      <c r="B1260" s="8" t="s">
        <v>273</v>
      </c>
      <c r="C1260" s="12" t="s">
        <v>1339</v>
      </c>
      <c r="D1260" s="8">
        <v>19</v>
      </c>
      <c r="E1260" s="8" t="s">
        <v>452</v>
      </c>
    </row>
    <row r="1261" spans="1:5" x14ac:dyDescent="0.25">
      <c r="A1261" s="8" t="str">
        <f t="shared" si="19"/>
        <v>101</v>
      </c>
      <c r="B1261" s="8" t="s">
        <v>95</v>
      </c>
      <c r="C1261" s="12" t="s">
        <v>1311</v>
      </c>
      <c r="D1261" s="8">
        <v>19</v>
      </c>
      <c r="E1261" s="8" t="s">
        <v>452</v>
      </c>
    </row>
    <row r="1262" spans="1:5" x14ac:dyDescent="0.25">
      <c r="A1262" s="8" t="str">
        <f t="shared" si="19"/>
        <v>102</v>
      </c>
      <c r="B1262" s="8" t="s">
        <v>97</v>
      </c>
      <c r="C1262" s="12" t="s">
        <v>1340</v>
      </c>
      <c r="D1262" s="8">
        <v>19</v>
      </c>
      <c r="E1262" s="8" t="s">
        <v>452</v>
      </c>
    </row>
    <row r="1263" spans="1:5" x14ac:dyDescent="0.25">
      <c r="A1263" s="8" t="str">
        <f t="shared" si="19"/>
        <v>103</v>
      </c>
      <c r="B1263" s="8" t="s">
        <v>99</v>
      </c>
      <c r="C1263" s="12" t="s">
        <v>1313</v>
      </c>
      <c r="D1263" s="8">
        <v>19</v>
      </c>
      <c r="E1263" s="8" t="s">
        <v>452</v>
      </c>
    </row>
    <row r="1264" spans="1:5" x14ac:dyDescent="0.25">
      <c r="A1264" s="8" t="str">
        <f t="shared" si="19"/>
        <v>104</v>
      </c>
      <c r="B1264" s="8" t="s">
        <v>124</v>
      </c>
      <c r="C1264" s="12" t="s">
        <v>1314</v>
      </c>
      <c r="D1264" s="8">
        <v>19</v>
      </c>
      <c r="E1264" s="8" t="s">
        <v>452</v>
      </c>
    </row>
    <row r="1265" spans="1:5" x14ac:dyDescent="0.25">
      <c r="A1265" s="8" t="str">
        <f t="shared" si="19"/>
        <v>105</v>
      </c>
      <c r="B1265" s="8" t="s">
        <v>101</v>
      </c>
      <c r="C1265" s="12" t="s">
        <v>1315</v>
      </c>
      <c r="D1265" s="8">
        <v>19</v>
      </c>
      <c r="E1265" s="8" t="s">
        <v>452</v>
      </c>
    </row>
    <row r="1266" spans="1:5" x14ac:dyDescent="0.25">
      <c r="A1266" s="8" t="str">
        <f t="shared" si="19"/>
        <v>106</v>
      </c>
      <c r="B1266" s="8" t="s">
        <v>127</v>
      </c>
      <c r="C1266" s="12" t="s">
        <v>1316</v>
      </c>
      <c r="D1266" s="8">
        <v>19</v>
      </c>
      <c r="E1266" s="8" t="s">
        <v>452</v>
      </c>
    </row>
    <row r="1267" spans="1:5" x14ac:dyDescent="0.25">
      <c r="A1267" s="8" t="str">
        <f t="shared" si="19"/>
        <v>107</v>
      </c>
      <c r="B1267" s="8" t="s">
        <v>129</v>
      </c>
      <c r="C1267" s="12" t="s">
        <v>1317</v>
      </c>
      <c r="D1267" s="8">
        <v>19</v>
      </c>
      <c r="E1267" s="8" t="s">
        <v>452</v>
      </c>
    </row>
    <row r="1268" spans="1:5" x14ac:dyDescent="0.25">
      <c r="A1268" s="8" t="str">
        <f t="shared" si="19"/>
        <v>108</v>
      </c>
      <c r="B1268" s="8">
        <v>108</v>
      </c>
      <c r="C1268" s="12" t="s">
        <v>1341</v>
      </c>
      <c r="D1268" s="8">
        <v>19</v>
      </c>
      <c r="E1268" s="8" t="s">
        <v>452</v>
      </c>
    </row>
    <row r="1269" spans="1:5" x14ac:dyDescent="0.25">
      <c r="A1269" s="8" t="str">
        <f t="shared" si="19"/>
        <v>109</v>
      </c>
      <c r="B1269" s="8">
        <v>109</v>
      </c>
      <c r="C1269" s="12" t="s">
        <v>1342</v>
      </c>
      <c r="D1269" s="8">
        <v>19</v>
      </c>
      <c r="E1269" s="8" t="s">
        <v>452</v>
      </c>
    </row>
    <row r="1270" spans="1:5" x14ac:dyDescent="0.25">
      <c r="A1270" s="8" t="str">
        <f t="shared" si="19"/>
        <v>110</v>
      </c>
      <c r="B1270" s="8">
        <v>110</v>
      </c>
      <c r="C1270" s="12" t="s">
        <v>1343</v>
      </c>
      <c r="D1270" s="8">
        <v>19</v>
      </c>
      <c r="E1270" s="8" t="s">
        <v>452</v>
      </c>
    </row>
    <row r="1271" spans="1:5" x14ac:dyDescent="0.25">
      <c r="A1271" s="8" t="str">
        <f t="shared" si="19"/>
        <v>111</v>
      </c>
      <c r="B1271" s="8">
        <v>111</v>
      </c>
      <c r="C1271" s="12" t="s">
        <v>1344</v>
      </c>
      <c r="D1271" s="8">
        <v>19</v>
      </c>
      <c r="E1271" s="8" t="s">
        <v>452</v>
      </c>
    </row>
    <row r="1272" spans="1:5" x14ac:dyDescent="0.25">
      <c r="A1272" s="8" t="str">
        <f t="shared" si="19"/>
        <v>201</v>
      </c>
      <c r="B1272" s="8">
        <v>201</v>
      </c>
      <c r="C1272" s="12" t="s">
        <v>1322</v>
      </c>
      <c r="D1272" s="8">
        <v>19</v>
      </c>
      <c r="E1272" s="8" t="s">
        <v>452</v>
      </c>
    </row>
    <row r="1273" spans="1:5" x14ac:dyDescent="0.25">
      <c r="A1273" s="8" t="str">
        <f t="shared" si="19"/>
        <v>202</v>
      </c>
      <c r="B1273" s="8">
        <v>202</v>
      </c>
      <c r="C1273" s="12" t="s">
        <v>1323</v>
      </c>
      <c r="D1273" s="8">
        <v>19</v>
      </c>
      <c r="E1273" s="8" t="s">
        <v>452</v>
      </c>
    </row>
    <row r="1274" spans="1:5" x14ac:dyDescent="0.25">
      <c r="A1274" s="8" t="str">
        <f t="shared" si="19"/>
        <v>203</v>
      </c>
      <c r="B1274" s="8">
        <v>203</v>
      </c>
      <c r="C1274" s="12" t="s">
        <v>1324</v>
      </c>
      <c r="D1274" s="8">
        <v>19</v>
      </c>
      <c r="E1274" s="8" t="s">
        <v>452</v>
      </c>
    </row>
    <row r="1275" spans="1:5" x14ac:dyDescent="0.25">
      <c r="A1275" s="8" t="str">
        <f t="shared" si="19"/>
        <v>204</v>
      </c>
      <c r="B1275" s="8">
        <v>204</v>
      </c>
      <c r="C1275" s="12" t="s">
        <v>1325</v>
      </c>
      <c r="D1275" s="8">
        <v>19</v>
      </c>
      <c r="E1275" s="8" t="s">
        <v>452</v>
      </c>
    </row>
    <row r="1276" spans="1:5" x14ac:dyDescent="0.25">
      <c r="A1276" s="8" t="str">
        <f t="shared" si="19"/>
        <v>205</v>
      </c>
      <c r="B1276" s="8">
        <v>205</v>
      </c>
      <c r="C1276" s="12" t="s">
        <v>1326</v>
      </c>
      <c r="D1276" s="8">
        <v>19</v>
      </c>
      <c r="E1276" s="8" t="s">
        <v>452</v>
      </c>
    </row>
    <row r="1277" spans="1:5" x14ac:dyDescent="0.25">
      <c r="A1277" s="8" t="str">
        <f t="shared" si="19"/>
        <v>206</v>
      </c>
      <c r="B1277" s="8">
        <v>206</v>
      </c>
      <c r="C1277" s="12" t="s">
        <v>1327</v>
      </c>
      <c r="D1277" s="8">
        <v>19</v>
      </c>
      <c r="E1277" s="8" t="s">
        <v>452</v>
      </c>
    </row>
    <row r="1278" spans="1:5" x14ac:dyDescent="0.25">
      <c r="A1278" s="8" t="str">
        <f t="shared" si="19"/>
        <v>207</v>
      </c>
      <c r="B1278" s="8">
        <v>207</v>
      </c>
      <c r="C1278" s="12" t="s">
        <v>1328</v>
      </c>
      <c r="D1278" s="8">
        <v>19</v>
      </c>
      <c r="E1278" s="8" t="s">
        <v>452</v>
      </c>
    </row>
    <row r="1279" spans="1:5" x14ac:dyDescent="0.25">
      <c r="A1279" s="8" t="str">
        <f t="shared" si="19"/>
        <v>502</v>
      </c>
      <c r="B1279" s="8">
        <v>502</v>
      </c>
      <c r="C1279" s="12" t="s">
        <v>1345</v>
      </c>
      <c r="D1279" s="8">
        <v>19</v>
      </c>
      <c r="E1279" s="8" t="s">
        <v>452</v>
      </c>
    </row>
    <row r="1280" spans="1:5" x14ac:dyDescent="0.25">
      <c r="A1280" s="8" t="str">
        <f t="shared" si="19"/>
        <v>503</v>
      </c>
      <c r="B1280" s="8">
        <v>503</v>
      </c>
      <c r="C1280" s="12" t="s">
        <v>1346</v>
      </c>
      <c r="D1280" s="8">
        <v>19</v>
      </c>
      <c r="E1280" s="8" t="s">
        <v>452</v>
      </c>
    </row>
    <row r="1281" spans="1:5" x14ac:dyDescent="0.25">
      <c r="A1281" s="8" t="str">
        <f t="shared" si="19"/>
        <v>504</v>
      </c>
      <c r="B1281" s="8">
        <v>504</v>
      </c>
      <c r="C1281" s="12" t="s">
        <v>1331</v>
      </c>
      <c r="D1281" s="8">
        <v>19</v>
      </c>
      <c r="E1281" s="8" t="s">
        <v>452</v>
      </c>
    </row>
    <row r="1282" spans="1:5" x14ac:dyDescent="0.25">
      <c r="A1282" s="8" t="str">
        <f t="shared" si="19"/>
        <v>505</v>
      </c>
      <c r="B1282" s="8">
        <v>505</v>
      </c>
      <c r="C1282" s="12" t="s">
        <v>1332</v>
      </c>
      <c r="D1282" s="8">
        <v>19</v>
      </c>
      <c r="E1282" s="8" t="s">
        <v>452</v>
      </c>
    </row>
    <row r="1283" spans="1:5" x14ac:dyDescent="0.25">
      <c r="A1283" s="8" t="str">
        <f t="shared" ref="A1283:A1346" si="20">TEXT(B1283,"000")</f>
        <v>000</v>
      </c>
      <c r="C1283" s="12" t="s">
        <v>1347</v>
      </c>
      <c r="D1283" s="8">
        <v>19</v>
      </c>
      <c r="E1283" s="8" t="s">
        <v>452</v>
      </c>
    </row>
    <row r="1284" spans="1:5" x14ac:dyDescent="0.25">
      <c r="A1284" s="8" t="str">
        <f t="shared" si="20"/>
        <v>601</v>
      </c>
      <c r="B1284" s="8">
        <v>601</v>
      </c>
      <c r="C1284" s="12" t="s">
        <v>1348</v>
      </c>
      <c r="D1284" s="8">
        <v>19</v>
      </c>
      <c r="E1284" s="8" t="s">
        <v>452</v>
      </c>
    </row>
    <row r="1285" spans="1:5" x14ac:dyDescent="0.25">
      <c r="A1285" s="8" t="str">
        <f t="shared" si="20"/>
        <v>701</v>
      </c>
      <c r="B1285" s="8">
        <v>701</v>
      </c>
      <c r="C1285" s="12" t="s">
        <v>1349</v>
      </c>
      <c r="D1285" s="8">
        <v>19</v>
      </c>
      <c r="E1285" s="8" t="s">
        <v>452</v>
      </c>
    </row>
    <row r="1286" spans="1:5" x14ac:dyDescent="0.25">
      <c r="A1286" s="8" t="str">
        <f t="shared" si="20"/>
        <v>000</v>
      </c>
      <c r="C1286" s="12" t="s">
        <v>1350</v>
      </c>
      <c r="D1286" s="8">
        <v>19</v>
      </c>
      <c r="E1286" s="8" t="s">
        <v>452</v>
      </c>
    </row>
    <row r="1287" spans="1:5" x14ac:dyDescent="0.25">
      <c r="A1287" s="8" t="str">
        <f t="shared" si="20"/>
        <v>000</v>
      </c>
      <c r="C1287" s="12" t="s">
        <v>1351</v>
      </c>
      <c r="D1287" s="8">
        <v>19</v>
      </c>
      <c r="E1287" s="8" t="s">
        <v>452</v>
      </c>
    </row>
    <row r="1288" spans="1:5" x14ac:dyDescent="0.25">
      <c r="A1288" s="8" t="str">
        <f t="shared" si="20"/>
        <v>801</v>
      </c>
      <c r="B1288" s="8">
        <v>801</v>
      </c>
      <c r="C1288" s="12" t="s">
        <v>1352</v>
      </c>
      <c r="D1288" s="8">
        <v>19</v>
      </c>
      <c r="E1288" s="8" t="s">
        <v>452</v>
      </c>
    </row>
    <row r="1289" spans="1:5" x14ac:dyDescent="0.25">
      <c r="A1289" s="8" t="str">
        <f t="shared" si="20"/>
        <v>802</v>
      </c>
      <c r="B1289" s="8">
        <v>802</v>
      </c>
      <c r="C1289" s="12" t="s">
        <v>1353</v>
      </c>
      <c r="D1289" s="8">
        <v>19</v>
      </c>
      <c r="E1289" s="8" t="s">
        <v>452</v>
      </c>
    </row>
    <row r="1290" spans="1:5" x14ac:dyDescent="0.25">
      <c r="A1290" s="8" t="str">
        <f t="shared" si="20"/>
        <v>000</v>
      </c>
      <c r="B1290" s="8" t="s">
        <v>65</v>
      </c>
      <c r="C1290" s="12" t="s">
        <v>66</v>
      </c>
      <c r="D1290" s="8">
        <v>19</v>
      </c>
      <c r="E1290" s="8" t="s">
        <v>458</v>
      </c>
    </row>
    <row r="1291" spans="1:5" x14ac:dyDescent="0.25">
      <c r="A1291" s="8" t="str">
        <f t="shared" si="20"/>
        <v>001</v>
      </c>
      <c r="B1291" s="8" t="s">
        <v>262</v>
      </c>
      <c r="C1291" s="12" t="s">
        <v>1303</v>
      </c>
      <c r="D1291" s="8">
        <v>19</v>
      </c>
      <c r="E1291" s="8" t="s">
        <v>458</v>
      </c>
    </row>
    <row r="1292" spans="1:5" x14ac:dyDescent="0.25">
      <c r="A1292" s="8" t="str">
        <f t="shared" si="20"/>
        <v>002</v>
      </c>
      <c r="B1292" s="8" t="s">
        <v>264</v>
      </c>
      <c r="C1292" s="12" t="s">
        <v>1304</v>
      </c>
      <c r="D1292" s="8">
        <v>19</v>
      </c>
      <c r="E1292" s="8" t="s">
        <v>458</v>
      </c>
    </row>
    <row r="1293" spans="1:5" x14ac:dyDescent="0.25">
      <c r="A1293" s="8" t="str">
        <f t="shared" si="20"/>
        <v>003</v>
      </c>
      <c r="B1293" s="8" t="s">
        <v>67</v>
      </c>
      <c r="C1293" s="12" t="s">
        <v>1305</v>
      </c>
      <c r="D1293" s="8">
        <v>19</v>
      </c>
      <c r="E1293" s="8" t="s">
        <v>458</v>
      </c>
    </row>
    <row r="1294" spans="1:5" x14ac:dyDescent="0.25">
      <c r="A1294" s="8" t="str">
        <f t="shared" si="20"/>
        <v>004</v>
      </c>
      <c r="B1294" s="8" t="s">
        <v>69</v>
      </c>
      <c r="C1294" s="12" t="s">
        <v>1306</v>
      </c>
      <c r="D1294" s="8">
        <v>19</v>
      </c>
      <c r="E1294" s="8" t="s">
        <v>458</v>
      </c>
    </row>
    <row r="1295" spans="1:5" x14ac:dyDescent="0.25">
      <c r="A1295" s="8" t="str">
        <f t="shared" si="20"/>
        <v>005</v>
      </c>
      <c r="B1295" s="8" t="s">
        <v>78</v>
      </c>
      <c r="C1295" s="12" t="s">
        <v>1307</v>
      </c>
      <c r="D1295" s="8">
        <v>19</v>
      </c>
      <c r="E1295" s="8" t="s">
        <v>458</v>
      </c>
    </row>
    <row r="1296" spans="1:5" x14ac:dyDescent="0.25">
      <c r="A1296" s="8" t="str">
        <f t="shared" si="20"/>
        <v>006</v>
      </c>
      <c r="B1296" s="8" t="s">
        <v>80</v>
      </c>
      <c r="C1296" s="12" t="s">
        <v>1308</v>
      </c>
      <c r="D1296" s="8">
        <v>19</v>
      </c>
      <c r="E1296" s="8" t="s">
        <v>458</v>
      </c>
    </row>
    <row r="1297" spans="1:5" x14ac:dyDescent="0.25">
      <c r="A1297" s="8" t="str">
        <f t="shared" si="20"/>
        <v>007</v>
      </c>
      <c r="B1297" s="8" t="s">
        <v>71</v>
      </c>
      <c r="C1297" s="12" t="s">
        <v>1309</v>
      </c>
      <c r="D1297" s="8">
        <v>19</v>
      </c>
      <c r="E1297" s="8" t="s">
        <v>458</v>
      </c>
    </row>
    <row r="1298" spans="1:5" x14ac:dyDescent="0.25">
      <c r="A1298" s="8" t="str">
        <f t="shared" si="20"/>
        <v>101</v>
      </c>
      <c r="B1298" s="8" t="s">
        <v>95</v>
      </c>
      <c r="C1298" s="12" t="s">
        <v>1311</v>
      </c>
      <c r="D1298" s="8">
        <v>19</v>
      </c>
      <c r="E1298" s="8" t="s">
        <v>458</v>
      </c>
    </row>
    <row r="1299" spans="1:5" x14ac:dyDescent="0.25">
      <c r="A1299" s="8" t="str">
        <f t="shared" si="20"/>
        <v>102</v>
      </c>
      <c r="B1299" s="8" t="s">
        <v>97</v>
      </c>
      <c r="C1299" s="12" t="s">
        <v>1312</v>
      </c>
      <c r="D1299" s="8">
        <v>19</v>
      </c>
      <c r="E1299" s="8" t="s">
        <v>458</v>
      </c>
    </row>
    <row r="1300" spans="1:5" x14ac:dyDescent="0.25">
      <c r="A1300" s="8" t="str">
        <f t="shared" si="20"/>
        <v>103</v>
      </c>
      <c r="B1300" s="8" t="s">
        <v>99</v>
      </c>
      <c r="C1300" s="12" t="s">
        <v>1313</v>
      </c>
      <c r="D1300" s="8">
        <v>19</v>
      </c>
      <c r="E1300" s="8" t="s">
        <v>458</v>
      </c>
    </row>
    <row r="1301" spans="1:5" x14ac:dyDescent="0.25">
      <c r="A1301" s="8" t="str">
        <f t="shared" si="20"/>
        <v>104</v>
      </c>
      <c r="B1301" s="8" t="s">
        <v>124</v>
      </c>
      <c r="C1301" s="12" t="s">
        <v>1314</v>
      </c>
      <c r="D1301" s="8">
        <v>19</v>
      </c>
      <c r="E1301" s="8" t="s">
        <v>458</v>
      </c>
    </row>
    <row r="1302" spans="1:5" x14ac:dyDescent="0.25">
      <c r="A1302" s="8" t="str">
        <f t="shared" si="20"/>
        <v>105</v>
      </c>
      <c r="B1302" s="8" t="s">
        <v>101</v>
      </c>
      <c r="C1302" s="12" t="s">
        <v>1315</v>
      </c>
      <c r="D1302" s="8">
        <v>19</v>
      </c>
      <c r="E1302" s="8" t="s">
        <v>458</v>
      </c>
    </row>
    <row r="1303" spans="1:5" x14ac:dyDescent="0.25">
      <c r="A1303" s="8" t="str">
        <f t="shared" si="20"/>
        <v>106</v>
      </c>
      <c r="B1303" s="8" t="s">
        <v>127</v>
      </c>
      <c r="C1303" s="12" t="s">
        <v>1316</v>
      </c>
      <c r="D1303" s="8">
        <v>19</v>
      </c>
      <c r="E1303" s="8" t="s">
        <v>458</v>
      </c>
    </row>
    <row r="1304" spans="1:5" x14ac:dyDescent="0.25">
      <c r="A1304" s="8" t="str">
        <f t="shared" si="20"/>
        <v>107</v>
      </c>
      <c r="B1304" s="8" t="s">
        <v>129</v>
      </c>
      <c r="C1304" s="12" t="s">
        <v>1317</v>
      </c>
      <c r="D1304" s="8">
        <v>19</v>
      </c>
      <c r="E1304" s="8" t="s">
        <v>458</v>
      </c>
    </row>
    <row r="1305" spans="1:5" x14ac:dyDescent="0.25">
      <c r="A1305" s="8" t="str">
        <f t="shared" si="20"/>
        <v>201</v>
      </c>
      <c r="B1305" s="8">
        <v>201</v>
      </c>
      <c r="C1305" s="12" t="s">
        <v>1322</v>
      </c>
      <c r="D1305" s="8">
        <v>19</v>
      </c>
      <c r="E1305" s="8" t="s">
        <v>458</v>
      </c>
    </row>
    <row r="1306" spans="1:5" x14ac:dyDescent="0.25">
      <c r="A1306" s="8" t="str">
        <f t="shared" si="20"/>
        <v>202</v>
      </c>
      <c r="B1306" s="8">
        <v>202</v>
      </c>
      <c r="C1306" s="12" t="s">
        <v>1323</v>
      </c>
      <c r="D1306" s="8">
        <v>19</v>
      </c>
      <c r="E1306" s="8" t="s">
        <v>458</v>
      </c>
    </row>
    <row r="1307" spans="1:5" x14ac:dyDescent="0.25">
      <c r="A1307" s="8" t="str">
        <f t="shared" si="20"/>
        <v>203</v>
      </c>
      <c r="B1307" s="8">
        <v>203</v>
      </c>
      <c r="C1307" s="12" t="s">
        <v>1324</v>
      </c>
      <c r="D1307" s="8">
        <v>19</v>
      </c>
      <c r="E1307" s="8" t="s">
        <v>458</v>
      </c>
    </row>
    <row r="1308" spans="1:5" x14ac:dyDescent="0.25">
      <c r="A1308" s="8" t="str">
        <f t="shared" si="20"/>
        <v>204</v>
      </c>
      <c r="B1308" s="8">
        <v>204</v>
      </c>
      <c r="C1308" s="12" t="s">
        <v>1325</v>
      </c>
      <c r="D1308" s="8">
        <v>19</v>
      </c>
      <c r="E1308" s="8" t="s">
        <v>458</v>
      </c>
    </row>
    <row r="1309" spans="1:5" x14ac:dyDescent="0.25">
      <c r="A1309" s="8" t="str">
        <f t="shared" si="20"/>
        <v>205</v>
      </c>
      <c r="B1309" s="8">
        <v>205</v>
      </c>
      <c r="C1309" s="12" t="s">
        <v>1326</v>
      </c>
      <c r="D1309" s="8">
        <v>19</v>
      </c>
      <c r="E1309" s="8" t="s">
        <v>458</v>
      </c>
    </row>
    <row r="1310" spans="1:5" x14ac:dyDescent="0.25">
      <c r="A1310" s="8" t="str">
        <f t="shared" si="20"/>
        <v>206</v>
      </c>
      <c r="B1310" s="8">
        <v>206</v>
      </c>
      <c r="C1310" s="12" t="s">
        <v>1327</v>
      </c>
      <c r="D1310" s="8">
        <v>19</v>
      </c>
      <c r="E1310" s="8" t="s">
        <v>458</v>
      </c>
    </row>
    <row r="1311" spans="1:5" x14ac:dyDescent="0.25">
      <c r="A1311" s="8" t="str">
        <f t="shared" si="20"/>
        <v>207</v>
      </c>
      <c r="B1311" s="8">
        <v>207</v>
      </c>
      <c r="C1311" s="12" t="s">
        <v>1328</v>
      </c>
      <c r="D1311" s="8">
        <v>19</v>
      </c>
      <c r="E1311" s="8" t="s">
        <v>458</v>
      </c>
    </row>
    <row r="1312" spans="1:5" x14ac:dyDescent="0.25">
      <c r="A1312" s="8" t="str">
        <f t="shared" si="20"/>
        <v>504</v>
      </c>
      <c r="B1312" s="8">
        <v>504</v>
      </c>
      <c r="C1312" s="12" t="s">
        <v>1331</v>
      </c>
      <c r="D1312" s="8">
        <v>19</v>
      </c>
      <c r="E1312" s="8" t="s">
        <v>458</v>
      </c>
    </row>
    <row r="1313" spans="1:5" x14ac:dyDescent="0.25">
      <c r="A1313" s="8" t="str">
        <f t="shared" si="20"/>
        <v>505</v>
      </c>
      <c r="B1313" s="8">
        <v>505</v>
      </c>
      <c r="C1313" s="12" t="s">
        <v>1332</v>
      </c>
      <c r="D1313" s="8">
        <v>19</v>
      </c>
      <c r="E1313" s="8" t="s">
        <v>458</v>
      </c>
    </row>
    <row r="1314" spans="1:5" x14ac:dyDescent="0.25">
      <c r="A1314" s="8" t="str">
        <f t="shared" si="20"/>
        <v>506</v>
      </c>
      <c r="B1314" s="8">
        <v>506</v>
      </c>
      <c r="C1314" s="12" t="s">
        <v>1354</v>
      </c>
      <c r="D1314" s="8">
        <v>19</v>
      </c>
      <c r="E1314" s="8" t="s">
        <v>458</v>
      </c>
    </row>
    <row r="1315" spans="1:5" x14ac:dyDescent="0.25">
      <c r="A1315" s="8" t="str">
        <f t="shared" si="20"/>
        <v>301</v>
      </c>
      <c r="B1315" s="8" t="s">
        <v>152</v>
      </c>
      <c r="C1315" s="12" t="s">
        <v>1355</v>
      </c>
      <c r="D1315" s="8">
        <v>19</v>
      </c>
      <c r="E1315" s="8" t="s">
        <v>458</v>
      </c>
    </row>
    <row r="1316" spans="1:5" x14ac:dyDescent="0.25">
      <c r="A1316" s="8" t="str">
        <f t="shared" si="20"/>
        <v>302</v>
      </c>
      <c r="B1316" s="8" t="s">
        <v>154</v>
      </c>
      <c r="C1316" s="12" t="s">
        <v>1356</v>
      </c>
      <c r="D1316" s="8">
        <v>19</v>
      </c>
      <c r="E1316" s="8" t="s">
        <v>458</v>
      </c>
    </row>
    <row r="1317" spans="1:5" x14ac:dyDescent="0.25">
      <c r="A1317" s="8" t="str">
        <f t="shared" si="20"/>
        <v>303</v>
      </c>
      <c r="B1317" s="8" t="s">
        <v>156</v>
      </c>
      <c r="C1317" s="12" t="s">
        <v>1357</v>
      </c>
      <c r="D1317" s="8">
        <v>19</v>
      </c>
      <c r="E1317" s="8" t="s">
        <v>458</v>
      </c>
    </row>
    <row r="1318" spans="1:5" x14ac:dyDescent="0.25">
      <c r="A1318" s="8" t="str">
        <f t="shared" si="20"/>
        <v>304</v>
      </c>
      <c r="B1318" s="8" t="s">
        <v>158</v>
      </c>
      <c r="C1318" s="12" t="s">
        <v>1358</v>
      </c>
      <c r="D1318" s="8">
        <v>19</v>
      </c>
      <c r="E1318" s="8" t="s">
        <v>458</v>
      </c>
    </row>
    <row r="1319" spans="1:5" x14ac:dyDescent="0.25">
      <c r="A1319" s="8" t="str">
        <f t="shared" si="20"/>
        <v>305</v>
      </c>
      <c r="B1319" s="8" t="s">
        <v>160</v>
      </c>
      <c r="C1319" s="12" t="s">
        <v>1359</v>
      </c>
      <c r="D1319" s="8">
        <v>19</v>
      </c>
      <c r="E1319" s="8" t="s">
        <v>458</v>
      </c>
    </row>
    <row r="1320" spans="1:5" x14ac:dyDescent="0.25">
      <c r="A1320" s="8" t="str">
        <f t="shared" si="20"/>
        <v>401</v>
      </c>
      <c r="B1320" s="8">
        <v>401</v>
      </c>
      <c r="C1320" s="12" t="s">
        <v>1360</v>
      </c>
      <c r="D1320" s="8">
        <v>19</v>
      </c>
      <c r="E1320" s="8" t="s">
        <v>458</v>
      </c>
    </row>
    <row r="1321" spans="1:5" x14ac:dyDescent="0.25">
      <c r="A1321" s="8" t="str">
        <f t="shared" si="20"/>
        <v>402</v>
      </c>
      <c r="B1321" s="8">
        <v>402</v>
      </c>
      <c r="C1321" s="12" t="s">
        <v>1361</v>
      </c>
      <c r="D1321" s="8">
        <v>19</v>
      </c>
      <c r="E1321" s="8" t="s">
        <v>458</v>
      </c>
    </row>
    <row r="1322" spans="1:5" x14ac:dyDescent="0.25">
      <c r="A1322" s="8" t="str">
        <f t="shared" si="20"/>
        <v>403</v>
      </c>
      <c r="B1322" s="8">
        <v>403</v>
      </c>
      <c r="C1322" s="12" t="s">
        <v>1362</v>
      </c>
      <c r="D1322" s="8">
        <v>19</v>
      </c>
      <c r="E1322" s="8" t="s">
        <v>458</v>
      </c>
    </row>
    <row r="1323" spans="1:5" x14ac:dyDescent="0.25">
      <c r="A1323" s="8" t="str">
        <f t="shared" si="20"/>
        <v>404</v>
      </c>
      <c r="B1323" s="8">
        <v>404</v>
      </c>
      <c r="C1323" s="12" t="s">
        <v>1363</v>
      </c>
      <c r="D1323" s="8">
        <v>19</v>
      </c>
      <c r="E1323" s="8" t="s">
        <v>458</v>
      </c>
    </row>
    <row r="1324" spans="1:5" x14ac:dyDescent="0.25">
      <c r="A1324" s="8" t="str">
        <f t="shared" si="20"/>
        <v>405</v>
      </c>
      <c r="B1324" s="8">
        <v>405</v>
      </c>
      <c r="C1324" s="12" t="s">
        <v>1364</v>
      </c>
      <c r="D1324" s="8">
        <v>19</v>
      </c>
      <c r="E1324" s="8" t="s">
        <v>458</v>
      </c>
    </row>
    <row r="1325" spans="1:5" x14ac:dyDescent="0.25">
      <c r="A1325" s="8" t="str">
        <f t="shared" si="20"/>
        <v>601</v>
      </c>
      <c r="B1325" s="8">
        <v>601</v>
      </c>
      <c r="C1325" s="12" t="s">
        <v>1365</v>
      </c>
      <c r="D1325" s="8">
        <v>19</v>
      </c>
      <c r="E1325" s="8" t="s">
        <v>458</v>
      </c>
    </row>
    <row r="1326" spans="1:5" x14ac:dyDescent="0.25">
      <c r="A1326" s="8" t="str">
        <f t="shared" si="20"/>
        <v>602</v>
      </c>
      <c r="B1326" s="8">
        <v>602</v>
      </c>
      <c r="C1326" s="12" t="s">
        <v>1366</v>
      </c>
      <c r="D1326" s="8">
        <v>19</v>
      </c>
      <c r="E1326" s="8" t="s">
        <v>458</v>
      </c>
    </row>
    <row r="1327" spans="1:5" x14ac:dyDescent="0.25">
      <c r="A1327" s="8" t="str">
        <f t="shared" si="20"/>
        <v>603</v>
      </c>
      <c r="B1327" s="8">
        <v>603</v>
      </c>
      <c r="C1327" s="12" t="s">
        <v>1367</v>
      </c>
      <c r="D1327" s="8">
        <v>19</v>
      </c>
      <c r="E1327" s="8" t="s">
        <v>458</v>
      </c>
    </row>
    <row r="1328" spans="1:5" x14ac:dyDescent="0.25">
      <c r="A1328" s="8" t="str">
        <f t="shared" si="20"/>
        <v>604</v>
      </c>
      <c r="B1328" s="8">
        <v>604</v>
      </c>
      <c r="C1328" s="12" t="s">
        <v>1368</v>
      </c>
      <c r="D1328" s="8">
        <v>19</v>
      </c>
      <c r="E1328" s="8" t="s">
        <v>458</v>
      </c>
    </row>
    <row r="1329" spans="1:5" x14ac:dyDescent="0.25">
      <c r="A1329" s="8" t="str">
        <f t="shared" si="20"/>
        <v>605</v>
      </c>
      <c r="B1329" s="8">
        <v>605</v>
      </c>
      <c r="C1329" s="12" t="s">
        <v>1369</v>
      </c>
      <c r="D1329" s="8">
        <v>19</v>
      </c>
      <c r="E1329" s="8" t="s">
        <v>458</v>
      </c>
    </row>
    <row r="1330" spans="1:5" x14ac:dyDescent="0.25">
      <c r="A1330" s="8" t="str">
        <f t="shared" si="20"/>
        <v>606</v>
      </c>
      <c r="B1330" s="8">
        <v>606</v>
      </c>
      <c r="C1330" s="12" t="s">
        <v>1370</v>
      </c>
      <c r="D1330" s="8">
        <v>19</v>
      </c>
      <c r="E1330" s="8" t="s">
        <v>458</v>
      </c>
    </row>
    <row r="1331" spans="1:5" x14ac:dyDescent="0.25">
      <c r="A1331" s="8" t="str">
        <f t="shared" si="20"/>
        <v>701</v>
      </c>
      <c r="B1331" s="8">
        <v>701</v>
      </c>
      <c r="C1331" s="12" t="s">
        <v>1371</v>
      </c>
      <c r="D1331" s="8">
        <v>19</v>
      </c>
      <c r="E1331" s="8" t="s">
        <v>458</v>
      </c>
    </row>
    <row r="1332" spans="1:5" x14ac:dyDescent="0.25">
      <c r="A1332" s="8" t="str">
        <f t="shared" si="20"/>
        <v>000</v>
      </c>
      <c r="B1332" s="8" t="s">
        <v>65</v>
      </c>
      <c r="C1332" s="12" t="s">
        <v>66</v>
      </c>
      <c r="D1332" s="8">
        <v>19</v>
      </c>
      <c r="E1332" s="8" t="s">
        <v>464</v>
      </c>
    </row>
    <row r="1333" spans="1:5" x14ac:dyDescent="0.25">
      <c r="A1333" s="8" t="str">
        <f t="shared" si="20"/>
        <v>001</v>
      </c>
      <c r="B1333" s="8" t="s">
        <v>262</v>
      </c>
      <c r="C1333" s="12" t="s">
        <v>1372</v>
      </c>
      <c r="D1333" s="8">
        <v>19</v>
      </c>
      <c r="E1333" s="8" t="s">
        <v>464</v>
      </c>
    </row>
    <row r="1334" spans="1:5" x14ac:dyDescent="0.25">
      <c r="A1334" s="8" t="str">
        <f t="shared" si="20"/>
        <v>002</v>
      </c>
      <c r="B1334" s="8" t="s">
        <v>264</v>
      </c>
      <c r="C1334" s="12" t="s">
        <v>1373</v>
      </c>
      <c r="D1334" s="8">
        <v>19</v>
      </c>
      <c r="E1334" s="8" t="s">
        <v>464</v>
      </c>
    </row>
    <row r="1335" spans="1:5" x14ac:dyDescent="0.25">
      <c r="A1335" s="8" t="str">
        <f t="shared" si="20"/>
        <v>003</v>
      </c>
      <c r="B1335" s="8" t="s">
        <v>67</v>
      </c>
      <c r="C1335" s="12" t="s">
        <v>1374</v>
      </c>
      <c r="D1335" s="8">
        <v>19</v>
      </c>
      <c r="E1335" s="8" t="s">
        <v>464</v>
      </c>
    </row>
    <row r="1336" spans="1:5" x14ac:dyDescent="0.25">
      <c r="A1336" s="8" t="str">
        <f t="shared" si="20"/>
        <v>004</v>
      </c>
      <c r="B1336" s="8" t="s">
        <v>69</v>
      </c>
      <c r="C1336" s="12" t="s">
        <v>1375</v>
      </c>
      <c r="D1336" s="8">
        <v>19</v>
      </c>
      <c r="E1336" s="8" t="s">
        <v>464</v>
      </c>
    </row>
    <row r="1337" spans="1:5" x14ac:dyDescent="0.25">
      <c r="A1337" s="8" t="str">
        <f t="shared" si="20"/>
        <v>005</v>
      </c>
      <c r="B1337" s="8" t="s">
        <v>78</v>
      </c>
      <c r="C1337" s="12" t="s">
        <v>1376</v>
      </c>
      <c r="D1337" s="8">
        <v>19</v>
      </c>
      <c r="E1337" s="8" t="s">
        <v>464</v>
      </c>
    </row>
    <row r="1338" spans="1:5" x14ac:dyDescent="0.25">
      <c r="A1338" s="8" t="str">
        <f t="shared" si="20"/>
        <v>006</v>
      </c>
      <c r="B1338" s="8" t="s">
        <v>80</v>
      </c>
      <c r="C1338" s="12" t="s">
        <v>1377</v>
      </c>
      <c r="D1338" s="8">
        <v>19</v>
      </c>
      <c r="E1338" s="8" t="s">
        <v>464</v>
      </c>
    </row>
    <row r="1339" spans="1:5" x14ac:dyDescent="0.25">
      <c r="A1339" s="8" t="str">
        <f t="shared" si="20"/>
        <v>000</v>
      </c>
      <c r="B1339" s="8" t="s">
        <v>65</v>
      </c>
      <c r="C1339" s="12" t="s">
        <v>66</v>
      </c>
      <c r="D1339" s="8">
        <v>19</v>
      </c>
      <c r="E1339" s="8" t="s">
        <v>317</v>
      </c>
    </row>
    <row r="1340" spans="1:5" x14ac:dyDescent="0.25">
      <c r="A1340" s="8" t="str">
        <f t="shared" si="20"/>
        <v>001</v>
      </c>
      <c r="B1340" s="8" t="s">
        <v>262</v>
      </c>
      <c r="C1340" s="12" t="s">
        <v>1234</v>
      </c>
      <c r="D1340" s="8">
        <v>19</v>
      </c>
      <c r="E1340" s="8" t="s">
        <v>317</v>
      </c>
    </row>
    <row r="1341" spans="1:5" x14ac:dyDescent="0.25">
      <c r="A1341" s="8" t="str">
        <f t="shared" si="20"/>
        <v>002</v>
      </c>
      <c r="B1341" s="8" t="s">
        <v>264</v>
      </c>
      <c r="C1341" s="12" t="s">
        <v>934</v>
      </c>
      <c r="D1341" s="8">
        <v>19</v>
      </c>
      <c r="E1341" s="8" t="s">
        <v>317</v>
      </c>
    </row>
    <row r="1342" spans="1:5" x14ac:dyDescent="0.25">
      <c r="A1342" s="8" t="str">
        <f t="shared" si="20"/>
        <v>003</v>
      </c>
      <c r="B1342" s="8" t="s">
        <v>67</v>
      </c>
      <c r="C1342" s="12" t="s">
        <v>935</v>
      </c>
      <c r="D1342" s="8">
        <v>19</v>
      </c>
      <c r="E1342" s="8" t="s">
        <v>317</v>
      </c>
    </row>
    <row r="1343" spans="1:5" x14ac:dyDescent="0.25">
      <c r="A1343" s="8" t="str">
        <f t="shared" si="20"/>
        <v>004</v>
      </c>
      <c r="B1343" s="8" t="s">
        <v>69</v>
      </c>
      <c r="C1343" s="12" t="s">
        <v>936</v>
      </c>
      <c r="D1343" s="8">
        <v>19</v>
      </c>
      <c r="E1343" s="8" t="s">
        <v>317</v>
      </c>
    </row>
    <row r="1344" spans="1:5" x14ac:dyDescent="0.25">
      <c r="A1344" s="8" t="str">
        <f t="shared" si="20"/>
        <v>005</v>
      </c>
      <c r="B1344" s="8" t="s">
        <v>78</v>
      </c>
      <c r="C1344" s="12" t="s">
        <v>277</v>
      </c>
      <c r="D1344" s="8">
        <v>19</v>
      </c>
      <c r="E1344" s="8" t="s">
        <v>317</v>
      </c>
    </row>
    <row r="1345" spans="1:5" x14ac:dyDescent="0.25">
      <c r="A1345" s="8" t="str">
        <f t="shared" si="20"/>
        <v>006</v>
      </c>
      <c r="B1345" s="8" t="s">
        <v>80</v>
      </c>
      <c r="C1345" s="12" t="s">
        <v>937</v>
      </c>
      <c r="D1345" s="8">
        <v>19</v>
      </c>
      <c r="E1345" s="8" t="s">
        <v>317</v>
      </c>
    </row>
    <row r="1346" spans="1:5" x14ac:dyDescent="0.25">
      <c r="A1346" s="8" t="str">
        <f t="shared" si="20"/>
        <v>007</v>
      </c>
      <c r="B1346" s="8" t="s">
        <v>71</v>
      </c>
      <c r="C1346" s="12" t="s">
        <v>964</v>
      </c>
      <c r="D1346" s="8">
        <v>19</v>
      </c>
      <c r="E1346" s="8" t="s">
        <v>317</v>
      </c>
    </row>
    <row r="1347" spans="1:5" x14ac:dyDescent="0.25">
      <c r="A1347" s="8" t="str">
        <f t="shared" ref="A1347:A1410" si="21">TEXT(B1347,"000")</f>
        <v>008</v>
      </c>
      <c r="B1347" s="8" t="s">
        <v>271</v>
      </c>
      <c r="C1347" s="12" t="s">
        <v>955</v>
      </c>
      <c r="D1347" s="8">
        <v>19</v>
      </c>
      <c r="E1347" s="8" t="s">
        <v>317</v>
      </c>
    </row>
    <row r="1348" spans="1:5" x14ac:dyDescent="0.25">
      <c r="A1348" s="8" t="str">
        <f t="shared" si="21"/>
        <v>009</v>
      </c>
      <c r="B1348" s="8" t="s">
        <v>273</v>
      </c>
      <c r="C1348" s="12" t="s">
        <v>1235</v>
      </c>
      <c r="D1348" s="8">
        <v>19</v>
      </c>
      <c r="E1348" s="8" t="s">
        <v>317</v>
      </c>
    </row>
    <row r="1349" spans="1:5" x14ac:dyDescent="0.25">
      <c r="A1349" s="8" t="str">
        <f t="shared" si="21"/>
        <v>010</v>
      </c>
      <c r="B1349" s="8" t="s">
        <v>61</v>
      </c>
      <c r="C1349" s="12" t="s">
        <v>1378</v>
      </c>
      <c r="D1349" s="8">
        <v>19</v>
      </c>
      <c r="E1349" s="8" t="s">
        <v>317</v>
      </c>
    </row>
    <row r="1350" spans="1:5" x14ac:dyDescent="0.25">
      <c r="A1350" s="8" t="str">
        <f t="shared" si="21"/>
        <v>000</v>
      </c>
      <c r="B1350" s="8" t="s">
        <v>65</v>
      </c>
      <c r="C1350" s="12" t="s">
        <v>66</v>
      </c>
      <c r="D1350" s="8">
        <v>19</v>
      </c>
      <c r="E1350" s="8" t="s">
        <v>554</v>
      </c>
    </row>
    <row r="1351" spans="1:5" x14ac:dyDescent="0.25">
      <c r="A1351" s="8" t="str">
        <f t="shared" si="21"/>
        <v>001</v>
      </c>
      <c r="B1351" s="8" t="s">
        <v>262</v>
      </c>
      <c r="C1351" s="12" t="s">
        <v>1303</v>
      </c>
      <c r="D1351" s="8">
        <v>19</v>
      </c>
      <c r="E1351" s="8" t="s">
        <v>554</v>
      </c>
    </row>
    <row r="1352" spans="1:5" x14ac:dyDescent="0.25">
      <c r="A1352" s="8" t="str">
        <f t="shared" si="21"/>
        <v>002</v>
      </c>
      <c r="B1352" s="8" t="s">
        <v>264</v>
      </c>
      <c r="C1352" s="12" t="s">
        <v>1304</v>
      </c>
      <c r="D1352" s="8">
        <v>19</v>
      </c>
      <c r="E1352" s="8" t="s">
        <v>554</v>
      </c>
    </row>
    <row r="1353" spans="1:5" x14ac:dyDescent="0.25">
      <c r="A1353" s="8" t="str">
        <f t="shared" si="21"/>
        <v>003</v>
      </c>
      <c r="B1353" s="8" t="s">
        <v>67</v>
      </c>
      <c r="C1353" s="12" t="s">
        <v>1305</v>
      </c>
      <c r="D1353" s="8">
        <v>19</v>
      </c>
      <c r="E1353" s="8" t="s">
        <v>554</v>
      </c>
    </row>
    <row r="1354" spans="1:5" x14ac:dyDescent="0.25">
      <c r="A1354" s="8" t="str">
        <f t="shared" si="21"/>
        <v>004</v>
      </c>
      <c r="B1354" s="8" t="s">
        <v>69</v>
      </c>
      <c r="C1354" s="12" t="s">
        <v>1306</v>
      </c>
      <c r="D1354" s="8">
        <v>19</v>
      </c>
      <c r="E1354" s="8" t="s">
        <v>554</v>
      </c>
    </row>
    <row r="1355" spans="1:5" x14ac:dyDescent="0.25">
      <c r="A1355" s="8" t="str">
        <f t="shared" si="21"/>
        <v>005</v>
      </c>
      <c r="B1355" s="8" t="s">
        <v>78</v>
      </c>
      <c r="C1355" s="12" t="s">
        <v>1307</v>
      </c>
      <c r="D1355" s="8">
        <v>19</v>
      </c>
      <c r="E1355" s="8" t="s">
        <v>554</v>
      </c>
    </row>
    <row r="1356" spans="1:5" x14ac:dyDescent="0.25">
      <c r="A1356" s="8" t="str">
        <f t="shared" si="21"/>
        <v>006</v>
      </c>
      <c r="B1356" s="8" t="s">
        <v>80</v>
      </c>
      <c r="C1356" s="12" t="s">
        <v>1308</v>
      </c>
      <c r="D1356" s="8">
        <v>19</v>
      </c>
      <c r="E1356" s="8" t="s">
        <v>554</v>
      </c>
    </row>
    <row r="1357" spans="1:5" x14ac:dyDescent="0.25">
      <c r="A1357" s="8" t="str">
        <f t="shared" si="21"/>
        <v>007</v>
      </c>
      <c r="B1357" s="8" t="s">
        <v>71</v>
      </c>
      <c r="C1357" s="12" t="s">
        <v>1309</v>
      </c>
      <c r="D1357" s="8">
        <v>19</v>
      </c>
      <c r="E1357" s="8" t="s">
        <v>554</v>
      </c>
    </row>
    <row r="1358" spans="1:5" x14ac:dyDescent="0.25">
      <c r="A1358" s="8" t="str">
        <f t="shared" si="21"/>
        <v>010</v>
      </c>
      <c r="B1358" s="8" t="s">
        <v>61</v>
      </c>
      <c r="C1358" s="12" t="s">
        <v>1379</v>
      </c>
      <c r="D1358" s="8">
        <v>19</v>
      </c>
      <c r="E1358" s="8" t="s">
        <v>554</v>
      </c>
    </row>
    <row r="1359" spans="1:5" x14ac:dyDescent="0.25">
      <c r="A1359" s="8" t="str">
        <f t="shared" si="21"/>
        <v>011</v>
      </c>
      <c r="B1359" s="8" t="s">
        <v>74</v>
      </c>
      <c r="C1359" s="12" t="s">
        <v>1380</v>
      </c>
      <c r="D1359" s="8">
        <v>19</v>
      </c>
      <c r="E1359" s="8" t="s">
        <v>554</v>
      </c>
    </row>
    <row r="1360" spans="1:5" x14ac:dyDescent="0.25">
      <c r="A1360" s="8" t="str">
        <f t="shared" si="21"/>
        <v>012</v>
      </c>
      <c r="B1360" s="8" t="s">
        <v>76</v>
      </c>
      <c r="C1360" s="12" t="s">
        <v>1381</v>
      </c>
      <c r="D1360" s="8">
        <v>19</v>
      </c>
      <c r="E1360" s="8" t="s">
        <v>554</v>
      </c>
    </row>
    <row r="1361" spans="1:5" x14ac:dyDescent="0.25">
      <c r="A1361" s="8" t="str">
        <f t="shared" si="21"/>
        <v>101</v>
      </c>
      <c r="B1361" s="8" t="s">
        <v>95</v>
      </c>
      <c r="C1361" s="12" t="s">
        <v>1311</v>
      </c>
      <c r="D1361" s="8">
        <v>19</v>
      </c>
      <c r="E1361" s="8" t="s">
        <v>554</v>
      </c>
    </row>
    <row r="1362" spans="1:5" x14ac:dyDescent="0.25">
      <c r="A1362" s="8" t="str">
        <f t="shared" si="21"/>
        <v>102</v>
      </c>
      <c r="B1362" s="8" t="s">
        <v>97</v>
      </c>
      <c r="C1362" s="12" t="s">
        <v>1312</v>
      </c>
      <c r="D1362" s="8">
        <v>19</v>
      </c>
      <c r="E1362" s="8" t="s">
        <v>554</v>
      </c>
    </row>
    <row r="1363" spans="1:5" x14ac:dyDescent="0.25">
      <c r="A1363" s="8" t="str">
        <f t="shared" si="21"/>
        <v>103</v>
      </c>
      <c r="B1363" s="8" t="s">
        <v>99</v>
      </c>
      <c r="C1363" s="12" t="s">
        <v>1313</v>
      </c>
      <c r="D1363" s="8">
        <v>19</v>
      </c>
      <c r="E1363" s="8" t="s">
        <v>554</v>
      </c>
    </row>
    <row r="1364" spans="1:5" x14ac:dyDescent="0.25">
      <c r="A1364" s="8" t="str">
        <f t="shared" si="21"/>
        <v>104</v>
      </c>
      <c r="B1364" s="8" t="s">
        <v>124</v>
      </c>
      <c r="C1364" s="12" t="s">
        <v>1314</v>
      </c>
      <c r="D1364" s="8">
        <v>19</v>
      </c>
      <c r="E1364" s="8" t="s">
        <v>554</v>
      </c>
    </row>
    <row r="1365" spans="1:5" x14ac:dyDescent="0.25">
      <c r="A1365" s="8" t="str">
        <f t="shared" si="21"/>
        <v>105</v>
      </c>
      <c r="B1365" s="8" t="s">
        <v>101</v>
      </c>
      <c r="C1365" s="12" t="s">
        <v>1315</v>
      </c>
      <c r="D1365" s="8">
        <v>19</v>
      </c>
      <c r="E1365" s="8" t="s">
        <v>554</v>
      </c>
    </row>
    <row r="1366" spans="1:5" x14ac:dyDescent="0.25">
      <c r="A1366" s="8" t="str">
        <f t="shared" si="21"/>
        <v>106</v>
      </c>
      <c r="B1366" s="8" t="s">
        <v>127</v>
      </c>
      <c r="C1366" s="12" t="s">
        <v>1316</v>
      </c>
      <c r="D1366" s="8">
        <v>19</v>
      </c>
      <c r="E1366" s="8" t="s">
        <v>554</v>
      </c>
    </row>
    <row r="1367" spans="1:5" x14ac:dyDescent="0.25">
      <c r="A1367" s="8" t="str">
        <f t="shared" si="21"/>
        <v>107</v>
      </c>
      <c r="B1367" s="8" t="s">
        <v>129</v>
      </c>
      <c r="C1367" s="12" t="s">
        <v>1317</v>
      </c>
      <c r="D1367" s="8">
        <v>19</v>
      </c>
      <c r="E1367" s="8" t="s">
        <v>554</v>
      </c>
    </row>
    <row r="1368" spans="1:5" x14ac:dyDescent="0.25">
      <c r="A1368" s="8" t="str">
        <f t="shared" si="21"/>
        <v>201</v>
      </c>
      <c r="B1368" s="8">
        <v>201</v>
      </c>
      <c r="C1368" s="12" t="s">
        <v>1322</v>
      </c>
      <c r="D1368" s="8">
        <v>19</v>
      </c>
      <c r="E1368" s="8" t="s">
        <v>554</v>
      </c>
    </row>
    <row r="1369" spans="1:5" x14ac:dyDescent="0.25">
      <c r="A1369" s="8" t="str">
        <f t="shared" si="21"/>
        <v>202</v>
      </c>
      <c r="B1369" s="8">
        <v>202</v>
      </c>
      <c r="C1369" s="12" t="s">
        <v>1323</v>
      </c>
      <c r="D1369" s="8">
        <v>19</v>
      </c>
      <c r="E1369" s="8" t="s">
        <v>554</v>
      </c>
    </row>
    <row r="1370" spans="1:5" x14ac:dyDescent="0.25">
      <c r="A1370" s="8" t="str">
        <f t="shared" si="21"/>
        <v>203</v>
      </c>
      <c r="B1370" s="8">
        <v>203</v>
      </c>
      <c r="C1370" s="12" t="s">
        <v>1324</v>
      </c>
      <c r="D1370" s="8">
        <v>19</v>
      </c>
      <c r="E1370" s="8" t="s">
        <v>554</v>
      </c>
    </row>
    <row r="1371" spans="1:5" x14ac:dyDescent="0.25">
      <c r="A1371" s="8" t="str">
        <f t="shared" si="21"/>
        <v>204</v>
      </c>
      <c r="B1371" s="8">
        <v>204</v>
      </c>
      <c r="C1371" s="12" t="s">
        <v>1325</v>
      </c>
      <c r="D1371" s="8">
        <v>19</v>
      </c>
      <c r="E1371" s="8" t="s">
        <v>554</v>
      </c>
    </row>
    <row r="1372" spans="1:5" x14ac:dyDescent="0.25">
      <c r="A1372" s="8" t="str">
        <f t="shared" si="21"/>
        <v>205</v>
      </c>
      <c r="B1372" s="8">
        <v>205</v>
      </c>
      <c r="C1372" s="12" t="s">
        <v>1326</v>
      </c>
      <c r="D1372" s="8">
        <v>19</v>
      </c>
      <c r="E1372" s="8" t="s">
        <v>554</v>
      </c>
    </row>
    <row r="1373" spans="1:5" x14ac:dyDescent="0.25">
      <c r="A1373" s="8" t="str">
        <f t="shared" si="21"/>
        <v>206</v>
      </c>
      <c r="B1373" s="8">
        <v>206</v>
      </c>
      <c r="C1373" s="12" t="s">
        <v>1327</v>
      </c>
      <c r="D1373" s="8">
        <v>19</v>
      </c>
      <c r="E1373" s="8" t="s">
        <v>554</v>
      </c>
    </row>
    <row r="1374" spans="1:5" x14ac:dyDescent="0.25">
      <c r="A1374" s="8" t="str">
        <f t="shared" si="21"/>
        <v>207</v>
      </c>
      <c r="B1374" s="8">
        <v>207</v>
      </c>
      <c r="C1374" s="12" t="s">
        <v>1328</v>
      </c>
      <c r="D1374" s="8">
        <v>19</v>
      </c>
      <c r="E1374" s="8" t="s">
        <v>554</v>
      </c>
    </row>
    <row r="1375" spans="1:5" x14ac:dyDescent="0.25">
      <c r="A1375" s="8" t="str">
        <f t="shared" si="21"/>
        <v>208</v>
      </c>
      <c r="B1375" s="8">
        <v>208</v>
      </c>
      <c r="C1375" s="12" t="s">
        <v>1382</v>
      </c>
      <c r="D1375" s="8">
        <v>19</v>
      </c>
      <c r="E1375" s="8" t="s">
        <v>554</v>
      </c>
    </row>
    <row r="1376" spans="1:5" x14ac:dyDescent="0.25">
      <c r="A1376" s="8" t="str">
        <f t="shared" si="21"/>
        <v>504</v>
      </c>
      <c r="B1376" s="8">
        <v>504</v>
      </c>
      <c r="C1376" s="12" t="s">
        <v>1331</v>
      </c>
      <c r="D1376" s="8">
        <v>19</v>
      </c>
      <c r="E1376" s="8" t="s">
        <v>554</v>
      </c>
    </row>
    <row r="1377" spans="1:5" x14ac:dyDescent="0.25">
      <c r="A1377" s="8" t="str">
        <f t="shared" si="21"/>
        <v>505</v>
      </c>
      <c r="B1377" s="8">
        <v>505</v>
      </c>
      <c r="C1377" s="12" t="s">
        <v>1332</v>
      </c>
      <c r="D1377" s="8">
        <v>19</v>
      </c>
      <c r="E1377" s="8" t="s">
        <v>554</v>
      </c>
    </row>
    <row r="1378" spans="1:5" x14ac:dyDescent="0.25">
      <c r="A1378" s="8" t="str">
        <f t="shared" si="21"/>
        <v>601</v>
      </c>
      <c r="B1378" s="8">
        <v>601</v>
      </c>
      <c r="C1378" s="12" t="s">
        <v>1383</v>
      </c>
      <c r="D1378" s="8">
        <v>19</v>
      </c>
      <c r="E1378" s="8" t="s">
        <v>554</v>
      </c>
    </row>
    <row r="1379" spans="1:5" x14ac:dyDescent="0.25">
      <c r="A1379" s="8" t="str">
        <f t="shared" si="21"/>
        <v>701</v>
      </c>
      <c r="B1379" s="8">
        <v>701</v>
      </c>
      <c r="C1379" s="12" t="s">
        <v>1384</v>
      </c>
      <c r="D1379" s="8">
        <v>19</v>
      </c>
      <c r="E1379" s="8" t="s">
        <v>554</v>
      </c>
    </row>
    <row r="1380" spans="1:5" x14ac:dyDescent="0.25">
      <c r="A1380" s="8" t="str">
        <f t="shared" si="21"/>
        <v>801</v>
      </c>
      <c r="B1380" s="8">
        <v>801</v>
      </c>
      <c r="C1380" s="12" t="s">
        <v>1385</v>
      </c>
      <c r="D1380" s="8">
        <v>19</v>
      </c>
      <c r="E1380" s="8" t="s">
        <v>554</v>
      </c>
    </row>
    <row r="1381" spans="1:5" x14ac:dyDescent="0.25">
      <c r="A1381" s="8" t="str">
        <f t="shared" si="21"/>
        <v>802</v>
      </c>
      <c r="B1381" s="8">
        <v>802</v>
      </c>
      <c r="C1381" s="12" t="s">
        <v>1386</v>
      </c>
      <c r="D1381" s="8">
        <v>19</v>
      </c>
      <c r="E1381" s="8" t="s">
        <v>554</v>
      </c>
    </row>
    <row r="1382" spans="1:5" x14ac:dyDescent="0.25">
      <c r="A1382" s="8" t="str">
        <f t="shared" si="21"/>
        <v>506</v>
      </c>
      <c r="B1382" s="8">
        <v>506</v>
      </c>
      <c r="C1382" s="12" t="s">
        <v>1387</v>
      </c>
      <c r="D1382" s="8">
        <v>19</v>
      </c>
      <c r="E1382" s="8" t="s">
        <v>554</v>
      </c>
    </row>
    <row r="1383" spans="1:5" x14ac:dyDescent="0.25">
      <c r="A1383" s="8" t="str">
        <f t="shared" si="21"/>
        <v>507</v>
      </c>
      <c r="B1383" s="8">
        <v>507</v>
      </c>
      <c r="C1383" s="12" t="s">
        <v>1388</v>
      </c>
      <c r="D1383" s="8">
        <v>19</v>
      </c>
      <c r="E1383" s="8" t="s">
        <v>554</v>
      </c>
    </row>
    <row r="1384" spans="1:5" x14ac:dyDescent="0.25">
      <c r="A1384" s="8" t="str">
        <f t="shared" si="21"/>
        <v>508</v>
      </c>
      <c r="B1384" s="8">
        <v>508</v>
      </c>
      <c r="C1384" s="12" t="s">
        <v>1389</v>
      </c>
      <c r="D1384" s="8">
        <v>19</v>
      </c>
      <c r="E1384" s="8" t="s">
        <v>554</v>
      </c>
    </row>
    <row r="1385" spans="1:5" x14ac:dyDescent="0.25">
      <c r="A1385" s="8" t="str">
        <f t="shared" si="21"/>
        <v>509</v>
      </c>
      <c r="B1385" s="8">
        <v>509</v>
      </c>
      <c r="C1385" s="12" t="s">
        <v>1390</v>
      </c>
      <c r="D1385" s="8">
        <v>19</v>
      </c>
      <c r="E1385" s="8" t="s">
        <v>554</v>
      </c>
    </row>
    <row r="1386" spans="1:5" x14ac:dyDescent="0.25">
      <c r="A1386" s="8" t="str">
        <f t="shared" si="21"/>
        <v>510</v>
      </c>
      <c r="B1386" s="8">
        <v>510</v>
      </c>
      <c r="C1386" s="12" t="s">
        <v>1391</v>
      </c>
      <c r="D1386" s="8">
        <v>19</v>
      </c>
      <c r="E1386" s="8" t="s">
        <v>554</v>
      </c>
    </row>
    <row r="1387" spans="1:5" x14ac:dyDescent="0.25">
      <c r="A1387" s="8" t="str">
        <f t="shared" si="21"/>
        <v>001</v>
      </c>
      <c r="B1387" s="8" t="s">
        <v>262</v>
      </c>
      <c r="C1387" s="12" t="s">
        <v>1392</v>
      </c>
      <c r="D1387" s="8">
        <v>19</v>
      </c>
      <c r="E1387" s="8" t="s">
        <v>324</v>
      </c>
    </row>
    <row r="1388" spans="1:5" x14ac:dyDescent="0.25">
      <c r="A1388" s="8" t="str">
        <f t="shared" si="21"/>
        <v>002</v>
      </c>
      <c r="B1388" s="8" t="s">
        <v>264</v>
      </c>
      <c r="C1388" s="12" t="s">
        <v>1393</v>
      </c>
      <c r="D1388" s="8">
        <v>19</v>
      </c>
      <c r="E1388" s="8" t="s">
        <v>324</v>
      </c>
    </row>
    <row r="1389" spans="1:5" x14ac:dyDescent="0.25">
      <c r="A1389" s="8" t="str">
        <f t="shared" si="21"/>
        <v>003</v>
      </c>
      <c r="B1389" s="8" t="s">
        <v>67</v>
      </c>
      <c r="C1389" s="12" t="s">
        <v>1394</v>
      </c>
      <c r="D1389" s="8">
        <v>19</v>
      </c>
      <c r="E1389" s="8" t="s">
        <v>324</v>
      </c>
    </row>
    <row r="1390" spans="1:5" x14ac:dyDescent="0.25">
      <c r="A1390" s="8" t="str">
        <f t="shared" si="21"/>
        <v>101</v>
      </c>
      <c r="B1390" s="8">
        <v>101</v>
      </c>
      <c r="C1390" s="12" t="s">
        <v>1395</v>
      </c>
      <c r="D1390" s="8">
        <v>19</v>
      </c>
      <c r="E1390" s="8" t="s">
        <v>324</v>
      </c>
    </row>
    <row r="1391" spans="1:5" x14ac:dyDescent="0.25">
      <c r="A1391" s="8" t="str">
        <f t="shared" si="21"/>
        <v>201</v>
      </c>
      <c r="B1391" s="8">
        <v>201</v>
      </c>
      <c r="C1391" s="12" t="s">
        <v>1396</v>
      </c>
      <c r="D1391" s="8">
        <v>19</v>
      </c>
      <c r="E1391" s="8" t="s">
        <v>324</v>
      </c>
    </row>
    <row r="1392" spans="1:5" x14ac:dyDescent="0.25">
      <c r="A1392" s="8" t="str">
        <f t="shared" si="21"/>
        <v>001</v>
      </c>
      <c r="B1392" s="8" t="s">
        <v>262</v>
      </c>
      <c r="C1392" s="12" t="s">
        <v>1397</v>
      </c>
      <c r="D1392" s="8">
        <v>19</v>
      </c>
      <c r="E1392" s="8" t="s">
        <v>326</v>
      </c>
    </row>
    <row r="1393" spans="1:5" x14ac:dyDescent="0.25">
      <c r="A1393" s="8" t="str">
        <f t="shared" si="21"/>
        <v>002</v>
      </c>
      <c r="B1393" s="8" t="s">
        <v>264</v>
      </c>
      <c r="C1393" s="12" t="s">
        <v>1398</v>
      </c>
      <c r="D1393" s="8">
        <v>19</v>
      </c>
      <c r="E1393" s="8" t="s">
        <v>326</v>
      </c>
    </row>
    <row r="1394" spans="1:5" x14ac:dyDescent="0.25">
      <c r="A1394" s="8" t="str">
        <f t="shared" si="21"/>
        <v>003</v>
      </c>
      <c r="B1394" s="8" t="s">
        <v>67</v>
      </c>
      <c r="C1394" s="12" t="s">
        <v>1399</v>
      </c>
      <c r="D1394" s="8">
        <v>19</v>
      </c>
      <c r="E1394" s="8" t="s">
        <v>326</v>
      </c>
    </row>
    <row r="1395" spans="1:5" x14ac:dyDescent="0.25">
      <c r="A1395" s="8" t="str">
        <f t="shared" si="21"/>
        <v>004</v>
      </c>
      <c r="B1395" s="8" t="s">
        <v>69</v>
      </c>
      <c r="C1395" s="12" t="s">
        <v>1400</v>
      </c>
      <c r="D1395" s="8">
        <v>19</v>
      </c>
      <c r="E1395" s="8" t="s">
        <v>326</v>
      </c>
    </row>
    <row r="1396" spans="1:5" x14ac:dyDescent="0.25">
      <c r="A1396" s="8" t="str">
        <f t="shared" si="21"/>
        <v>005</v>
      </c>
      <c r="B1396" s="8" t="s">
        <v>78</v>
      </c>
      <c r="C1396" s="12" t="s">
        <v>1401</v>
      </c>
      <c r="D1396" s="8">
        <v>19</v>
      </c>
      <c r="E1396" s="8" t="s">
        <v>326</v>
      </c>
    </row>
    <row r="1397" spans="1:5" x14ac:dyDescent="0.25">
      <c r="A1397" s="8" t="str">
        <f t="shared" si="21"/>
        <v>006</v>
      </c>
      <c r="B1397" s="8" t="s">
        <v>80</v>
      </c>
      <c r="C1397" s="12" t="s">
        <v>1402</v>
      </c>
      <c r="D1397" s="8">
        <v>19</v>
      </c>
      <c r="E1397" s="8" t="s">
        <v>326</v>
      </c>
    </row>
    <row r="1398" spans="1:5" x14ac:dyDescent="0.25">
      <c r="A1398" s="8" t="str">
        <f t="shared" si="21"/>
        <v>001</v>
      </c>
      <c r="B1398" s="8" t="s">
        <v>262</v>
      </c>
      <c r="C1398" s="12" t="s">
        <v>1403</v>
      </c>
      <c r="D1398" s="8">
        <v>19</v>
      </c>
      <c r="E1398" s="8" t="s">
        <v>528</v>
      </c>
    </row>
    <row r="1399" spans="1:5" x14ac:dyDescent="0.25">
      <c r="A1399" s="8" t="str">
        <f t="shared" si="21"/>
        <v>002</v>
      </c>
      <c r="B1399" s="8" t="s">
        <v>264</v>
      </c>
      <c r="C1399" s="12" t="s">
        <v>1404</v>
      </c>
      <c r="D1399" s="8">
        <v>19</v>
      </c>
      <c r="E1399" s="8" t="s">
        <v>528</v>
      </c>
    </row>
    <row r="1400" spans="1:5" x14ac:dyDescent="0.25">
      <c r="A1400" s="8" t="str">
        <f t="shared" si="21"/>
        <v>003</v>
      </c>
      <c r="B1400" s="8" t="s">
        <v>67</v>
      </c>
      <c r="C1400" s="12" t="s">
        <v>1405</v>
      </c>
      <c r="D1400" s="8">
        <v>19</v>
      </c>
      <c r="E1400" s="8" t="s">
        <v>528</v>
      </c>
    </row>
    <row r="1401" spans="1:5" x14ac:dyDescent="0.25">
      <c r="A1401" s="8" t="str">
        <f t="shared" si="21"/>
        <v>101</v>
      </c>
      <c r="B1401" s="8">
        <v>101</v>
      </c>
      <c r="C1401" s="12" t="s">
        <v>1406</v>
      </c>
      <c r="D1401" s="8">
        <v>19</v>
      </c>
      <c r="E1401" s="8" t="s">
        <v>528</v>
      </c>
    </row>
    <row r="1402" spans="1:5" x14ac:dyDescent="0.25">
      <c r="A1402" s="8" t="str">
        <f t="shared" si="21"/>
        <v>102</v>
      </c>
      <c r="B1402" s="8">
        <v>102</v>
      </c>
      <c r="C1402" s="12" t="s">
        <v>1407</v>
      </c>
      <c r="D1402" s="8">
        <v>19</v>
      </c>
      <c r="E1402" s="8" t="s">
        <v>528</v>
      </c>
    </row>
    <row r="1403" spans="1:5" x14ac:dyDescent="0.25">
      <c r="A1403" s="8" t="str">
        <f t="shared" si="21"/>
        <v>103</v>
      </c>
      <c r="B1403" s="8">
        <v>103</v>
      </c>
      <c r="C1403" s="12" t="s">
        <v>1408</v>
      </c>
      <c r="D1403" s="8">
        <v>19</v>
      </c>
      <c r="E1403" s="8" t="s">
        <v>528</v>
      </c>
    </row>
    <row r="1404" spans="1:5" x14ac:dyDescent="0.25">
      <c r="A1404" s="8" t="str">
        <f t="shared" si="21"/>
        <v>104</v>
      </c>
      <c r="B1404" s="8">
        <v>104</v>
      </c>
      <c r="C1404" s="12" t="s">
        <v>1409</v>
      </c>
      <c r="D1404" s="8">
        <v>19</v>
      </c>
      <c r="E1404" s="8" t="s">
        <v>528</v>
      </c>
    </row>
    <row r="1405" spans="1:5" x14ac:dyDescent="0.25">
      <c r="A1405" s="8" t="str">
        <f t="shared" si="21"/>
        <v>105</v>
      </c>
      <c r="B1405" s="8">
        <v>105</v>
      </c>
      <c r="C1405" s="12" t="s">
        <v>1410</v>
      </c>
      <c r="D1405" s="8">
        <v>19</v>
      </c>
      <c r="E1405" s="8" t="s">
        <v>528</v>
      </c>
    </row>
    <row r="1406" spans="1:5" x14ac:dyDescent="0.25">
      <c r="A1406" s="8" t="str">
        <f t="shared" si="21"/>
        <v>106</v>
      </c>
      <c r="B1406" s="8">
        <v>106</v>
      </c>
      <c r="C1406" s="12" t="s">
        <v>1411</v>
      </c>
      <c r="D1406" s="8">
        <v>19</v>
      </c>
      <c r="E1406" s="8" t="s">
        <v>528</v>
      </c>
    </row>
    <row r="1407" spans="1:5" x14ac:dyDescent="0.25">
      <c r="A1407" s="8" t="str">
        <f t="shared" si="21"/>
        <v>107</v>
      </c>
      <c r="B1407" s="8">
        <v>107</v>
      </c>
      <c r="C1407" s="12" t="s">
        <v>1412</v>
      </c>
      <c r="D1407" s="8">
        <v>19</v>
      </c>
      <c r="E1407" s="8" t="s">
        <v>528</v>
      </c>
    </row>
    <row r="1408" spans="1:5" x14ac:dyDescent="0.25">
      <c r="A1408" s="8" t="str">
        <f t="shared" si="21"/>
        <v>001</v>
      </c>
      <c r="B1408" s="8" t="s">
        <v>262</v>
      </c>
      <c r="C1408" s="12" t="s">
        <v>1413</v>
      </c>
      <c r="D1408" s="8">
        <v>19</v>
      </c>
      <c r="E1408" s="8" t="s">
        <v>523</v>
      </c>
    </row>
    <row r="1409" spans="1:5" x14ac:dyDescent="0.25">
      <c r="A1409" s="8" t="str">
        <f t="shared" si="21"/>
        <v>101</v>
      </c>
      <c r="B1409" s="8">
        <v>101</v>
      </c>
      <c r="C1409" s="12" t="s">
        <v>1414</v>
      </c>
      <c r="D1409" s="8">
        <v>19</v>
      </c>
      <c r="E1409" s="8" t="s">
        <v>526</v>
      </c>
    </row>
    <row r="1410" spans="1:5" x14ac:dyDescent="0.25">
      <c r="A1410" s="8" t="str">
        <f t="shared" si="21"/>
        <v>102</v>
      </c>
      <c r="B1410" s="8">
        <v>102</v>
      </c>
      <c r="C1410" s="12" t="s">
        <v>1415</v>
      </c>
      <c r="D1410" s="8">
        <v>19</v>
      </c>
      <c r="E1410" s="8" t="s">
        <v>526</v>
      </c>
    </row>
    <row r="1411" spans="1:5" x14ac:dyDescent="0.25">
      <c r="A1411" s="8" t="str">
        <f t="shared" ref="A1411:A1474" si="22">TEXT(B1411,"000")</f>
        <v>201</v>
      </c>
      <c r="B1411" s="8">
        <v>201</v>
      </c>
      <c r="C1411" s="12" t="s">
        <v>1416</v>
      </c>
      <c r="D1411" s="8">
        <v>19</v>
      </c>
      <c r="E1411" s="8" t="s">
        <v>526</v>
      </c>
    </row>
    <row r="1412" spans="1:5" x14ac:dyDescent="0.25">
      <c r="A1412" s="8" t="str">
        <f t="shared" si="22"/>
        <v>001</v>
      </c>
      <c r="B1412" s="8" t="s">
        <v>262</v>
      </c>
      <c r="C1412" s="12" t="s">
        <v>1417</v>
      </c>
      <c r="D1412" s="8">
        <v>19</v>
      </c>
      <c r="E1412" s="8" t="s">
        <v>718</v>
      </c>
    </row>
    <row r="1413" spans="1:5" x14ac:dyDescent="0.25">
      <c r="A1413" s="8" t="str">
        <f t="shared" si="22"/>
        <v>002</v>
      </c>
      <c r="B1413" s="8" t="s">
        <v>264</v>
      </c>
      <c r="C1413" s="12" t="s">
        <v>1418</v>
      </c>
      <c r="D1413" s="8">
        <v>19</v>
      </c>
      <c r="E1413" s="8" t="s">
        <v>718</v>
      </c>
    </row>
    <row r="1414" spans="1:5" x14ac:dyDescent="0.25">
      <c r="A1414" s="8" t="str">
        <f t="shared" si="22"/>
        <v>003</v>
      </c>
      <c r="B1414" s="8" t="s">
        <v>67</v>
      </c>
      <c r="C1414" s="12" t="s">
        <v>1419</v>
      </c>
      <c r="D1414" s="8">
        <v>19</v>
      </c>
      <c r="E1414" s="8" t="s">
        <v>718</v>
      </c>
    </row>
    <row r="1415" spans="1:5" x14ac:dyDescent="0.25">
      <c r="A1415" s="8" t="str">
        <f t="shared" si="22"/>
        <v>004</v>
      </c>
      <c r="B1415" s="8" t="s">
        <v>69</v>
      </c>
      <c r="C1415" s="12" t="s">
        <v>1420</v>
      </c>
      <c r="D1415" s="8">
        <v>19</v>
      </c>
      <c r="E1415" s="8" t="s">
        <v>718</v>
      </c>
    </row>
    <row r="1416" spans="1:5" x14ac:dyDescent="0.25">
      <c r="A1416" s="8" t="str">
        <f t="shared" si="22"/>
        <v>005</v>
      </c>
      <c r="B1416" s="8" t="s">
        <v>78</v>
      </c>
      <c r="C1416" s="12" t="s">
        <v>1421</v>
      </c>
      <c r="D1416" s="8">
        <v>19</v>
      </c>
      <c r="E1416" s="8" t="s">
        <v>718</v>
      </c>
    </row>
    <row r="1417" spans="1:5" x14ac:dyDescent="0.25">
      <c r="A1417" s="8" t="str">
        <f t="shared" si="22"/>
        <v>006</v>
      </c>
      <c r="B1417" s="8" t="s">
        <v>80</v>
      </c>
      <c r="C1417" s="12" t="s">
        <v>1422</v>
      </c>
      <c r="D1417" s="8">
        <v>19</v>
      </c>
      <c r="E1417" s="8" t="s">
        <v>718</v>
      </c>
    </row>
    <row r="1418" spans="1:5" x14ac:dyDescent="0.25">
      <c r="A1418" s="8" t="str">
        <f t="shared" si="22"/>
        <v>000</v>
      </c>
      <c r="C1418" s="12" t="s">
        <v>1423</v>
      </c>
      <c r="D1418" s="8">
        <v>19</v>
      </c>
      <c r="E1418" s="8" t="s">
        <v>548</v>
      </c>
    </row>
    <row r="1419" spans="1:5" x14ac:dyDescent="0.25">
      <c r="A1419" s="8" t="str">
        <f t="shared" si="22"/>
        <v>001</v>
      </c>
      <c r="B1419" s="8" t="s">
        <v>262</v>
      </c>
      <c r="C1419" s="12" t="s">
        <v>1424</v>
      </c>
      <c r="D1419" s="8">
        <v>19</v>
      </c>
    </row>
    <row r="1420" spans="1:5" x14ac:dyDescent="0.25">
      <c r="A1420" s="8" t="str">
        <f t="shared" si="22"/>
        <v>002</v>
      </c>
      <c r="B1420" s="8" t="s">
        <v>264</v>
      </c>
      <c r="C1420" s="12" t="s">
        <v>1425</v>
      </c>
      <c r="D1420" s="8">
        <v>19</v>
      </c>
    </row>
    <row r="1421" spans="1:5" x14ac:dyDescent="0.25">
      <c r="A1421" s="8" t="str">
        <f t="shared" si="22"/>
        <v>003</v>
      </c>
      <c r="B1421" s="8" t="s">
        <v>67</v>
      </c>
      <c r="C1421" s="12" t="s">
        <v>1426</v>
      </c>
      <c r="D1421" s="8">
        <v>19</v>
      </c>
    </row>
    <row r="1422" spans="1:5" x14ac:dyDescent="0.25">
      <c r="A1422" s="8" t="str">
        <f t="shared" si="22"/>
        <v>004</v>
      </c>
      <c r="B1422" s="8" t="s">
        <v>69</v>
      </c>
      <c r="C1422" s="12" t="s">
        <v>1427</v>
      </c>
      <c r="D1422" s="8">
        <v>19</v>
      </c>
    </row>
    <row r="1423" spans="1:5" x14ac:dyDescent="0.25">
      <c r="A1423" s="8" t="str">
        <f t="shared" si="22"/>
        <v>005</v>
      </c>
      <c r="B1423" s="8" t="s">
        <v>78</v>
      </c>
      <c r="C1423" s="12" t="s">
        <v>1428</v>
      </c>
      <c r="D1423" s="8">
        <v>19</v>
      </c>
    </row>
    <row r="1424" spans="1:5" x14ac:dyDescent="0.25">
      <c r="A1424" s="8" t="str">
        <f t="shared" si="22"/>
        <v>006</v>
      </c>
      <c r="B1424" s="8" t="s">
        <v>80</v>
      </c>
      <c r="C1424" s="12" t="s">
        <v>1429</v>
      </c>
      <c r="D1424" s="8">
        <v>19</v>
      </c>
    </row>
    <row r="1425" spans="1:5" x14ac:dyDescent="0.25">
      <c r="A1425" s="8" t="str">
        <f t="shared" si="22"/>
        <v>007</v>
      </c>
      <c r="B1425" s="8" t="s">
        <v>71</v>
      </c>
      <c r="C1425" s="12" t="s">
        <v>1430</v>
      </c>
      <c r="D1425" s="8">
        <v>19</v>
      </c>
    </row>
    <row r="1426" spans="1:5" x14ac:dyDescent="0.25">
      <c r="A1426" s="8" t="str">
        <f t="shared" si="22"/>
        <v>001</v>
      </c>
      <c r="B1426" s="8" t="s">
        <v>262</v>
      </c>
      <c r="C1426" s="12" t="s">
        <v>266</v>
      </c>
      <c r="D1426" s="8">
        <v>19</v>
      </c>
    </row>
    <row r="1427" spans="1:5" x14ac:dyDescent="0.25">
      <c r="A1427" s="8" t="str">
        <f t="shared" si="22"/>
        <v>002</v>
      </c>
      <c r="B1427" s="8" t="s">
        <v>264</v>
      </c>
      <c r="C1427" s="12" t="s">
        <v>267</v>
      </c>
      <c r="D1427" s="8">
        <v>19</v>
      </c>
    </row>
    <row r="1428" spans="1:5" x14ac:dyDescent="0.25">
      <c r="A1428" s="8" t="str">
        <f t="shared" si="22"/>
        <v>003</v>
      </c>
      <c r="B1428" s="8" t="s">
        <v>67</v>
      </c>
      <c r="C1428" s="12" t="s">
        <v>269</v>
      </c>
      <c r="D1428" s="8">
        <v>19</v>
      </c>
    </row>
    <row r="1429" spans="1:5" x14ac:dyDescent="0.25">
      <c r="A1429" s="8" t="str">
        <f t="shared" si="22"/>
        <v>001</v>
      </c>
      <c r="B1429" s="8" t="s">
        <v>262</v>
      </c>
      <c r="C1429" s="12" t="s">
        <v>1277</v>
      </c>
      <c r="D1429" s="8">
        <v>19</v>
      </c>
      <c r="E1429" s="8" t="s">
        <v>516</v>
      </c>
    </row>
    <row r="1430" spans="1:5" x14ac:dyDescent="0.25">
      <c r="A1430" s="8" t="str">
        <f t="shared" si="22"/>
        <v>002</v>
      </c>
      <c r="B1430" s="8" t="s">
        <v>264</v>
      </c>
      <c r="C1430" s="12" t="s">
        <v>1278</v>
      </c>
      <c r="D1430" s="8">
        <v>19</v>
      </c>
      <c r="E1430" s="8" t="s">
        <v>516</v>
      </c>
    </row>
    <row r="1431" spans="1:5" x14ac:dyDescent="0.25">
      <c r="A1431" s="8" t="str">
        <f t="shared" si="22"/>
        <v>003</v>
      </c>
      <c r="B1431" s="8" t="s">
        <v>67</v>
      </c>
      <c r="C1431" s="12" t="s">
        <v>1279</v>
      </c>
      <c r="D1431" s="8">
        <v>19</v>
      </c>
      <c r="E1431" s="8" t="s">
        <v>516</v>
      </c>
    </row>
    <row r="1432" spans="1:5" x14ac:dyDescent="0.25">
      <c r="A1432" s="8" t="str">
        <f t="shared" si="22"/>
        <v>004</v>
      </c>
      <c r="B1432" s="8" t="s">
        <v>69</v>
      </c>
      <c r="C1432" s="12" t="s">
        <v>1280</v>
      </c>
      <c r="D1432" s="8">
        <v>19</v>
      </c>
      <c r="E1432" s="8" t="s">
        <v>516</v>
      </c>
    </row>
    <row r="1433" spans="1:5" x14ac:dyDescent="0.25">
      <c r="A1433" s="8" t="str">
        <f t="shared" si="22"/>
        <v>005</v>
      </c>
      <c r="B1433" s="8" t="s">
        <v>78</v>
      </c>
      <c r="C1433" s="12" t="s">
        <v>1281</v>
      </c>
      <c r="D1433" s="8">
        <v>19</v>
      </c>
      <c r="E1433" s="8" t="s">
        <v>516</v>
      </c>
    </row>
    <row r="1434" spans="1:5" x14ac:dyDescent="0.25">
      <c r="A1434" s="8" t="str">
        <f t="shared" si="22"/>
        <v>006</v>
      </c>
      <c r="B1434" s="8" t="s">
        <v>80</v>
      </c>
      <c r="C1434" s="12" t="s">
        <v>1431</v>
      </c>
      <c r="D1434" s="8">
        <v>19</v>
      </c>
      <c r="E1434" s="8" t="s">
        <v>516</v>
      </c>
    </row>
    <row r="1435" spans="1:5" x14ac:dyDescent="0.25">
      <c r="A1435" s="8" t="str">
        <f t="shared" si="22"/>
        <v>007</v>
      </c>
      <c r="B1435" s="8" t="s">
        <v>71</v>
      </c>
      <c r="C1435" s="12" t="s">
        <v>1432</v>
      </c>
      <c r="D1435" s="8">
        <v>19</v>
      </c>
      <c r="E1435" s="8" t="s">
        <v>516</v>
      </c>
    </row>
    <row r="1436" spans="1:5" x14ac:dyDescent="0.25">
      <c r="A1436" s="8" t="str">
        <f t="shared" si="22"/>
        <v>008</v>
      </c>
      <c r="B1436" s="8" t="s">
        <v>271</v>
      </c>
      <c r="C1436" s="12" t="s">
        <v>1433</v>
      </c>
      <c r="D1436" s="8">
        <v>19</v>
      </c>
      <c r="E1436" s="8" t="s">
        <v>516</v>
      </c>
    </row>
    <row r="1437" spans="1:5" x14ac:dyDescent="0.25">
      <c r="A1437" s="8" t="str">
        <f t="shared" si="22"/>
        <v>009</v>
      </c>
      <c r="B1437" s="8" t="s">
        <v>273</v>
      </c>
      <c r="C1437" s="12" t="s">
        <v>1434</v>
      </c>
      <c r="D1437" s="8">
        <v>19</v>
      </c>
      <c r="E1437" s="8" t="s">
        <v>516</v>
      </c>
    </row>
    <row r="1438" spans="1:5" x14ac:dyDescent="0.25">
      <c r="A1438" s="8" t="str">
        <f t="shared" si="22"/>
        <v>010</v>
      </c>
      <c r="B1438" s="8" t="s">
        <v>61</v>
      </c>
      <c r="C1438" s="12" t="s">
        <v>1435</v>
      </c>
      <c r="D1438" s="8">
        <v>19</v>
      </c>
      <c r="E1438" s="8" t="s">
        <v>516</v>
      </c>
    </row>
    <row r="1439" spans="1:5" x14ac:dyDescent="0.25">
      <c r="A1439" s="8" t="str">
        <f t="shared" si="22"/>
        <v>000</v>
      </c>
      <c r="B1439" s="8" t="s">
        <v>65</v>
      </c>
      <c r="C1439" s="12" t="s">
        <v>66</v>
      </c>
      <c r="D1439" s="8">
        <v>20</v>
      </c>
      <c r="E1439" s="8" t="s">
        <v>282</v>
      </c>
    </row>
    <row r="1440" spans="1:5" x14ac:dyDescent="0.25">
      <c r="A1440" s="8" t="str">
        <f t="shared" si="22"/>
        <v>001</v>
      </c>
      <c r="B1440" s="8" t="s">
        <v>262</v>
      </c>
      <c r="C1440" s="12" t="s">
        <v>1436</v>
      </c>
      <c r="D1440" s="8">
        <v>20</v>
      </c>
      <c r="E1440" s="8" t="s">
        <v>282</v>
      </c>
    </row>
    <row r="1441" spans="1:5" x14ac:dyDescent="0.25">
      <c r="A1441" s="8" t="str">
        <f t="shared" si="22"/>
        <v>002</v>
      </c>
      <c r="B1441" s="8" t="s">
        <v>264</v>
      </c>
      <c r="C1441" s="12" t="s">
        <v>1437</v>
      </c>
      <c r="D1441" s="8">
        <v>20</v>
      </c>
      <c r="E1441" s="8" t="s">
        <v>282</v>
      </c>
    </row>
    <row r="1442" spans="1:5" x14ac:dyDescent="0.25">
      <c r="A1442" s="8" t="str">
        <f t="shared" si="22"/>
        <v>003</v>
      </c>
      <c r="B1442" s="8" t="s">
        <v>67</v>
      </c>
      <c r="C1442" s="12" t="s">
        <v>1438</v>
      </c>
      <c r="D1442" s="8">
        <v>20</v>
      </c>
      <c r="E1442" s="8" t="s">
        <v>282</v>
      </c>
    </row>
    <row r="1443" spans="1:5" x14ac:dyDescent="0.25">
      <c r="A1443" s="8" t="str">
        <f t="shared" si="22"/>
        <v>004</v>
      </c>
      <c r="B1443" s="8" t="s">
        <v>69</v>
      </c>
      <c r="C1443" s="12" t="s">
        <v>1439</v>
      </c>
      <c r="D1443" s="8">
        <v>20</v>
      </c>
      <c r="E1443" s="8" t="s">
        <v>282</v>
      </c>
    </row>
    <row r="1444" spans="1:5" x14ac:dyDescent="0.25">
      <c r="A1444" s="8" t="str">
        <f t="shared" si="22"/>
        <v>005</v>
      </c>
      <c r="B1444" s="8" t="s">
        <v>78</v>
      </c>
      <c r="C1444" s="12" t="s">
        <v>1440</v>
      </c>
      <c r="D1444" s="8">
        <v>20</v>
      </c>
      <c r="E1444" s="8" t="s">
        <v>282</v>
      </c>
    </row>
    <row r="1445" spans="1:5" x14ac:dyDescent="0.25">
      <c r="A1445" s="8" t="str">
        <f t="shared" si="22"/>
        <v>006</v>
      </c>
      <c r="B1445" s="8" t="s">
        <v>80</v>
      </c>
      <c r="C1445" s="12" t="s">
        <v>1441</v>
      </c>
      <c r="D1445" s="8">
        <v>20</v>
      </c>
      <c r="E1445" s="8" t="s">
        <v>282</v>
      </c>
    </row>
    <row r="1446" spans="1:5" x14ac:dyDescent="0.25">
      <c r="A1446" s="8" t="str">
        <f t="shared" si="22"/>
        <v>007</v>
      </c>
      <c r="B1446" s="8" t="s">
        <v>71</v>
      </c>
      <c r="C1446" s="12" t="s">
        <v>1442</v>
      </c>
      <c r="D1446" s="8">
        <v>20</v>
      </c>
      <c r="E1446" s="8" t="s">
        <v>282</v>
      </c>
    </row>
    <row r="1447" spans="1:5" x14ac:dyDescent="0.25">
      <c r="A1447" s="8" t="str">
        <f t="shared" si="22"/>
        <v>011</v>
      </c>
      <c r="B1447" s="8" t="s">
        <v>74</v>
      </c>
      <c r="C1447" s="12" t="s">
        <v>1443</v>
      </c>
      <c r="D1447" s="8">
        <v>20</v>
      </c>
      <c r="E1447" s="8" t="s">
        <v>282</v>
      </c>
    </row>
    <row r="1448" spans="1:5" x14ac:dyDescent="0.25">
      <c r="A1448" s="8" t="str">
        <f t="shared" si="22"/>
        <v>012</v>
      </c>
      <c r="B1448" s="8" t="s">
        <v>76</v>
      </c>
      <c r="C1448" s="12" t="s">
        <v>1444</v>
      </c>
      <c r="D1448" s="8">
        <v>20</v>
      </c>
      <c r="E1448" s="8" t="s">
        <v>282</v>
      </c>
    </row>
    <row r="1449" spans="1:5" x14ac:dyDescent="0.25">
      <c r="A1449" s="8" t="str">
        <f t="shared" si="22"/>
        <v>015</v>
      </c>
      <c r="B1449" s="8" t="s">
        <v>346</v>
      </c>
      <c r="C1449" s="12" t="s">
        <v>1445</v>
      </c>
      <c r="D1449" s="8">
        <v>20</v>
      </c>
      <c r="E1449" s="8" t="s">
        <v>282</v>
      </c>
    </row>
    <row r="1450" spans="1:5" x14ac:dyDescent="0.25">
      <c r="A1450" s="8" t="str">
        <f t="shared" si="22"/>
        <v>000</v>
      </c>
      <c r="B1450" s="8" t="s">
        <v>65</v>
      </c>
      <c r="C1450" s="12" t="s">
        <v>66</v>
      </c>
      <c r="D1450" s="8">
        <v>20</v>
      </c>
      <c r="E1450" s="8" t="s">
        <v>288</v>
      </c>
    </row>
    <row r="1451" spans="1:5" x14ac:dyDescent="0.25">
      <c r="A1451" s="8" t="str">
        <f t="shared" si="22"/>
        <v>001</v>
      </c>
      <c r="B1451" s="8" t="s">
        <v>262</v>
      </c>
      <c r="C1451" s="12" t="s">
        <v>1446</v>
      </c>
      <c r="D1451" s="8">
        <v>20</v>
      </c>
      <c r="E1451" s="8" t="s">
        <v>288</v>
      </c>
    </row>
    <row r="1452" spans="1:5" x14ac:dyDescent="0.25">
      <c r="A1452" s="8" t="str">
        <f t="shared" si="22"/>
        <v>002</v>
      </c>
      <c r="B1452" s="8" t="s">
        <v>264</v>
      </c>
      <c r="C1452" s="12" t="s">
        <v>1447</v>
      </c>
      <c r="D1452" s="8">
        <v>20</v>
      </c>
      <c r="E1452" s="8" t="s">
        <v>288</v>
      </c>
    </row>
    <row r="1453" spans="1:5" x14ac:dyDescent="0.25">
      <c r="A1453" s="8" t="str">
        <f t="shared" si="22"/>
        <v>003</v>
      </c>
      <c r="B1453" s="8" t="s">
        <v>67</v>
      </c>
      <c r="C1453" s="12" t="s">
        <v>1448</v>
      </c>
      <c r="D1453" s="8">
        <v>20</v>
      </c>
      <c r="E1453" s="8" t="s">
        <v>288</v>
      </c>
    </row>
    <row r="1454" spans="1:5" x14ac:dyDescent="0.25">
      <c r="A1454" s="8" t="str">
        <f t="shared" si="22"/>
        <v>004</v>
      </c>
      <c r="B1454" s="8" t="s">
        <v>69</v>
      </c>
      <c r="C1454" s="12" t="s">
        <v>1449</v>
      </c>
      <c r="D1454" s="8">
        <v>20</v>
      </c>
      <c r="E1454" s="8" t="s">
        <v>288</v>
      </c>
    </row>
    <row r="1455" spans="1:5" x14ac:dyDescent="0.25">
      <c r="A1455" s="8" t="str">
        <f t="shared" si="22"/>
        <v>005</v>
      </c>
      <c r="B1455" s="8" t="s">
        <v>78</v>
      </c>
      <c r="C1455" s="12" t="s">
        <v>1450</v>
      </c>
      <c r="D1455" s="8">
        <v>20</v>
      </c>
      <c r="E1455" s="8" t="s">
        <v>288</v>
      </c>
    </row>
    <row r="1456" spans="1:5" x14ac:dyDescent="0.25">
      <c r="A1456" s="8" t="str">
        <f t="shared" si="22"/>
        <v>006</v>
      </c>
      <c r="B1456" s="8" t="s">
        <v>80</v>
      </c>
      <c r="C1456" s="12" t="s">
        <v>26</v>
      </c>
      <c r="D1456" s="8">
        <v>20</v>
      </c>
      <c r="E1456" s="8" t="s">
        <v>288</v>
      </c>
    </row>
    <row r="1457" spans="1:5" x14ac:dyDescent="0.25">
      <c r="A1457" s="8" t="str">
        <f t="shared" si="22"/>
        <v>007</v>
      </c>
      <c r="B1457" s="8" t="s">
        <v>71</v>
      </c>
      <c r="C1457" s="12" t="s">
        <v>1451</v>
      </c>
      <c r="D1457" s="8">
        <v>20</v>
      </c>
      <c r="E1457" s="8" t="s">
        <v>288</v>
      </c>
    </row>
    <row r="1458" spans="1:5" x14ac:dyDescent="0.25">
      <c r="A1458" s="8" t="str">
        <f t="shared" si="22"/>
        <v>008</v>
      </c>
      <c r="B1458" s="8" t="s">
        <v>271</v>
      </c>
      <c r="C1458" s="12" t="s">
        <v>1452</v>
      </c>
      <c r="D1458" s="8">
        <v>20</v>
      </c>
      <c r="E1458" s="8" t="s">
        <v>288</v>
      </c>
    </row>
    <row r="1459" spans="1:5" x14ac:dyDescent="0.25">
      <c r="A1459" s="8" t="str">
        <f t="shared" si="22"/>
        <v>009</v>
      </c>
      <c r="B1459" s="8" t="s">
        <v>273</v>
      </c>
      <c r="C1459" s="12" t="s">
        <v>1453</v>
      </c>
      <c r="D1459" s="8">
        <v>20</v>
      </c>
      <c r="E1459" s="8" t="s">
        <v>288</v>
      </c>
    </row>
    <row r="1460" spans="1:5" x14ac:dyDescent="0.25">
      <c r="A1460" s="8" t="str">
        <f t="shared" si="22"/>
        <v>010</v>
      </c>
      <c r="B1460" s="8" t="s">
        <v>61</v>
      </c>
      <c r="C1460" s="12" t="s">
        <v>991</v>
      </c>
      <c r="D1460" s="8">
        <v>20</v>
      </c>
      <c r="E1460" s="8" t="s">
        <v>288</v>
      </c>
    </row>
    <row r="1461" spans="1:5" x14ac:dyDescent="0.25">
      <c r="A1461" s="8" t="str">
        <f t="shared" si="22"/>
        <v>011</v>
      </c>
      <c r="B1461" s="8" t="s">
        <v>74</v>
      </c>
      <c r="C1461" s="12" t="s">
        <v>1454</v>
      </c>
      <c r="D1461" s="8">
        <v>20</v>
      </c>
      <c r="E1461" s="8" t="s">
        <v>288</v>
      </c>
    </row>
    <row r="1462" spans="1:5" x14ac:dyDescent="0.25">
      <c r="A1462" s="8" t="str">
        <f t="shared" si="22"/>
        <v>012</v>
      </c>
      <c r="B1462" s="8" t="s">
        <v>76</v>
      </c>
      <c r="C1462" s="12" t="s">
        <v>1455</v>
      </c>
      <c r="D1462" s="8">
        <v>20</v>
      </c>
      <c r="E1462" s="8" t="s">
        <v>288</v>
      </c>
    </row>
    <row r="1463" spans="1:5" x14ac:dyDescent="0.25">
      <c r="A1463" s="8" t="str">
        <f t="shared" si="22"/>
        <v>013</v>
      </c>
      <c r="B1463" s="8" t="s">
        <v>278</v>
      </c>
      <c r="C1463" s="12" t="s">
        <v>1456</v>
      </c>
      <c r="D1463" s="8">
        <v>20</v>
      </c>
      <c r="E1463" s="8" t="s">
        <v>288</v>
      </c>
    </row>
    <row r="1464" spans="1:5" x14ac:dyDescent="0.25">
      <c r="A1464" s="8" t="str">
        <f t="shared" si="22"/>
        <v>014</v>
      </c>
      <c r="B1464" s="8" t="s">
        <v>280</v>
      </c>
      <c r="C1464" s="12" t="s">
        <v>1457</v>
      </c>
      <c r="D1464" s="8">
        <v>20</v>
      </c>
      <c r="E1464" s="8" t="s">
        <v>288</v>
      </c>
    </row>
    <row r="1465" spans="1:5" x14ac:dyDescent="0.25">
      <c r="A1465" s="8" t="str">
        <f t="shared" si="22"/>
        <v>016</v>
      </c>
      <c r="B1465" s="8" t="s">
        <v>82</v>
      </c>
      <c r="C1465" s="12" t="s">
        <v>1458</v>
      </c>
      <c r="D1465" s="8">
        <v>20</v>
      </c>
      <c r="E1465" s="8" t="s">
        <v>288</v>
      </c>
    </row>
    <row r="1466" spans="1:5" x14ac:dyDescent="0.25">
      <c r="A1466" s="8" t="str">
        <f t="shared" si="22"/>
        <v>017</v>
      </c>
      <c r="B1466" s="8" t="s">
        <v>349</v>
      </c>
      <c r="C1466" s="12" t="s">
        <v>1459</v>
      </c>
      <c r="D1466" s="8">
        <v>20</v>
      </c>
      <c r="E1466" s="8" t="s">
        <v>288</v>
      </c>
    </row>
    <row r="1467" spans="1:5" x14ac:dyDescent="0.25">
      <c r="A1467" s="8" t="str">
        <f t="shared" si="22"/>
        <v>018</v>
      </c>
      <c r="B1467" s="8" t="s">
        <v>351</v>
      </c>
      <c r="C1467" s="12" t="s">
        <v>1460</v>
      </c>
      <c r="D1467" s="8">
        <v>20</v>
      </c>
      <c r="E1467" s="8" t="s">
        <v>288</v>
      </c>
    </row>
    <row r="1468" spans="1:5" x14ac:dyDescent="0.25">
      <c r="A1468" s="8" t="str">
        <f t="shared" si="22"/>
        <v>019</v>
      </c>
      <c r="B1468" s="8" t="s">
        <v>353</v>
      </c>
      <c r="C1468" s="12" t="s">
        <v>1461</v>
      </c>
      <c r="D1468" s="8">
        <v>20</v>
      </c>
      <c r="E1468" s="8" t="s">
        <v>288</v>
      </c>
    </row>
    <row r="1469" spans="1:5" x14ac:dyDescent="0.25">
      <c r="A1469" s="8" t="str">
        <f t="shared" si="22"/>
        <v>020</v>
      </c>
      <c r="B1469" s="8" t="s">
        <v>63</v>
      </c>
      <c r="C1469" s="12" t="s">
        <v>1462</v>
      </c>
      <c r="D1469" s="8">
        <v>20</v>
      </c>
      <c r="E1469" s="8" t="s">
        <v>288</v>
      </c>
    </row>
    <row r="1470" spans="1:5" x14ac:dyDescent="0.25">
      <c r="A1470" s="8" t="str">
        <f t="shared" si="22"/>
        <v>021</v>
      </c>
      <c r="B1470" s="8" t="s">
        <v>356</v>
      </c>
      <c r="C1470" s="12" t="s">
        <v>1463</v>
      </c>
      <c r="D1470" s="8">
        <v>20</v>
      </c>
      <c r="E1470" s="8" t="s">
        <v>288</v>
      </c>
    </row>
    <row r="1471" spans="1:5" x14ac:dyDescent="0.25">
      <c r="A1471" s="8" t="str">
        <f t="shared" si="22"/>
        <v>022</v>
      </c>
      <c r="B1471" s="8" t="s">
        <v>358</v>
      </c>
      <c r="C1471" s="12" t="s">
        <v>1464</v>
      </c>
      <c r="D1471" s="8">
        <v>20</v>
      </c>
      <c r="E1471" s="8" t="s">
        <v>288</v>
      </c>
    </row>
    <row r="1472" spans="1:5" x14ac:dyDescent="0.25">
      <c r="A1472" s="8" t="str">
        <f t="shared" si="22"/>
        <v>023</v>
      </c>
      <c r="B1472" s="8" t="s">
        <v>360</v>
      </c>
      <c r="C1472" s="12" t="s">
        <v>1465</v>
      </c>
      <c r="D1472" s="8">
        <v>20</v>
      </c>
      <c r="E1472" s="8" t="s">
        <v>288</v>
      </c>
    </row>
    <row r="1473" spans="1:5" x14ac:dyDescent="0.25">
      <c r="A1473" s="8" t="str">
        <f t="shared" si="22"/>
        <v>024</v>
      </c>
      <c r="B1473" s="8" t="s">
        <v>362</v>
      </c>
      <c r="C1473" s="12" t="s">
        <v>1466</v>
      </c>
      <c r="D1473" s="8">
        <v>20</v>
      </c>
      <c r="E1473" s="8" t="s">
        <v>288</v>
      </c>
    </row>
    <row r="1474" spans="1:5" x14ac:dyDescent="0.25">
      <c r="A1474" s="8" t="str">
        <f t="shared" si="22"/>
        <v>025</v>
      </c>
      <c r="B1474" s="8" t="s">
        <v>84</v>
      </c>
      <c r="C1474" s="12" t="s">
        <v>1467</v>
      </c>
      <c r="D1474" s="8">
        <v>20</v>
      </c>
      <c r="E1474" s="8" t="s">
        <v>288</v>
      </c>
    </row>
    <row r="1475" spans="1:5" x14ac:dyDescent="0.25">
      <c r="A1475" s="8" t="str">
        <f t="shared" ref="A1475:A1538" si="23">TEXT(B1475,"000")</f>
        <v>026</v>
      </c>
      <c r="B1475" s="8" t="s">
        <v>365</v>
      </c>
      <c r="C1475" s="12" t="s">
        <v>1466</v>
      </c>
      <c r="D1475" s="8">
        <v>20</v>
      </c>
      <c r="E1475" s="8" t="s">
        <v>288</v>
      </c>
    </row>
    <row r="1476" spans="1:5" x14ac:dyDescent="0.25">
      <c r="A1476" s="8" t="str">
        <f t="shared" si="23"/>
        <v>027</v>
      </c>
      <c r="B1476" s="8" t="s">
        <v>367</v>
      </c>
      <c r="C1476" s="12" t="s">
        <v>1468</v>
      </c>
      <c r="D1476" s="8">
        <v>20</v>
      </c>
      <c r="E1476" s="8" t="s">
        <v>288</v>
      </c>
    </row>
    <row r="1477" spans="1:5" x14ac:dyDescent="0.25">
      <c r="A1477" s="8" t="str">
        <f t="shared" si="23"/>
        <v>028</v>
      </c>
      <c r="B1477" s="8" t="s">
        <v>369</v>
      </c>
      <c r="C1477" s="12" t="s">
        <v>1469</v>
      </c>
      <c r="D1477" s="8">
        <v>20</v>
      </c>
      <c r="E1477" s="8" t="s">
        <v>288</v>
      </c>
    </row>
    <row r="1478" spans="1:5" x14ac:dyDescent="0.25">
      <c r="A1478" s="8" t="str">
        <f t="shared" si="23"/>
        <v>029</v>
      </c>
      <c r="B1478" s="8" t="s">
        <v>371</v>
      </c>
      <c r="C1478" s="12" t="s">
        <v>1470</v>
      </c>
      <c r="D1478" s="8">
        <v>20</v>
      </c>
      <c r="E1478" s="8" t="s">
        <v>288</v>
      </c>
    </row>
    <row r="1479" spans="1:5" x14ac:dyDescent="0.25">
      <c r="A1479" s="8" t="str">
        <f t="shared" si="23"/>
        <v>030</v>
      </c>
      <c r="B1479" s="8" t="s">
        <v>373</v>
      </c>
      <c r="C1479" s="12" t="s">
        <v>1471</v>
      </c>
      <c r="D1479" s="8">
        <v>20</v>
      </c>
      <c r="E1479" s="8" t="s">
        <v>288</v>
      </c>
    </row>
    <row r="1480" spans="1:5" x14ac:dyDescent="0.25">
      <c r="A1480" s="8" t="str">
        <f t="shared" si="23"/>
        <v>000</v>
      </c>
      <c r="B1480" s="8" t="s">
        <v>65</v>
      </c>
      <c r="C1480" s="12" t="s">
        <v>66</v>
      </c>
      <c r="D1480" s="8">
        <v>20</v>
      </c>
      <c r="E1480" s="8" t="s">
        <v>296</v>
      </c>
    </row>
    <row r="1481" spans="1:5" x14ac:dyDescent="0.25">
      <c r="A1481" s="8" t="str">
        <f t="shared" si="23"/>
        <v>001</v>
      </c>
      <c r="B1481" s="8" t="s">
        <v>262</v>
      </c>
      <c r="C1481" s="12" t="s">
        <v>1472</v>
      </c>
      <c r="D1481" s="8">
        <v>20</v>
      </c>
      <c r="E1481" s="8" t="s">
        <v>296</v>
      </c>
    </row>
    <row r="1482" spans="1:5" x14ac:dyDescent="0.25">
      <c r="A1482" s="8" t="str">
        <f t="shared" si="23"/>
        <v>002</v>
      </c>
      <c r="B1482" s="8" t="s">
        <v>264</v>
      </c>
      <c r="C1482" s="12" t="s">
        <v>1473</v>
      </c>
      <c r="D1482" s="8">
        <v>20</v>
      </c>
      <c r="E1482" s="8" t="s">
        <v>296</v>
      </c>
    </row>
    <row r="1483" spans="1:5" x14ac:dyDescent="0.25">
      <c r="A1483" s="8" t="str">
        <f t="shared" si="23"/>
        <v>003</v>
      </c>
      <c r="B1483" s="8" t="s">
        <v>67</v>
      </c>
      <c r="C1483" s="12" t="s">
        <v>1474</v>
      </c>
      <c r="D1483" s="8">
        <v>20</v>
      </c>
      <c r="E1483" s="8" t="s">
        <v>296</v>
      </c>
    </row>
    <row r="1484" spans="1:5" x14ac:dyDescent="0.25">
      <c r="A1484" s="8" t="str">
        <f t="shared" si="23"/>
        <v>004</v>
      </c>
      <c r="B1484" s="8" t="s">
        <v>69</v>
      </c>
      <c r="C1484" s="12" t="s">
        <v>1475</v>
      </c>
      <c r="D1484" s="8">
        <v>20</v>
      </c>
      <c r="E1484" s="8" t="s">
        <v>296</v>
      </c>
    </row>
    <row r="1485" spans="1:5" x14ac:dyDescent="0.25">
      <c r="A1485" s="8" t="str">
        <f t="shared" si="23"/>
        <v>005</v>
      </c>
      <c r="B1485" s="8" t="s">
        <v>78</v>
      </c>
      <c r="C1485" s="12" t="s">
        <v>1476</v>
      </c>
      <c r="D1485" s="8">
        <v>20</v>
      </c>
      <c r="E1485" s="8" t="s">
        <v>296</v>
      </c>
    </row>
    <row r="1486" spans="1:5" x14ac:dyDescent="0.25">
      <c r="A1486" s="8" t="str">
        <f t="shared" si="23"/>
        <v>006</v>
      </c>
      <c r="B1486" s="8" t="s">
        <v>80</v>
      </c>
      <c r="C1486" s="12" t="s">
        <v>1477</v>
      </c>
      <c r="D1486" s="8">
        <v>20</v>
      </c>
      <c r="E1486" s="8" t="s">
        <v>296</v>
      </c>
    </row>
    <row r="1487" spans="1:5" x14ac:dyDescent="0.25">
      <c r="A1487" s="8" t="str">
        <f t="shared" si="23"/>
        <v>000</v>
      </c>
      <c r="B1487" s="8" t="s">
        <v>65</v>
      </c>
      <c r="C1487" s="12" t="s">
        <v>66</v>
      </c>
      <c r="D1487" s="8">
        <v>20</v>
      </c>
      <c r="E1487" s="8" t="s">
        <v>481</v>
      </c>
    </row>
    <row r="1488" spans="1:5" x14ac:dyDescent="0.25">
      <c r="A1488" s="8" t="str">
        <f t="shared" si="23"/>
        <v>001</v>
      </c>
      <c r="B1488" s="8" t="s">
        <v>262</v>
      </c>
      <c r="C1488" s="12" t="s">
        <v>1478</v>
      </c>
      <c r="D1488" s="8">
        <v>20</v>
      </c>
      <c r="E1488" s="8" t="s">
        <v>481</v>
      </c>
    </row>
    <row r="1489" spans="1:5" x14ac:dyDescent="0.25">
      <c r="A1489" s="8" t="str">
        <f t="shared" si="23"/>
        <v>002</v>
      </c>
      <c r="B1489" s="8" t="s">
        <v>264</v>
      </c>
      <c r="C1489" s="12" t="s">
        <v>1479</v>
      </c>
      <c r="D1489" s="8">
        <v>20</v>
      </c>
      <c r="E1489" s="8" t="s">
        <v>481</v>
      </c>
    </row>
    <row r="1490" spans="1:5" x14ac:dyDescent="0.25">
      <c r="A1490" s="8" t="str">
        <f t="shared" si="23"/>
        <v>003</v>
      </c>
      <c r="B1490" s="8" t="s">
        <v>67</v>
      </c>
      <c r="C1490" s="12" t="s">
        <v>1480</v>
      </c>
      <c r="D1490" s="8">
        <v>20</v>
      </c>
      <c r="E1490" s="8" t="s">
        <v>481</v>
      </c>
    </row>
    <row r="1491" spans="1:5" x14ac:dyDescent="0.25">
      <c r="A1491" s="8" t="str">
        <f t="shared" si="23"/>
        <v>000</v>
      </c>
      <c r="B1491" s="8" t="s">
        <v>65</v>
      </c>
      <c r="C1491" s="12" t="s">
        <v>66</v>
      </c>
      <c r="D1491" s="8">
        <v>21</v>
      </c>
    </row>
    <row r="1492" spans="1:5" x14ac:dyDescent="0.25">
      <c r="A1492" s="8" t="str">
        <f t="shared" si="23"/>
        <v>001</v>
      </c>
      <c r="B1492" s="8" t="s">
        <v>262</v>
      </c>
      <c r="C1492" s="12" t="s">
        <v>1481</v>
      </c>
      <c r="D1492" s="8">
        <v>21</v>
      </c>
    </row>
    <row r="1493" spans="1:5" x14ac:dyDescent="0.25">
      <c r="A1493" s="8" t="str">
        <f t="shared" si="23"/>
        <v>002</v>
      </c>
      <c r="B1493" s="8" t="s">
        <v>264</v>
      </c>
      <c r="C1493" s="12" t="s">
        <v>1482</v>
      </c>
      <c r="D1493" s="8">
        <v>21</v>
      </c>
    </row>
    <row r="1494" spans="1:5" x14ac:dyDescent="0.25">
      <c r="A1494" s="8" t="str">
        <f t="shared" si="23"/>
        <v>003</v>
      </c>
      <c r="B1494" s="8" t="s">
        <v>67</v>
      </c>
      <c r="C1494" s="12" t="s">
        <v>1483</v>
      </c>
      <c r="D1494" s="8">
        <v>21</v>
      </c>
    </row>
    <row r="1495" spans="1:5" x14ac:dyDescent="0.25">
      <c r="A1495" s="8" t="str">
        <f t="shared" si="23"/>
        <v>004</v>
      </c>
      <c r="B1495" s="8" t="s">
        <v>69</v>
      </c>
      <c r="C1495" s="12" t="s">
        <v>1484</v>
      </c>
      <c r="D1495" s="8">
        <v>21</v>
      </c>
    </row>
    <row r="1496" spans="1:5" x14ac:dyDescent="0.25">
      <c r="A1496" s="8" t="str">
        <f t="shared" si="23"/>
        <v>005</v>
      </c>
      <c r="B1496" s="8" t="s">
        <v>78</v>
      </c>
      <c r="C1496" s="12" t="s">
        <v>1485</v>
      </c>
      <c r="D1496" s="8">
        <v>21</v>
      </c>
    </row>
    <row r="1497" spans="1:5" x14ac:dyDescent="0.25">
      <c r="A1497" s="8" t="str">
        <f t="shared" si="23"/>
        <v>006</v>
      </c>
      <c r="B1497" s="8" t="s">
        <v>80</v>
      </c>
      <c r="C1497" s="12" t="s">
        <v>1486</v>
      </c>
      <c r="D1497" s="8">
        <v>21</v>
      </c>
    </row>
    <row r="1498" spans="1:5" x14ac:dyDescent="0.25">
      <c r="A1498" s="8" t="str">
        <f t="shared" si="23"/>
        <v>007</v>
      </c>
      <c r="B1498" s="8" t="s">
        <v>71</v>
      </c>
      <c r="C1498" s="12" t="s">
        <v>1487</v>
      </c>
      <c r="D1498" s="8">
        <v>21</v>
      </c>
    </row>
    <row r="1499" spans="1:5" x14ac:dyDescent="0.25">
      <c r="A1499" s="8" t="str">
        <f t="shared" si="23"/>
        <v>008</v>
      </c>
      <c r="B1499" s="8" t="s">
        <v>271</v>
      </c>
      <c r="C1499" s="12" t="s">
        <v>1488</v>
      </c>
      <c r="D1499" s="8">
        <v>21</v>
      </c>
    </row>
    <row r="1500" spans="1:5" x14ac:dyDescent="0.25">
      <c r="A1500" s="8" t="str">
        <f t="shared" si="23"/>
        <v>009</v>
      </c>
      <c r="B1500" s="8" t="s">
        <v>273</v>
      </c>
      <c r="C1500" s="12" t="s">
        <v>1489</v>
      </c>
      <c r="D1500" s="8">
        <v>21</v>
      </c>
    </row>
    <row r="1501" spans="1:5" x14ac:dyDescent="0.25">
      <c r="A1501" s="8" t="str">
        <f t="shared" si="23"/>
        <v>010</v>
      </c>
      <c r="B1501" s="8" t="s">
        <v>61</v>
      </c>
      <c r="C1501" s="12" t="s">
        <v>1490</v>
      </c>
      <c r="D1501" s="8">
        <v>21</v>
      </c>
    </row>
    <row r="1502" spans="1:5" x14ac:dyDescent="0.25">
      <c r="A1502" s="8" t="str">
        <f t="shared" si="23"/>
        <v>011</v>
      </c>
      <c r="B1502" s="8" t="s">
        <v>74</v>
      </c>
      <c r="C1502" s="12" t="s">
        <v>1491</v>
      </c>
      <c r="D1502" s="8">
        <v>21</v>
      </c>
    </row>
    <row r="1503" spans="1:5" x14ac:dyDescent="0.25">
      <c r="A1503" s="8" t="str">
        <f t="shared" si="23"/>
        <v>012</v>
      </c>
      <c r="B1503" s="8" t="s">
        <v>76</v>
      </c>
      <c r="C1503" s="12" t="s">
        <v>1492</v>
      </c>
      <c r="D1503" s="8">
        <v>21</v>
      </c>
    </row>
    <row r="1504" spans="1:5" x14ac:dyDescent="0.25">
      <c r="A1504" s="8" t="str">
        <f t="shared" si="23"/>
        <v>013</v>
      </c>
      <c r="B1504" s="8" t="s">
        <v>278</v>
      </c>
      <c r="C1504" s="12" t="s">
        <v>1493</v>
      </c>
      <c r="D1504" s="8">
        <v>21</v>
      </c>
    </row>
    <row r="1505" spans="1:5" x14ac:dyDescent="0.25">
      <c r="A1505" s="8" t="str">
        <f t="shared" si="23"/>
        <v>014</v>
      </c>
      <c r="B1505" s="8" t="s">
        <v>280</v>
      </c>
      <c r="C1505" s="12" t="s">
        <v>1494</v>
      </c>
      <c r="D1505" s="8">
        <v>21</v>
      </c>
    </row>
    <row r="1506" spans="1:5" x14ac:dyDescent="0.25">
      <c r="A1506" s="8" t="str">
        <f t="shared" si="23"/>
        <v>015</v>
      </c>
      <c r="B1506" s="8" t="s">
        <v>346</v>
      </c>
      <c r="C1506" s="12" t="s">
        <v>1495</v>
      </c>
      <c r="D1506" s="8">
        <v>21</v>
      </c>
    </row>
    <row r="1507" spans="1:5" x14ac:dyDescent="0.25">
      <c r="A1507" s="8" t="str">
        <f t="shared" si="23"/>
        <v>016</v>
      </c>
      <c r="B1507" s="8" t="s">
        <v>82</v>
      </c>
      <c r="C1507" s="12" t="s">
        <v>1496</v>
      </c>
      <c r="D1507" s="8">
        <v>21</v>
      </c>
    </row>
    <row r="1508" spans="1:5" x14ac:dyDescent="0.25">
      <c r="A1508" s="8" t="str">
        <f t="shared" si="23"/>
        <v>001</v>
      </c>
      <c r="B1508" s="8" t="s">
        <v>262</v>
      </c>
      <c r="C1508" s="12" t="s">
        <v>1497</v>
      </c>
      <c r="D1508" s="8">
        <v>22</v>
      </c>
    </row>
    <row r="1509" spans="1:5" x14ac:dyDescent="0.25">
      <c r="A1509" s="8" t="str">
        <f t="shared" si="23"/>
        <v>002</v>
      </c>
      <c r="B1509" s="8" t="s">
        <v>264</v>
      </c>
      <c r="C1509" s="12" t="s">
        <v>1498</v>
      </c>
      <c r="D1509" s="8">
        <v>22</v>
      </c>
    </row>
    <row r="1510" spans="1:5" x14ac:dyDescent="0.25">
      <c r="A1510" s="8" t="str">
        <f t="shared" si="23"/>
        <v>003</v>
      </c>
      <c r="B1510" s="8" t="s">
        <v>67</v>
      </c>
      <c r="C1510" s="12" t="s">
        <v>1499</v>
      </c>
      <c r="D1510" s="8">
        <v>22</v>
      </c>
    </row>
    <row r="1511" spans="1:5" x14ac:dyDescent="0.25">
      <c r="A1511" s="8" t="str">
        <f t="shared" si="23"/>
        <v>004</v>
      </c>
      <c r="B1511" s="8" t="s">
        <v>69</v>
      </c>
      <c r="C1511" s="12" t="s">
        <v>1500</v>
      </c>
      <c r="D1511" s="8">
        <v>22</v>
      </c>
    </row>
    <row r="1512" spans="1:5" x14ac:dyDescent="0.25">
      <c r="A1512" s="8" t="str">
        <f t="shared" si="23"/>
        <v>005</v>
      </c>
      <c r="B1512" s="8" t="s">
        <v>78</v>
      </c>
      <c r="C1512" s="12" t="s">
        <v>1501</v>
      </c>
      <c r="D1512" s="8">
        <v>22</v>
      </c>
    </row>
    <row r="1513" spans="1:5" x14ac:dyDescent="0.25">
      <c r="A1513" s="8" t="str">
        <f t="shared" si="23"/>
        <v>006</v>
      </c>
      <c r="B1513" s="8" t="s">
        <v>80</v>
      </c>
      <c r="C1513" s="12" t="s">
        <v>1502</v>
      </c>
      <c r="D1513" s="8">
        <v>22</v>
      </c>
    </row>
    <row r="1514" spans="1:5" x14ac:dyDescent="0.25">
      <c r="A1514" s="8" t="str">
        <f t="shared" si="23"/>
        <v>007</v>
      </c>
      <c r="B1514" s="8" t="s">
        <v>71</v>
      </c>
      <c r="C1514" s="12" t="s">
        <v>1503</v>
      </c>
      <c r="D1514" s="8">
        <v>22</v>
      </c>
    </row>
    <row r="1515" spans="1:5" x14ac:dyDescent="0.25">
      <c r="A1515" s="8" t="str">
        <f t="shared" si="23"/>
        <v>008</v>
      </c>
      <c r="B1515" s="8" t="s">
        <v>271</v>
      </c>
      <c r="C1515" s="12" t="s">
        <v>1504</v>
      </c>
      <c r="D1515" s="8">
        <v>22</v>
      </c>
    </row>
    <row r="1516" spans="1:5" x14ac:dyDescent="0.25">
      <c r="A1516" s="8" t="str">
        <f t="shared" si="23"/>
        <v>009</v>
      </c>
      <c r="B1516" s="8" t="s">
        <v>273</v>
      </c>
      <c r="C1516" s="12" t="s">
        <v>1505</v>
      </c>
      <c r="D1516" s="8">
        <v>22</v>
      </c>
    </row>
    <row r="1517" spans="1:5" x14ac:dyDescent="0.25">
      <c r="A1517" s="8" t="str">
        <f t="shared" si="23"/>
        <v>010</v>
      </c>
      <c r="B1517" s="8" t="s">
        <v>61</v>
      </c>
      <c r="C1517" s="12" t="s">
        <v>1506</v>
      </c>
      <c r="D1517" s="8">
        <v>22</v>
      </c>
    </row>
    <row r="1518" spans="1:5" x14ac:dyDescent="0.25">
      <c r="A1518" s="8" t="str">
        <f t="shared" si="23"/>
        <v>011</v>
      </c>
      <c r="B1518" s="8" t="s">
        <v>74</v>
      </c>
      <c r="C1518" s="12" t="s">
        <v>1507</v>
      </c>
      <c r="D1518" s="8">
        <v>22</v>
      </c>
    </row>
    <row r="1519" spans="1:5" x14ac:dyDescent="0.25">
      <c r="A1519" s="8" t="str">
        <f t="shared" si="23"/>
        <v>000</v>
      </c>
      <c r="B1519" s="8" t="s">
        <v>65</v>
      </c>
      <c r="C1519" s="12" t="s">
        <v>1508</v>
      </c>
      <c r="D1519" s="8">
        <v>22</v>
      </c>
    </row>
    <row r="1520" spans="1:5" x14ac:dyDescent="0.25">
      <c r="A1520" s="8" t="str">
        <f t="shared" si="23"/>
        <v>001</v>
      </c>
      <c r="B1520" s="8" t="s">
        <v>262</v>
      </c>
      <c r="C1520" s="12" t="s">
        <v>1509</v>
      </c>
      <c r="D1520" s="8">
        <v>22</v>
      </c>
      <c r="E1520" s="8" t="s">
        <v>282</v>
      </c>
    </row>
    <row r="1521" spans="1:5" x14ac:dyDescent="0.25">
      <c r="A1521" s="8" t="str">
        <f t="shared" si="23"/>
        <v>002</v>
      </c>
      <c r="B1521" s="8" t="s">
        <v>264</v>
      </c>
      <c r="C1521" s="12" t="s">
        <v>1510</v>
      </c>
      <c r="D1521" s="8">
        <v>22</v>
      </c>
      <c r="E1521" s="8" t="s">
        <v>282</v>
      </c>
    </row>
    <row r="1522" spans="1:5" x14ac:dyDescent="0.25">
      <c r="A1522" s="8" t="str">
        <f t="shared" si="23"/>
        <v>003</v>
      </c>
      <c r="B1522" s="8" t="s">
        <v>67</v>
      </c>
      <c r="C1522" s="12" t="s">
        <v>1511</v>
      </c>
      <c r="D1522" s="8">
        <v>22</v>
      </c>
      <c r="E1522" s="8" t="s">
        <v>282</v>
      </c>
    </row>
    <row r="1523" spans="1:5" x14ac:dyDescent="0.25">
      <c r="A1523" s="8" t="str">
        <f t="shared" si="23"/>
        <v>004</v>
      </c>
      <c r="B1523" s="8" t="s">
        <v>69</v>
      </c>
      <c r="C1523" s="12" t="s">
        <v>1512</v>
      </c>
      <c r="D1523" s="8">
        <v>22</v>
      </c>
      <c r="E1523" s="8" t="s">
        <v>282</v>
      </c>
    </row>
    <row r="1524" spans="1:5" x14ac:dyDescent="0.25">
      <c r="A1524" s="8" t="str">
        <f t="shared" si="23"/>
        <v>005</v>
      </c>
      <c r="B1524" s="8" t="s">
        <v>78</v>
      </c>
      <c r="C1524" s="12" t="s">
        <v>1513</v>
      </c>
      <c r="D1524" s="8">
        <v>22</v>
      </c>
      <c r="E1524" s="8" t="s">
        <v>282</v>
      </c>
    </row>
    <row r="1525" spans="1:5" x14ac:dyDescent="0.25">
      <c r="A1525" s="8" t="str">
        <f t="shared" si="23"/>
        <v>001</v>
      </c>
      <c r="B1525" s="8" t="s">
        <v>262</v>
      </c>
      <c r="C1525" s="12" t="s">
        <v>1514</v>
      </c>
      <c r="D1525" s="8">
        <v>22</v>
      </c>
      <c r="E1525" s="8" t="s">
        <v>288</v>
      </c>
    </row>
    <row r="1526" spans="1:5" x14ac:dyDescent="0.25">
      <c r="A1526" s="8" t="str">
        <f t="shared" si="23"/>
        <v>000</v>
      </c>
      <c r="B1526" s="8" t="s">
        <v>65</v>
      </c>
      <c r="C1526" s="12" t="s">
        <v>66</v>
      </c>
      <c r="D1526" s="8">
        <v>23</v>
      </c>
    </row>
    <row r="1527" spans="1:5" x14ac:dyDescent="0.25">
      <c r="A1527" s="8" t="str">
        <f t="shared" si="23"/>
        <v>000</v>
      </c>
      <c r="B1527" s="8" t="s">
        <v>65</v>
      </c>
      <c r="C1527" s="12" t="s">
        <v>66</v>
      </c>
      <c r="D1527" s="8">
        <v>24</v>
      </c>
      <c r="E1527" s="8" t="s">
        <v>282</v>
      </c>
    </row>
    <row r="1528" spans="1:5" x14ac:dyDescent="0.25">
      <c r="A1528" s="8" t="str">
        <f t="shared" si="23"/>
        <v>001</v>
      </c>
      <c r="B1528" s="8" t="s">
        <v>262</v>
      </c>
      <c r="C1528" s="12" t="s">
        <v>1515</v>
      </c>
      <c r="D1528" s="8">
        <v>24</v>
      </c>
      <c r="E1528" s="8" t="s">
        <v>282</v>
      </c>
    </row>
    <row r="1529" spans="1:5" x14ac:dyDescent="0.25">
      <c r="A1529" s="8" t="str">
        <f t="shared" si="23"/>
        <v>002</v>
      </c>
      <c r="B1529" s="8" t="s">
        <v>264</v>
      </c>
      <c r="C1529" s="12" t="s">
        <v>1516</v>
      </c>
      <c r="D1529" s="8">
        <v>24</v>
      </c>
      <c r="E1529" s="8" t="s">
        <v>282</v>
      </c>
    </row>
    <row r="1530" spans="1:5" x14ac:dyDescent="0.25">
      <c r="A1530" s="8" t="str">
        <f t="shared" si="23"/>
        <v>003</v>
      </c>
      <c r="B1530" s="8" t="s">
        <v>67</v>
      </c>
      <c r="C1530" s="12" t="s">
        <v>1517</v>
      </c>
      <c r="D1530" s="8">
        <v>24</v>
      </c>
      <c r="E1530" s="8" t="s">
        <v>282</v>
      </c>
    </row>
    <row r="1531" spans="1:5" x14ac:dyDescent="0.25">
      <c r="A1531" s="8" t="str">
        <f t="shared" si="23"/>
        <v>004</v>
      </c>
      <c r="B1531" s="8" t="s">
        <v>69</v>
      </c>
      <c r="C1531" s="12" t="s">
        <v>1518</v>
      </c>
      <c r="D1531" s="8">
        <v>24</v>
      </c>
      <c r="E1531" s="8" t="s">
        <v>282</v>
      </c>
    </row>
    <row r="1532" spans="1:5" x14ac:dyDescent="0.25">
      <c r="A1532" s="8" t="str">
        <f t="shared" si="23"/>
        <v>005</v>
      </c>
      <c r="B1532" s="8" t="s">
        <v>78</v>
      </c>
      <c r="C1532" s="12" t="s">
        <v>1519</v>
      </c>
      <c r="D1532" s="8">
        <v>24</v>
      </c>
      <c r="E1532" s="8" t="s">
        <v>282</v>
      </c>
    </row>
    <row r="1533" spans="1:5" x14ac:dyDescent="0.25">
      <c r="A1533" s="8" t="str">
        <f t="shared" si="23"/>
        <v>006</v>
      </c>
      <c r="B1533" s="8" t="s">
        <v>80</v>
      </c>
      <c r="C1533" s="12" t="s">
        <v>1520</v>
      </c>
      <c r="D1533" s="8">
        <v>24</v>
      </c>
      <c r="E1533" s="8" t="s">
        <v>282</v>
      </c>
    </row>
    <row r="1534" spans="1:5" x14ac:dyDescent="0.25">
      <c r="A1534" s="8" t="str">
        <f t="shared" si="23"/>
        <v>007</v>
      </c>
      <c r="B1534" s="8" t="s">
        <v>71</v>
      </c>
      <c r="C1534" s="12" t="s">
        <v>1521</v>
      </c>
      <c r="D1534" s="8">
        <v>24</v>
      </c>
      <c r="E1534" s="8" t="s">
        <v>282</v>
      </c>
    </row>
    <row r="1535" spans="1:5" x14ac:dyDescent="0.25">
      <c r="A1535" s="8" t="str">
        <f t="shared" si="23"/>
        <v>008</v>
      </c>
      <c r="B1535" s="8" t="s">
        <v>271</v>
      </c>
      <c r="C1535" s="12" t="s">
        <v>1522</v>
      </c>
      <c r="D1535" s="8">
        <v>24</v>
      </c>
      <c r="E1535" s="8" t="s">
        <v>282</v>
      </c>
    </row>
    <row r="1536" spans="1:5" x14ac:dyDescent="0.25">
      <c r="A1536" s="8" t="str">
        <f t="shared" si="23"/>
        <v>009</v>
      </c>
      <c r="B1536" s="8" t="s">
        <v>273</v>
      </c>
      <c r="C1536" s="12" t="s">
        <v>1523</v>
      </c>
      <c r="D1536" s="8">
        <v>24</v>
      </c>
      <c r="E1536" s="8" t="s">
        <v>282</v>
      </c>
    </row>
    <row r="1537" spans="1:5" x14ac:dyDescent="0.25">
      <c r="A1537" s="8" t="str">
        <f t="shared" si="23"/>
        <v>010</v>
      </c>
      <c r="B1537" s="8" t="s">
        <v>61</v>
      </c>
      <c r="C1537" s="12" t="s">
        <v>1524</v>
      </c>
      <c r="D1537" s="8">
        <v>24</v>
      </c>
      <c r="E1537" s="8" t="s">
        <v>282</v>
      </c>
    </row>
    <row r="1538" spans="1:5" x14ac:dyDescent="0.25">
      <c r="A1538" s="8" t="str">
        <f t="shared" si="23"/>
        <v>011</v>
      </c>
      <c r="B1538" s="8" t="s">
        <v>74</v>
      </c>
      <c r="C1538" s="12" t="s">
        <v>1525</v>
      </c>
      <c r="D1538" s="8">
        <v>24</v>
      </c>
      <c r="E1538" s="8" t="s">
        <v>282</v>
      </c>
    </row>
    <row r="1539" spans="1:5" x14ac:dyDescent="0.25">
      <c r="A1539" s="8" t="str">
        <f t="shared" ref="A1539:A1602" si="24">TEXT(B1539,"000")</f>
        <v>012</v>
      </c>
      <c r="B1539" s="8" t="s">
        <v>76</v>
      </c>
      <c r="C1539" s="12" t="s">
        <v>1526</v>
      </c>
      <c r="D1539" s="8">
        <v>24</v>
      </c>
      <c r="E1539" s="8" t="s">
        <v>282</v>
      </c>
    </row>
    <row r="1540" spans="1:5" x14ac:dyDescent="0.25">
      <c r="A1540" s="8" t="str">
        <f t="shared" si="24"/>
        <v>013</v>
      </c>
      <c r="B1540" s="8" t="s">
        <v>278</v>
      </c>
      <c r="C1540" s="12" t="s">
        <v>1527</v>
      </c>
      <c r="D1540" s="8">
        <v>24</v>
      </c>
      <c r="E1540" s="8" t="s">
        <v>282</v>
      </c>
    </row>
    <row r="1541" spans="1:5" x14ac:dyDescent="0.25">
      <c r="A1541" s="8" t="str">
        <f t="shared" si="24"/>
        <v>014</v>
      </c>
      <c r="B1541" s="8" t="s">
        <v>280</v>
      </c>
      <c r="C1541" s="12" t="s">
        <v>1528</v>
      </c>
      <c r="D1541" s="8">
        <v>24</v>
      </c>
      <c r="E1541" s="8" t="s">
        <v>282</v>
      </c>
    </row>
    <row r="1542" spans="1:5" x14ac:dyDescent="0.25">
      <c r="A1542" s="8" t="str">
        <f t="shared" si="24"/>
        <v>015</v>
      </c>
      <c r="B1542" s="8" t="s">
        <v>346</v>
      </c>
      <c r="C1542" s="12" t="s">
        <v>1529</v>
      </c>
      <c r="D1542" s="8">
        <v>24</v>
      </c>
      <c r="E1542" s="8" t="s">
        <v>282</v>
      </c>
    </row>
    <row r="1543" spans="1:5" x14ac:dyDescent="0.25">
      <c r="A1543" s="8" t="str">
        <f t="shared" si="24"/>
        <v>016</v>
      </c>
      <c r="B1543" s="8" t="s">
        <v>82</v>
      </c>
      <c r="C1543" s="12" t="s">
        <v>1530</v>
      </c>
      <c r="D1543" s="8">
        <v>24</v>
      </c>
      <c r="E1543" s="8" t="s">
        <v>282</v>
      </c>
    </row>
    <row r="1544" spans="1:5" x14ac:dyDescent="0.25">
      <c r="A1544" s="8" t="str">
        <f t="shared" si="24"/>
        <v>017</v>
      </c>
      <c r="B1544" s="8" t="s">
        <v>349</v>
      </c>
      <c r="C1544" s="12" t="s">
        <v>1531</v>
      </c>
      <c r="D1544" s="8">
        <v>24</v>
      </c>
      <c r="E1544" s="8" t="s">
        <v>282</v>
      </c>
    </row>
    <row r="1545" spans="1:5" x14ac:dyDescent="0.25">
      <c r="A1545" s="8" t="str">
        <f t="shared" si="24"/>
        <v>018</v>
      </c>
      <c r="B1545" s="8" t="s">
        <v>351</v>
      </c>
      <c r="C1545" s="12" t="s">
        <v>1532</v>
      </c>
      <c r="D1545" s="8">
        <v>24</v>
      </c>
      <c r="E1545" s="8" t="s">
        <v>282</v>
      </c>
    </row>
    <row r="1546" spans="1:5" x14ac:dyDescent="0.25">
      <c r="A1546" s="8" t="str">
        <f t="shared" si="24"/>
        <v>019</v>
      </c>
      <c r="B1546" s="8" t="s">
        <v>353</v>
      </c>
      <c r="C1546" s="12" t="s">
        <v>1533</v>
      </c>
      <c r="D1546" s="8">
        <v>24</v>
      </c>
      <c r="E1546" s="8" t="s">
        <v>282</v>
      </c>
    </row>
    <row r="1547" spans="1:5" x14ac:dyDescent="0.25">
      <c r="A1547" s="8" t="str">
        <f t="shared" si="24"/>
        <v>020</v>
      </c>
      <c r="B1547" s="8" t="s">
        <v>63</v>
      </c>
      <c r="C1547" s="12" t="s">
        <v>1534</v>
      </c>
      <c r="D1547" s="8">
        <v>24</v>
      </c>
      <c r="E1547" s="8" t="s">
        <v>282</v>
      </c>
    </row>
    <row r="1548" spans="1:5" x14ac:dyDescent="0.25">
      <c r="A1548" s="8" t="str">
        <f t="shared" si="24"/>
        <v>021</v>
      </c>
      <c r="B1548" s="8" t="s">
        <v>356</v>
      </c>
      <c r="C1548" s="12" t="s">
        <v>1535</v>
      </c>
      <c r="D1548" s="8">
        <v>24</v>
      </c>
      <c r="E1548" s="8" t="s">
        <v>282</v>
      </c>
    </row>
    <row r="1549" spans="1:5" x14ac:dyDescent="0.25">
      <c r="A1549" s="8" t="str">
        <f t="shared" si="24"/>
        <v>022</v>
      </c>
      <c r="B1549" s="8" t="s">
        <v>358</v>
      </c>
      <c r="C1549" s="12" t="s">
        <v>1536</v>
      </c>
      <c r="D1549" s="8">
        <v>24</v>
      </c>
      <c r="E1549" s="8" t="s">
        <v>282</v>
      </c>
    </row>
    <row r="1550" spans="1:5" x14ac:dyDescent="0.25">
      <c r="A1550" s="8" t="str">
        <f t="shared" si="24"/>
        <v>023</v>
      </c>
      <c r="B1550" s="8" t="s">
        <v>360</v>
      </c>
      <c r="C1550" s="12" t="s">
        <v>1537</v>
      </c>
      <c r="D1550" s="8">
        <v>24</v>
      </c>
      <c r="E1550" s="8" t="s">
        <v>282</v>
      </c>
    </row>
    <row r="1551" spans="1:5" x14ac:dyDescent="0.25">
      <c r="A1551" s="8" t="str">
        <f t="shared" si="24"/>
        <v>024</v>
      </c>
      <c r="B1551" s="8" t="s">
        <v>362</v>
      </c>
      <c r="C1551" s="12" t="s">
        <v>1538</v>
      </c>
      <c r="D1551" s="8">
        <v>24</v>
      </c>
      <c r="E1551" s="8" t="s">
        <v>282</v>
      </c>
    </row>
    <row r="1552" spans="1:5" x14ac:dyDescent="0.25">
      <c r="A1552" s="8" t="str">
        <f t="shared" si="24"/>
        <v>025</v>
      </c>
      <c r="B1552" s="8" t="s">
        <v>84</v>
      </c>
      <c r="C1552" s="12" t="s">
        <v>1539</v>
      </c>
      <c r="D1552" s="8">
        <v>24</v>
      </c>
      <c r="E1552" s="8" t="s">
        <v>282</v>
      </c>
    </row>
    <row r="1553" spans="1:5" x14ac:dyDescent="0.25">
      <c r="A1553" s="8" t="str">
        <f t="shared" si="24"/>
        <v>026</v>
      </c>
      <c r="B1553" s="8" t="s">
        <v>365</v>
      </c>
      <c r="C1553" s="12" t="s">
        <v>1540</v>
      </c>
      <c r="D1553" s="8">
        <v>24</v>
      </c>
      <c r="E1553" s="8" t="s">
        <v>282</v>
      </c>
    </row>
    <row r="1554" spans="1:5" x14ac:dyDescent="0.25">
      <c r="A1554" s="8" t="str">
        <f t="shared" si="24"/>
        <v>027</v>
      </c>
      <c r="B1554" s="8" t="s">
        <v>367</v>
      </c>
      <c r="C1554" s="12" t="s">
        <v>1541</v>
      </c>
      <c r="D1554" s="8">
        <v>24</v>
      </c>
      <c r="E1554" s="8" t="s">
        <v>282</v>
      </c>
    </row>
    <row r="1555" spans="1:5" x14ac:dyDescent="0.25">
      <c r="A1555" s="8" t="str">
        <f t="shared" si="24"/>
        <v>028</v>
      </c>
      <c r="B1555" s="8" t="s">
        <v>369</v>
      </c>
      <c r="C1555" s="12" t="s">
        <v>1542</v>
      </c>
      <c r="D1555" s="8">
        <v>24</v>
      </c>
      <c r="E1555" s="8" t="s">
        <v>282</v>
      </c>
    </row>
    <row r="1556" spans="1:5" x14ac:dyDescent="0.25">
      <c r="A1556" s="8" t="str">
        <f t="shared" si="24"/>
        <v>029</v>
      </c>
      <c r="B1556" s="8" t="s">
        <v>371</v>
      </c>
      <c r="C1556" s="12" t="s">
        <v>1543</v>
      </c>
      <c r="D1556" s="8">
        <v>24</v>
      </c>
      <c r="E1556" s="8" t="s">
        <v>282</v>
      </c>
    </row>
    <row r="1557" spans="1:5" x14ac:dyDescent="0.25">
      <c r="A1557" s="8" t="str">
        <f t="shared" si="24"/>
        <v>030</v>
      </c>
      <c r="B1557" s="8" t="s">
        <v>373</v>
      </c>
      <c r="C1557" s="12" t="s">
        <v>1544</v>
      </c>
      <c r="D1557" s="8">
        <v>24</v>
      </c>
      <c r="E1557" s="8" t="s">
        <v>282</v>
      </c>
    </row>
    <row r="1558" spans="1:5" x14ac:dyDescent="0.25">
      <c r="A1558" s="8" t="str">
        <f t="shared" si="24"/>
        <v>031</v>
      </c>
      <c r="B1558" s="8" t="s">
        <v>375</v>
      </c>
      <c r="C1558" s="12" t="s">
        <v>1545</v>
      </c>
      <c r="D1558" s="8">
        <v>24</v>
      </c>
      <c r="E1558" s="8" t="s">
        <v>282</v>
      </c>
    </row>
    <row r="1559" spans="1:5" x14ac:dyDescent="0.25">
      <c r="A1559" s="8" t="str">
        <f t="shared" si="24"/>
        <v>032</v>
      </c>
      <c r="B1559" s="8" t="s">
        <v>377</v>
      </c>
      <c r="C1559" s="12" t="s">
        <v>1546</v>
      </c>
      <c r="D1559" s="8">
        <v>24</v>
      </c>
      <c r="E1559" s="8" t="s">
        <v>282</v>
      </c>
    </row>
    <row r="1560" spans="1:5" x14ac:dyDescent="0.25">
      <c r="A1560" s="8" t="str">
        <f t="shared" si="24"/>
        <v>033</v>
      </c>
      <c r="B1560" s="8" t="s">
        <v>379</v>
      </c>
      <c r="C1560" s="12" t="s">
        <v>1547</v>
      </c>
      <c r="D1560" s="8">
        <v>24</v>
      </c>
      <c r="E1560" s="8" t="s">
        <v>282</v>
      </c>
    </row>
    <row r="1561" spans="1:5" x14ac:dyDescent="0.25">
      <c r="A1561" s="8" t="str">
        <f t="shared" si="24"/>
        <v>034</v>
      </c>
      <c r="B1561" s="8" t="s">
        <v>381</v>
      </c>
      <c r="C1561" s="12" t="s">
        <v>1548</v>
      </c>
      <c r="D1561" s="8">
        <v>24</v>
      </c>
      <c r="E1561" s="8" t="s">
        <v>282</v>
      </c>
    </row>
    <row r="1562" spans="1:5" x14ac:dyDescent="0.25">
      <c r="A1562" s="8" t="str">
        <f t="shared" si="24"/>
        <v>035</v>
      </c>
      <c r="B1562" s="8" t="s">
        <v>383</v>
      </c>
      <c r="C1562" s="12" t="s">
        <v>1549</v>
      </c>
      <c r="D1562" s="8">
        <v>24</v>
      </c>
      <c r="E1562" s="8" t="s">
        <v>282</v>
      </c>
    </row>
    <row r="1563" spans="1:5" x14ac:dyDescent="0.25">
      <c r="A1563" s="8" t="str">
        <f t="shared" si="24"/>
        <v>036</v>
      </c>
      <c r="B1563" s="8" t="s">
        <v>385</v>
      </c>
      <c r="C1563" s="12" t="s">
        <v>1550</v>
      </c>
      <c r="D1563" s="8">
        <v>24</v>
      </c>
      <c r="E1563" s="8" t="s">
        <v>282</v>
      </c>
    </row>
    <row r="1564" spans="1:5" x14ac:dyDescent="0.25">
      <c r="A1564" s="8" t="str">
        <f t="shared" si="24"/>
        <v>037</v>
      </c>
      <c r="B1564" s="8" t="s">
        <v>387</v>
      </c>
      <c r="C1564" s="12" t="s">
        <v>1551</v>
      </c>
      <c r="D1564" s="8">
        <v>24</v>
      </c>
      <c r="E1564" s="8" t="s">
        <v>282</v>
      </c>
    </row>
    <row r="1565" spans="1:5" x14ac:dyDescent="0.25">
      <c r="A1565" s="8" t="str">
        <f t="shared" si="24"/>
        <v>038</v>
      </c>
      <c r="B1565" s="8" t="s">
        <v>389</v>
      </c>
      <c r="C1565" s="12" t="s">
        <v>1552</v>
      </c>
      <c r="D1565" s="8">
        <v>24</v>
      </c>
      <c r="E1565" s="8" t="s">
        <v>282</v>
      </c>
    </row>
    <row r="1566" spans="1:5" x14ac:dyDescent="0.25">
      <c r="A1566" s="8" t="str">
        <f t="shared" si="24"/>
        <v>039</v>
      </c>
      <c r="B1566" s="8" t="s">
        <v>391</v>
      </c>
      <c r="C1566" s="12" t="s">
        <v>1553</v>
      </c>
      <c r="D1566" s="8">
        <v>24</v>
      </c>
      <c r="E1566" s="8" t="s">
        <v>282</v>
      </c>
    </row>
    <row r="1567" spans="1:5" x14ac:dyDescent="0.25">
      <c r="A1567" s="8" t="str">
        <f t="shared" si="24"/>
        <v>040</v>
      </c>
      <c r="B1567" s="8" t="s">
        <v>86</v>
      </c>
      <c r="C1567" s="12" t="s">
        <v>1554</v>
      </c>
      <c r="D1567" s="8">
        <v>24</v>
      </c>
      <c r="E1567" s="8" t="s">
        <v>282</v>
      </c>
    </row>
    <row r="1568" spans="1:5" x14ac:dyDescent="0.25">
      <c r="A1568" s="8" t="str">
        <f t="shared" si="24"/>
        <v>041</v>
      </c>
      <c r="B1568" s="8" t="s">
        <v>394</v>
      </c>
      <c r="C1568" s="12" t="s">
        <v>1555</v>
      </c>
      <c r="D1568" s="8">
        <v>24</v>
      </c>
      <c r="E1568" s="8" t="s">
        <v>282</v>
      </c>
    </row>
    <row r="1569" spans="1:5" x14ac:dyDescent="0.25">
      <c r="A1569" s="8" t="str">
        <f t="shared" si="24"/>
        <v>042</v>
      </c>
      <c r="B1569" s="8" t="s">
        <v>782</v>
      </c>
      <c r="C1569" s="12" t="s">
        <v>1556</v>
      </c>
      <c r="D1569" s="8">
        <v>24</v>
      </c>
      <c r="E1569" s="8" t="s">
        <v>282</v>
      </c>
    </row>
    <row r="1570" spans="1:5" x14ac:dyDescent="0.25">
      <c r="A1570" s="8" t="str">
        <f t="shared" si="24"/>
        <v>043</v>
      </c>
      <c r="B1570" s="8" t="s">
        <v>784</v>
      </c>
      <c r="C1570" s="12" t="s">
        <v>1557</v>
      </c>
      <c r="D1570" s="8">
        <v>24</v>
      </c>
      <c r="E1570" s="8" t="s">
        <v>282</v>
      </c>
    </row>
    <row r="1571" spans="1:5" x14ac:dyDescent="0.25">
      <c r="A1571" s="8" t="str">
        <f t="shared" si="24"/>
        <v>044</v>
      </c>
      <c r="B1571" s="8" t="s">
        <v>786</v>
      </c>
      <c r="C1571" s="12" t="s">
        <v>1558</v>
      </c>
      <c r="D1571" s="8">
        <v>24</v>
      </c>
      <c r="E1571" s="8" t="s">
        <v>282</v>
      </c>
    </row>
    <row r="1572" spans="1:5" x14ac:dyDescent="0.25">
      <c r="A1572" s="8" t="str">
        <f t="shared" si="24"/>
        <v>045</v>
      </c>
      <c r="B1572" s="8" t="s">
        <v>1086</v>
      </c>
      <c r="C1572" s="12" t="s">
        <v>1559</v>
      </c>
      <c r="D1572" s="8">
        <v>24</v>
      </c>
      <c r="E1572" s="8" t="s">
        <v>282</v>
      </c>
    </row>
    <row r="1573" spans="1:5" x14ac:dyDescent="0.25">
      <c r="A1573" s="8" t="str">
        <f t="shared" si="24"/>
        <v>046</v>
      </c>
      <c r="B1573" s="8" t="s">
        <v>1560</v>
      </c>
      <c r="C1573" s="12" t="s">
        <v>1561</v>
      </c>
      <c r="D1573" s="8">
        <v>24</v>
      </c>
      <c r="E1573" s="8" t="s">
        <v>282</v>
      </c>
    </row>
    <row r="1574" spans="1:5" x14ac:dyDescent="0.25">
      <c r="A1574" s="8" t="str">
        <f t="shared" si="24"/>
        <v>047</v>
      </c>
      <c r="B1574" s="8" t="s">
        <v>1562</v>
      </c>
      <c r="C1574" s="12" t="s">
        <v>1563</v>
      </c>
      <c r="D1574" s="8">
        <v>24</v>
      </c>
      <c r="E1574" s="8" t="s">
        <v>282</v>
      </c>
    </row>
    <row r="1575" spans="1:5" x14ac:dyDescent="0.25">
      <c r="A1575" s="8" t="str">
        <f t="shared" si="24"/>
        <v>048</v>
      </c>
      <c r="B1575" s="8" t="s">
        <v>1564</v>
      </c>
      <c r="C1575" s="12" t="s">
        <v>1565</v>
      </c>
      <c r="D1575" s="8">
        <v>24</v>
      </c>
      <c r="E1575" s="8" t="s">
        <v>282</v>
      </c>
    </row>
    <row r="1576" spans="1:5" x14ac:dyDescent="0.25">
      <c r="A1576" s="8" t="str">
        <f t="shared" si="24"/>
        <v>049</v>
      </c>
      <c r="B1576" s="8" t="s">
        <v>1566</v>
      </c>
      <c r="C1576" s="12" t="s">
        <v>1567</v>
      </c>
      <c r="D1576" s="8">
        <v>24</v>
      </c>
      <c r="E1576" s="8" t="s">
        <v>282</v>
      </c>
    </row>
    <row r="1577" spans="1:5" x14ac:dyDescent="0.25">
      <c r="A1577" s="8" t="str">
        <f t="shared" si="24"/>
        <v>050</v>
      </c>
      <c r="B1577" s="8" t="s">
        <v>304</v>
      </c>
      <c r="C1577" s="12" t="s">
        <v>1568</v>
      </c>
      <c r="D1577" s="8">
        <v>24</v>
      </c>
      <c r="E1577" s="8" t="s">
        <v>282</v>
      </c>
    </row>
    <row r="1578" spans="1:5" x14ac:dyDescent="0.25">
      <c r="A1578" s="8" t="str">
        <f t="shared" si="24"/>
        <v>051</v>
      </c>
      <c r="B1578" s="8" t="s">
        <v>397</v>
      </c>
      <c r="C1578" s="12" t="s">
        <v>1569</v>
      </c>
      <c r="D1578" s="8">
        <v>24</v>
      </c>
      <c r="E1578" s="8" t="s">
        <v>282</v>
      </c>
    </row>
    <row r="1579" spans="1:5" x14ac:dyDescent="0.25">
      <c r="A1579" s="8" t="str">
        <f t="shared" si="24"/>
        <v>052</v>
      </c>
      <c r="B1579" s="8" t="s">
        <v>399</v>
      </c>
      <c r="C1579" s="12" t="s">
        <v>1570</v>
      </c>
      <c r="D1579" s="8">
        <v>24</v>
      </c>
      <c r="E1579" s="8" t="s">
        <v>282</v>
      </c>
    </row>
    <row r="1580" spans="1:5" x14ac:dyDescent="0.25">
      <c r="A1580" s="8" t="str">
        <f t="shared" si="24"/>
        <v>053</v>
      </c>
      <c r="B1580" s="8" t="s">
        <v>401</v>
      </c>
      <c r="C1580" s="12" t="s">
        <v>1571</v>
      </c>
      <c r="D1580" s="8">
        <v>24</v>
      </c>
      <c r="E1580" s="8" t="s">
        <v>282</v>
      </c>
    </row>
    <row r="1581" spans="1:5" x14ac:dyDescent="0.25">
      <c r="A1581" s="8" t="str">
        <f t="shared" si="24"/>
        <v>054</v>
      </c>
      <c r="B1581" s="8" t="s">
        <v>403</v>
      </c>
      <c r="C1581" s="12" t="s">
        <v>1572</v>
      </c>
      <c r="D1581" s="8">
        <v>24</v>
      </c>
      <c r="E1581" s="8" t="s">
        <v>282</v>
      </c>
    </row>
    <row r="1582" spans="1:5" x14ac:dyDescent="0.25">
      <c r="A1582" s="8" t="str">
        <f t="shared" si="24"/>
        <v>055</v>
      </c>
      <c r="B1582" s="8" t="s">
        <v>405</v>
      </c>
      <c r="C1582" s="12" t="s">
        <v>1573</v>
      </c>
      <c r="D1582" s="8">
        <v>24</v>
      </c>
      <c r="E1582" s="8" t="s">
        <v>282</v>
      </c>
    </row>
    <row r="1583" spans="1:5" x14ac:dyDescent="0.25">
      <c r="A1583" s="8" t="str">
        <f t="shared" si="24"/>
        <v>056</v>
      </c>
      <c r="B1583" s="8" t="s">
        <v>407</v>
      </c>
      <c r="C1583" s="12" t="s">
        <v>1574</v>
      </c>
      <c r="D1583" s="8">
        <v>24</v>
      </c>
      <c r="E1583" s="8" t="s">
        <v>282</v>
      </c>
    </row>
    <row r="1584" spans="1:5" x14ac:dyDescent="0.25">
      <c r="A1584" s="8" t="str">
        <f t="shared" si="24"/>
        <v>057</v>
      </c>
      <c r="B1584" s="8" t="s">
        <v>409</v>
      </c>
      <c r="C1584" s="12" t="s">
        <v>1575</v>
      </c>
      <c r="D1584" s="8">
        <v>24</v>
      </c>
      <c r="E1584" s="8" t="s">
        <v>282</v>
      </c>
    </row>
    <row r="1585" spans="1:5" x14ac:dyDescent="0.25">
      <c r="A1585" s="8" t="str">
        <f t="shared" si="24"/>
        <v>058</v>
      </c>
      <c r="B1585" s="8" t="s">
        <v>411</v>
      </c>
      <c r="C1585" s="12" t="s">
        <v>1576</v>
      </c>
      <c r="D1585" s="8">
        <v>24</v>
      </c>
      <c r="E1585" s="8" t="s">
        <v>282</v>
      </c>
    </row>
    <row r="1586" spans="1:5" x14ac:dyDescent="0.25">
      <c r="A1586" s="8" t="str">
        <f t="shared" si="24"/>
        <v>059</v>
      </c>
      <c r="B1586" s="8" t="s">
        <v>413</v>
      </c>
      <c r="C1586" s="12" t="s">
        <v>1577</v>
      </c>
      <c r="D1586" s="8">
        <v>24</v>
      </c>
      <c r="E1586" s="8" t="s">
        <v>282</v>
      </c>
    </row>
    <row r="1587" spans="1:5" x14ac:dyDescent="0.25">
      <c r="A1587" s="8" t="str">
        <f t="shared" si="24"/>
        <v>060</v>
      </c>
      <c r="B1587" s="8" t="s">
        <v>88</v>
      </c>
      <c r="C1587" s="12" t="s">
        <v>1578</v>
      </c>
      <c r="D1587" s="8">
        <v>24</v>
      </c>
      <c r="E1587" s="8" t="s">
        <v>282</v>
      </c>
    </row>
    <row r="1588" spans="1:5" x14ac:dyDescent="0.25">
      <c r="A1588" s="8" t="str">
        <f t="shared" si="24"/>
        <v>061</v>
      </c>
      <c r="B1588" s="8" t="s">
        <v>1579</v>
      </c>
      <c r="C1588" s="12" t="s">
        <v>1580</v>
      </c>
      <c r="D1588" s="8">
        <v>24</v>
      </c>
      <c r="E1588" s="8" t="s">
        <v>282</v>
      </c>
    </row>
    <row r="1589" spans="1:5" x14ac:dyDescent="0.25">
      <c r="A1589" s="8" t="str">
        <f t="shared" si="24"/>
        <v>062</v>
      </c>
      <c r="B1589" s="8" t="s">
        <v>1581</v>
      </c>
      <c r="C1589" s="12" t="s">
        <v>1582</v>
      </c>
      <c r="D1589" s="8">
        <v>24</v>
      </c>
      <c r="E1589" s="8" t="s">
        <v>282</v>
      </c>
    </row>
    <row r="1590" spans="1:5" x14ac:dyDescent="0.25">
      <c r="A1590" s="8" t="str">
        <f t="shared" si="24"/>
        <v>063</v>
      </c>
      <c r="B1590" s="8" t="s">
        <v>1583</v>
      </c>
      <c r="C1590" s="12" t="s">
        <v>1584</v>
      </c>
      <c r="D1590" s="8">
        <v>24</v>
      </c>
      <c r="E1590" s="8" t="s">
        <v>282</v>
      </c>
    </row>
    <row r="1591" spans="1:5" x14ac:dyDescent="0.25">
      <c r="A1591" s="8" t="str">
        <f t="shared" si="24"/>
        <v>064</v>
      </c>
      <c r="B1591" s="8" t="s">
        <v>1585</v>
      </c>
      <c r="C1591" s="12" t="s">
        <v>1586</v>
      </c>
      <c r="D1591" s="8">
        <v>24</v>
      </c>
      <c r="E1591" s="8" t="s">
        <v>282</v>
      </c>
    </row>
    <row r="1592" spans="1:5" x14ac:dyDescent="0.25">
      <c r="A1592" s="8" t="str">
        <f t="shared" si="24"/>
        <v>065</v>
      </c>
      <c r="B1592" s="8" t="s">
        <v>1587</v>
      </c>
      <c r="C1592" s="12" t="s">
        <v>1588</v>
      </c>
      <c r="D1592" s="8">
        <v>24</v>
      </c>
      <c r="E1592" s="8" t="s">
        <v>282</v>
      </c>
    </row>
    <row r="1593" spans="1:5" x14ac:dyDescent="0.25">
      <c r="A1593" s="8" t="str">
        <f t="shared" si="24"/>
        <v>066</v>
      </c>
      <c r="B1593" s="8" t="s">
        <v>1589</v>
      </c>
      <c r="C1593" s="12" t="s">
        <v>1590</v>
      </c>
      <c r="D1593" s="8">
        <v>24</v>
      </c>
      <c r="E1593" s="8" t="s">
        <v>282</v>
      </c>
    </row>
    <row r="1594" spans="1:5" x14ac:dyDescent="0.25">
      <c r="A1594" s="8" t="str">
        <f t="shared" si="24"/>
        <v>067</v>
      </c>
      <c r="B1594" s="8" t="s">
        <v>1591</v>
      </c>
      <c r="C1594" s="12" t="s">
        <v>1592</v>
      </c>
      <c r="D1594" s="8">
        <v>24</v>
      </c>
      <c r="E1594" s="8" t="s">
        <v>282</v>
      </c>
    </row>
    <row r="1595" spans="1:5" x14ac:dyDescent="0.25">
      <c r="A1595" s="8" t="str">
        <f t="shared" si="24"/>
        <v>068</v>
      </c>
      <c r="B1595" s="8" t="s">
        <v>1593</v>
      </c>
      <c r="C1595" s="12" t="s">
        <v>1594</v>
      </c>
      <c r="D1595" s="8">
        <v>24</v>
      </c>
      <c r="E1595" s="8" t="s">
        <v>282</v>
      </c>
    </row>
    <row r="1596" spans="1:5" x14ac:dyDescent="0.25">
      <c r="A1596" s="8" t="str">
        <f t="shared" si="24"/>
        <v>069</v>
      </c>
      <c r="B1596" s="8" t="s">
        <v>1595</v>
      </c>
      <c r="C1596" s="12" t="s">
        <v>1596</v>
      </c>
      <c r="D1596" s="8">
        <v>24</v>
      </c>
      <c r="E1596" s="8" t="s">
        <v>282</v>
      </c>
    </row>
    <row r="1597" spans="1:5" x14ac:dyDescent="0.25">
      <c r="A1597" s="8" t="str">
        <f t="shared" si="24"/>
        <v>070</v>
      </c>
      <c r="B1597" s="8" t="s">
        <v>260</v>
      </c>
      <c r="C1597" s="12" t="s">
        <v>1597</v>
      </c>
      <c r="D1597" s="8">
        <v>24</v>
      </c>
      <c r="E1597" s="8" t="s">
        <v>282</v>
      </c>
    </row>
    <row r="1598" spans="1:5" x14ac:dyDescent="0.25">
      <c r="A1598" s="8" t="str">
        <f t="shared" si="24"/>
        <v>071</v>
      </c>
      <c r="B1598" s="8" t="s">
        <v>1598</v>
      </c>
      <c r="C1598" s="12" t="s">
        <v>1599</v>
      </c>
      <c r="D1598" s="8">
        <v>24</v>
      </c>
      <c r="E1598" s="8" t="s">
        <v>282</v>
      </c>
    </row>
    <row r="1599" spans="1:5" x14ac:dyDescent="0.25">
      <c r="A1599" s="8" t="str">
        <f t="shared" si="24"/>
        <v>072</v>
      </c>
      <c r="B1599" s="8" t="s">
        <v>1600</v>
      </c>
      <c r="C1599" s="12" t="s">
        <v>1601</v>
      </c>
      <c r="D1599" s="8">
        <v>24</v>
      </c>
      <c r="E1599" s="8" t="s">
        <v>282</v>
      </c>
    </row>
    <row r="1600" spans="1:5" x14ac:dyDescent="0.25">
      <c r="A1600" s="8" t="str">
        <f t="shared" si="24"/>
        <v>073</v>
      </c>
      <c r="B1600" s="8" t="s">
        <v>1602</v>
      </c>
      <c r="C1600" s="12" t="s">
        <v>1603</v>
      </c>
      <c r="D1600" s="8">
        <v>24</v>
      </c>
      <c r="E1600" s="8" t="s">
        <v>282</v>
      </c>
    </row>
    <row r="1601" spans="1:5" x14ac:dyDescent="0.25">
      <c r="A1601" s="8" t="str">
        <f t="shared" si="24"/>
        <v>074</v>
      </c>
      <c r="B1601" s="8" t="s">
        <v>1604</v>
      </c>
      <c r="C1601" s="12" t="s">
        <v>1605</v>
      </c>
      <c r="D1601" s="8">
        <v>24</v>
      </c>
      <c r="E1601" s="8" t="s">
        <v>282</v>
      </c>
    </row>
    <row r="1602" spans="1:5" x14ac:dyDescent="0.25">
      <c r="A1602" s="8" t="str">
        <f t="shared" si="24"/>
        <v>075</v>
      </c>
      <c r="B1602" s="8" t="s">
        <v>1606</v>
      </c>
      <c r="C1602" s="12" t="s">
        <v>1607</v>
      </c>
      <c r="D1602" s="8">
        <v>24</v>
      </c>
      <c r="E1602" s="8" t="s">
        <v>282</v>
      </c>
    </row>
    <row r="1603" spans="1:5" x14ac:dyDescent="0.25">
      <c r="A1603" s="8" t="str">
        <f t="shared" ref="A1603:A1666" si="25">TEXT(B1603,"000")</f>
        <v>076</v>
      </c>
      <c r="B1603" s="8" t="s">
        <v>1608</v>
      </c>
      <c r="C1603" s="12" t="s">
        <v>1609</v>
      </c>
      <c r="D1603" s="8">
        <v>24</v>
      </c>
      <c r="E1603" s="8" t="s">
        <v>282</v>
      </c>
    </row>
    <row r="1604" spans="1:5" x14ac:dyDescent="0.25">
      <c r="A1604" s="8" t="str">
        <f t="shared" si="25"/>
        <v>077</v>
      </c>
      <c r="B1604" s="8" t="s">
        <v>1610</v>
      </c>
      <c r="C1604" s="12" t="s">
        <v>1611</v>
      </c>
      <c r="D1604" s="8">
        <v>24</v>
      </c>
      <c r="E1604" s="8" t="s">
        <v>282</v>
      </c>
    </row>
    <row r="1605" spans="1:5" x14ac:dyDescent="0.25">
      <c r="A1605" s="8" t="str">
        <f t="shared" si="25"/>
        <v>078</v>
      </c>
      <c r="B1605" s="8" t="s">
        <v>1612</v>
      </c>
      <c r="C1605" s="12" t="s">
        <v>1613</v>
      </c>
      <c r="D1605" s="8">
        <v>24</v>
      </c>
      <c r="E1605" s="8" t="s">
        <v>282</v>
      </c>
    </row>
    <row r="1606" spans="1:5" x14ac:dyDescent="0.25">
      <c r="A1606" s="8" t="str">
        <f t="shared" si="25"/>
        <v>079</v>
      </c>
      <c r="B1606" s="8" t="s">
        <v>1614</v>
      </c>
      <c r="C1606" s="12" t="s">
        <v>1615</v>
      </c>
      <c r="D1606" s="8">
        <v>24</v>
      </c>
      <c r="E1606" s="8" t="s">
        <v>282</v>
      </c>
    </row>
    <row r="1607" spans="1:5" x14ac:dyDescent="0.25">
      <c r="A1607" s="8" t="str">
        <f t="shared" si="25"/>
        <v>080</v>
      </c>
      <c r="B1607" s="8" t="s">
        <v>1616</v>
      </c>
      <c r="C1607" s="12" t="s">
        <v>1617</v>
      </c>
      <c r="D1607" s="8">
        <v>24</v>
      </c>
      <c r="E1607" s="8" t="s">
        <v>282</v>
      </c>
    </row>
    <row r="1608" spans="1:5" x14ac:dyDescent="0.25">
      <c r="A1608" s="8" t="str">
        <f t="shared" si="25"/>
        <v>081</v>
      </c>
      <c r="B1608" s="8" t="s">
        <v>1618</v>
      </c>
      <c r="C1608" s="12" t="s">
        <v>1619</v>
      </c>
      <c r="D1608" s="8">
        <v>24</v>
      </c>
      <c r="E1608" s="8" t="s">
        <v>282</v>
      </c>
    </row>
    <row r="1609" spans="1:5" x14ac:dyDescent="0.25">
      <c r="A1609" s="8" t="str">
        <f t="shared" si="25"/>
        <v>082</v>
      </c>
      <c r="B1609" s="8" t="s">
        <v>1620</v>
      </c>
      <c r="C1609" s="12" t="s">
        <v>1621</v>
      </c>
      <c r="D1609" s="8">
        <v>24</v>
      </c>
      <c r="E1609" s="8" t="s">
        <v>282</v>
      </c>
    </row>
    <row r="1610" spans="1:5" x14ac:dyDescent="0.25">
      <c r="A1610" s="8" t="str">
        <f t="shared" si="25"/>
        <v>083</v>
      </c>
      <c r="B1610" s="8" t="s">
        <v>1622</v>
      </c>
      <c r="C1610" s="12" t="s">
        <v>1623</v>
      </c>
      <c r="D1610" s="8">
        <v>24</v>
      </c>
      <c r="E1610" s="8" t="s">
        <v>282</v>
      </c>
    </row>
    <row r="1611" spans="1:5" x14ac:dyDescent="0.25">
      <c r="A1611" s="8" t="str">
        <f t="shared" si="25"/>
        <v>084</v>
      </c>
      <c r="B1611" s="8" t="s">
        <v>1624</v>
      </c>
      <c r="C1611" s="12" t="s">
        <v>1625</v>
      </c>
      <c r="D1611" s="8">
        <v>24</v>
      </c>
      <c r="E1611" s="8" t="s">
        <v>282</v>
      </c>
    </row>
    <row r="1612" spans="1:5" x14ac:dyDescent="0.25">
      <c r="A1612" s="8" t="str">
        <f t="shared" si="25"/>
        <v>085</v>
      </c>
      <c r="B1612" s="8" t="s">
        <v>1626</v>
      </c>
      <c r="C1612" s="12" t="s">
        <v>1627</v>
      </c>
      <c r="D1612" s="8">
        <v>24</v>
      </c>
      <c r="E1612" s="8" t="s">
        <v>282</v>
      </c>
    </row>
    <row r="1613" spans="1:5" x14ac:dyDescent="0.25">
      <c r="A1613" s="8" t="str">
        <f t="shared" si="25"/>
        <v>086</v>
      </c>
      <c r="B1613" s="8" t="s">
        <v>1628</v>
      </c>
      <c r="C1613" s="12" t="s">
        <v>1629</v>
      </c>
      <c r="D1613" s="8">
        <v>24</v>
      </c>
      <c r="E1613" s="8" t="s">
        <v>282</v>
      </c>
    </row>
    <row r="1614" spans="1:5" x14ac:dyDescent="0.25">
      <c r="A1614" s="8" t="str">
        <f t="shared" si="25"/>
        <v>087</v>
      </c>
      <c r="B1614" s="8" t="s">
        <v>1630</v>
      </c>
      <c r="C1614" s="12" t="s">
        <v>1631</v>
      </c>
      <c r="D1614" s="8">
        <v>24</v>
      </c>
      <c r="E1614" s="8" t="s">
        <v>282</v>
      </c>
    </row>
    <row r="1615" spans="1:5" x14ac:dyDescent="0.25">
      <c r="A1615" s="8" t="str">
        <f t="shared" si="25"/>
        <v>088</v>
      </c>
      <c r="B1615" s="8" t="s">
        <v>1632</v>
      </c>
      <c r="C1615" s="12" t="s">
        <v>1633</v>
      </c>
      <c r="D1615" s="8">
        <v>24</v>
      </c>
      <c r="E1615" s="8" t="s">
        <v>282</v>
      </c>
    </row>
    <row r="1616" spans="1:5" x14ac:dyDescent="0.25">
      <c r="A1616" s="8" t="str">
        <f t="shared" si="25"/>
        <v>089</v>
      </c>
      <c r="B1616" s="8" t="s">
        <v>1634</v>
      </c>
      <c r="C1616" s="12" t="s">
        <v>1635</v>
      </c>
      <c r="D1616" s="8">
        <v>24</v>
      </c>
      <c r="E1616" s="8" t="s">
        <v>282</v>
      </c>
    </row>
    <row r="1617" spans="1:5" x14ac:dyDescent="0.25">
      <c r="A1617" s="8" t="str">
        <f t="shared" si="25"/>
        <v>090</v>
      </c>
      <c r="B1617" s="8" t="s">
        <v>1636</v>
      </c>
      <c r="C1617" s="12" t="s">
        <v>1637</v>
      </c>
      <c r="D1617" s="8">
        <v>24</v>
      </c>
      <c r="E1617" s="8" t="s">
        <v>282</v>
      </c>
    </row>
    <row r="1618" spans="1:5" x14ac:dyDescent="0.25">
      <c r="A1618" s="8" t="str">
        <f t="shared" si="25"/>
        <v>091</v>
      </c>
      <c r="B1618" s="8" t="s">
        <v>1638</v>
      </c>
      <c r="C1618" s="12" t="s">
        <v>1639</v>
      </c>
      <c r="D1618" s="8">
        <v>24</v>
      </c>
      <c r="E1618" s="8" t="s">
        <v>282</v>
      </c>
    </row>
    <row r="1619" spans="1:5" x14ac:dyDescent="0.25">
      <c r="A1619" s="8" t="str">
        <f t="shared" si="25"/>
        <v>092</v>
      </c>
      <c r="B1619" s="8" t="s">
        <v>1640</v>
      </c>
      <c r="C1619" s="12" t="s">
        <v>1641</v>
      </c>
      <c r="D1619" s="8">
        <v>24</v>
      </c>
      <c r="E1619" s="8" t="s">
        <v>282</v>
      </c>
    </row>
    <row r="1620" spans="1:5" x14ac:dyDescent="0.25">
      <c r="A1620" s="8" t="str">
        <f t="shared" si="25"/>
        <v>093</v>
      </c>
      <c r="B1620" s="8" t="s">
        <v>1642</v>
      </c>
      <c r="C1620" s="12" t="s">
        <v>1643</v>
      </c>
      <c r="D1620" s="8">
        <v>24</v>
      </c>
      <c r="E1620" s="8" t="s">
        <v>282</v>
      </c>
    </row>
    <row r="1621" spans="1:5" x14ac:dyDescent="0.25">
      <c r="A1621" s="8" t="str">
        <f t="shared" si="25"/>
        <v>094</v>
      </c>
      <c r="B1621" s="8" t="s">
        <v>1644</v>
      </c>
      <c r="C1621" s="12" t="s">
        <v>1639</v>
      </c>
      <c r="D1621" s="8">
        <v>24</v>
      </c>
      <c r="E1621" s="8" t="s">
        <v>282</v>
      </c>
    </row>
    <row r="1622" spans="1:5" x14ac:dyDescent="0.25">
      <c r="A1622" s="8" t="str">
        <f t="shared" si="25"/>
        <v>095</v>
      </c>
      <c r="B1622" s="8" t="s">
        <v>1645</v>
      </c>
      <c r="C1622" s="12" t="s">
        <v>1646</v>
      </c>
      <c r="D1622" s="8">
        <v>24</v>
      </c>
      <c r="E1622" s="8" t="s">
        <v>282</v>
      </c>
    </row>
    <row r="1623" spans="1:5" x14ac:dyDescent="0.25">
      <c r="A1623" s="8" t="str">
        <f t="shared" si="25"/>
        <v>096</v>
      </c>
      <c r="B1623" s="8" t="s">
        <v>1647</v>
      </c>
      <c r="C1623" s="12" t="s">
        <v>1648</v>
      </c>
      <c r="D1623" s="8">
        <v>24</v>
      </c>
      <c r="E1623" s="8" t="s">
        <v>282</v>
      </c>
    </row>
    <row r="1624" spans="1:5" ht="120" x14ac:dyDescent="0.25">
      <c r="A1624" s="8" t="str">
        <f t="shared" si="25"/>
        <v>097</v>
      </c>
      <c r="B1624" s="8" t="s">
        <v>1649</v>
      </c>
      <c r="C1624" s="13" t="s">
        <v>1650</v>
      </c>
      <c r="D1624" s="8">
        <v>24</v>
      </c>
      <c r="E1624" s="8" t="s">
        <v>282</v>
      </c>
    </row>
    <row r="1625" spans="1:5" x14ac:dyDescent="0.25">
      <c r="A1625" s="8" t="str">
        <f t="shared" si="25"/>
        <v>098</v>
      </c>
      <c r="B1625" s="8" t="s">
        <v>1651</v>
      </c>
      <c r="C1625" s="12" t="s">
        <v>1652</v>
      </c>
      <c r="D1625" s="8">
        <v>24</v>
      </c>
      <c r="E1625" s="8" t="s">
        <v>282</v>
      </c>
    </row>
    <row r="1626" spans="1:5" x14ac:dyDescent="0.25">
      <c r="A1626" s="8" t="str">
        <f t="shared" si="25"/>
        <v>099</v>
      </c>
      <c r="B1626" s="8" t="s">
        <v>1653</v>
      </c>
      <c r="C1626" s="12" t="s">
        <v>1654</v>
      </c>
      <c r="D1626" s="8">
        <v>24</v>
      </c>
      <c r="E1626" s="8" t="s">
        <v>282</v>
      </c>
    </row>
    <row r="1627" spans="1:5" x14ac:dyDescent="0.25">
      <c r="A1627" s="8" t="str">
        <f t="shared" si="25"/>
        <v>100</v>
      </c>
      <c r="B1627" s="8" t="s">
        <v>90</v>
      </c>
      <c r="C1627" s="12" t="s">
        <v>1655</v>
      </c>
      <c r="D1627" s="8">
        <v>24</v>
      </c>
      <c r="E1627" s="8" t="s">
        <v>282</v>
      </c>
    </row>
    <row r="1628" spans="1:5" x14ac:dyDescent="0.25">
      <c r="A1628" s="8" t="str">
        <f t="shared" si="25"/>
        <v>101</v>
      </c>
      <c r="B1628" s="8" t="s">
        <v>95</v>
      </c>
      <c r="C1628" s="12" t="s">
        <v>1656</v>
      </c>
      <c r="D1628" s="8">
        <v>24</v>
      </c>
      <c r="E1628" s="8" t="s">
        <v>282</v>
      </c>
    </row>
    <row r="1629" spans="1:5" x14ac:dyDescent="0.25">
      <c r="A1629" s="8" t="str">
        <f t="shared" si="25"/>
        <v>102</v>
      </c>
      <c r="B1629" s="8" t="s">
        <v>97</v>
      </c>
      <c r="C1629" s="12" t="s">
        <v>1657</v>
      </c>
      <c r="D1629" s="8">
        <v>24</v>
      </c>
      <c r="E1629" s="8" t="s">
        <v>282</v>
      </c>
    </row>
    <row r="1630" spans="1:5" x14ac:dyDescent="0.25">
      <c r="A1630" s="8" t="str">
        <f t="shared" si="25"/>
        <v>103</v>
      </c>
      <c r="B1630" s="8" t="s">
        <v>99</v>
      </c>
      <c r="C1630" s="12" t="s">
        <v>1658</v>
      </c>
      <c r="D1630" s="8">
        <v>24</v>
      </c>
      <c r="E1630" s="8" t="s">
        <v>282</v>
      </c>
    </row>
    <row r="1631" spans="1:5" x14ac:dyDescent="0.25">
      <c r="A1631" s="8" t="str">
        <f t="shared" si="25"/>
        <v>104</v>
      </c>
      <c r="B1631" s="8" t="s">
        <v>124</v>
      </c>
      <c r="C1631" s="12" t="s">
        <v>1659</v>
      </c>
      <c r="D1631" s="8">
        <v>24</v>
      </c>
      <c r="E1631" s="8" t="s">
        <v>282</v>
      </c>
    </row>
    <row r="1632" spans="1:5" x14ac:dyDescent="0.25">
      <c r="A1632" s="8" t="str">
        <f t="shared" si="25"/>
        <v>105</v>
      </c>
      <c r="B1632" s="8" t="s">
        <v>101</v>
      </c>
      <c r="C1632" s="12" t="s">
        <v>1660</v>
      </c>
      <c r="D1632" s="8">
        <v>24</v>
      </c>
      <c r="E1632" s="8" t="s">
        <v>282</v>
      </c>
    </row>
    <row r="1633" spans="1:5" x14ac:dyDescent="0.25">
      <c r="A1633" s="8" t="str">
        <f t="shared" si="25"/>
        <v>106</v>
      </c>
      <c r="B1633" s="8" t="s">
        <v>127</v>
      </c>
      <c r="C1633" s="12" t="s">
        <v>1661</v>
      </c>
      <c r="D1633" s="8">
        <v>24</v>
      </c>
      <c r="E1633" s="8" t="s">
        <v>282</v>
      </c>
    </row>
    <row r="1634" spans="1:5" x14ac:dyDescent="0.25">
      <c r="A1634" s="8" t="str">
        <f t="shared" si="25"/>
        <v>107</v>
      </c>
      <c r="B1634" s="8" t="s">
        <v>129</v>
      </c>
      <c r="C1634" s="12" t="s">
        <v>1662</v>
      </c>
      <c r="D1634" s="8">
        <v>24</v>
      </c>
      <c r="E1634" s="8" t="s">
        <v>282</v>
      </c>
    </row>
    <row r="1635" spans="1:5" x14ac:dyDescent="0.25">
      <c r="A1635" s="8" t="str">
        <f t="shared" si="25"/>
        <v>108</v>
      </c>
      <c r="B1635" s="8" t="s">
        <v>131</v>
      </c>
      <c r="C1635" s="12" t="s">
        <v>1663</v>
      </c>
      <c r="D1635" s="8">
        <v>24</v>
      </c>
      <c r="E1635" s="8" t="s">
        <v>282</v>
      </c>
    </row>
    <row r="1636" spans="1:5" x14ac:dyDescent="0.25">
      <c r="A1636" s="8" t="str">
        <f t="shared" si="25"/>
        <v>109</v>
      </c>
      <c r="B1636" s="8" t="s">
        <v>133</v>
      </c>
      <c r="C1636" s="12" t="s">
        <v>1664</v>
      </c>
      <c r="D1636" s="8">
        <v>24</v>
      </c>
      <c r="E1636" s="8" t="s">
        <v>282</v>
      </c>
    </row>
    <row r="1637" spans="1:5" x14ac:dyDescent="0.25">
      <c r="A1637" s="8" t="str">
        <f t="shared" si="25"/>
        <v>110</v>
      </c>
      <c r="B1637" s="8" t="s">
        <v>134</v>
      </c>
      <c r="C1637" s="12" t="s">
        <v>1665</v>
      </c>
      <c r="D1637" s="8">
        <v>24</v>
      </c>
      <c r="E1637" s="8" t="s">
        <v>282</v>
      </c>
    </row>
    <row r="1638" spans="1:5" x14ac:dyDescent="0.25">
      <c r="A1638" s="8" t="str">
        <f t="shared" si="25"/>
        <v>111</v>
      </c>
      <c r="B1638" s="8" t="s">
        <v>136</v>
      </c>
      <c r="C1638" s="12" t="s">
        <v>1666</v>
      </c>
      <c r="D1638" s="8">
        <v>24</v>
      </c>
      <c r="E1638" s="8" t="s">
        <v>282</v>
      </c>
    </row>
    <row r="1639" spans="1:5" x14ac:dyDescent="0.25">
      <c r="A1639" s="8" t="str">
        <f t="shared" si="25"/>
        <v>112</v>
      </c>
      <c r="B1639" s="8" t="s">
        <v>949</v>
      </c>
      <c r="C1639" s="12" t="s">
        <v>1667</v>
      </c>
      <c r="D1639" s="8">
        <v>24</v>
      </c>
      <c r="E1639" s="8" t="s">
        <v>282</v>
      </c>
    </row>
    <row r="1640" spans="1:5" x14ac:dyDescent="0.25">
      <c r="A1640" s="8" t="str">
        <f t="shared" si="25"/>
        <v>113</v>
      </c>
      <c r="B1640" s="8" t="s">
        <v>951</v>
      </c>
      <c r="C1640" s="12" t="s">
        <v>1668</v>
      </c>
      <c r="D1640" s="8">
        <v>24</v>
      </c>
      <c r="E1640" s="8" t="s">
        <v>282</v>
      </c>
    </row>
    <row r="1641" spans="1:5" x14ac:dyDescent="0.25">
      <c r="A1641" s="8" t="str">
        <f t="shared" si="25"/>
        <v>114</v>
      </c>
      <c r="B1641" s="8" t="s">
        <v>953</v>
      </c>
      <c r="C1641" s="12" t="s">
        <v>1669</v>
      </c>
      <c r="D1641" s="8">
        <v>24</v>
      </c>
      <c r="E1641" s="8" t="s">
        <v>282</v>
      </c>
    </row>
    <row r="1642" spans="1:5" x14ac:dyDescent="0.25">
      <c r="A1642" s="8" t="str">
        <f t="shared" si="25"/>
        <v>115</v>
      </c>
      <c r="B1642" s="8" t="s">
        <v>1670</v>
      </c>
      <c r="C1642" s="12" t="s">
        <v>1671</v>
      </c>
      <c r="D1642" s="8">
        <v>24</v>
      </c>
      <c r="E1642" s="8" t="s">
        <v>282</v>
      </c>
    </row>
    <row r="1643" spans="1:5" x14ac:dyDescent="0.25">
      <c r="A1643" s="8" t="str">
        <f t="shared" si="25"/>
        <v>116</v>
      </c>
      <c r="B1643" s="8" t="s">
        <v>1672</v>
      </c>
      <c r="C1643" s="12" t="s">
        <v>1673</v>
      </c>
      <c r="D1643" s="8">
        <v>24</v>
      </c>
      <c r="E1643" s="8" t="s">
        <v>282</v>
      </c>
    </row>
    <row r="1644" spans="1:5" x14ac:dyDescent="0.25">
      <c r="A1644" s="8" t="str">
        <f t="shared" si="25"/>
        <v>117</v>
      </c>
      <c r="B1644" s="8" t="s">
        <v>1674</v>
      </c>
      <c r="C1644" s="12" t="s">
        <v>1675</v>
      </c>
      <c r="D1644" s="8">
        <v>24</v>
      </c>
      <c r="E1644" s="8" t="s">
        <v>282</v>
      </c>
    </row>
    <row r="1645" spans="1:5" x14ac:dyDescent="0.25">
      <c r="A1645" s="8" t="str">
        <f t="shared" si="25"/>
        <v>118</v>
      </c>
      <c r="B1645" s="8" t="s">
        <v>1676</v>
      </c>
      <c r="C1645" s="12" t="s">
        <v>1677</v>
      </c>
      <c r="D1645" s="8">
        <v>24</v>
      </c>
      <c r="E1645" s="8" t="s">
        <v>282</v>
      </c>
    </row>
    <row r="1646" spans="1:5" x14ac:dyDescent="0.25">
      <c r="A1646" s="8" t="str">
        <f t="shared" si="25"/>
        <v>119</v>
      </c>
      <c r="B1646" s="8" t="s">
        <v>1678</v>
      </c>
      <c r="C1646" s="12" t="s">
        <v>1679</v>
      </c>
      <c r="D1646" s="8">
        <v>24</v>
      </c>
      <c r="E1646" s="8" t="s">
        <v>282</v>
      </c>
    </row>
    <row r="1647" spans="1:5" x14ac:dyDescent="0.25">
      <c r="A1647" s="8" t="str">
        <f t="shared" si="25"/>
        <v>120</v>
      </c>
      <c r="B1647" s="8" t="s">
        <v>1680</v>
      </c>
      <c r="C1647" s="12" t="s">
        <v>1681</v>
      </c>
      <c r="D1647" s="8">
        <v>24</v>
      </c>
      <c r="E1647" s="8" t="s">
        <v>282</v>
      </c>
    </row>
    <row r="1648" spans="1:5" x14ac:dyDescent="0.25">
      <c r="A1648" s="8" t="str">
        <f t="shared" si="25"/>
        <v>121</v>
      </c>
      <c r="B1648" s="8" t="s">
        <v>1682</v>
      </c>
      <c r="C1648" s="12" t="s">
        <v>1683</v>
      </c>
      <c r="D1648" s="8">
        <v>24</v>
      </c>
      <c r="E1648" s="8" t="s">
        <v>282</v>
      </c>
    </row>
    <row r="1649" spans="1:5" x14ac:dyDescent="0.25">
      <c r="A1649" s="8" t="str">
        <f t="shared" si="25"/>
        <v>122</v>
      </c>
      <c r="B1649" s="8" t="s">
        <v>1684</v>
      </c>
      <c r="C1649" s="12" t="s">
        <v>1685</v>
      </c>
      <c r="D1649" s="8">
        <v>24</v>
      </c>
      <c r="E1649" s="8" t="s">
        <v>282</v>
      </c>
    </row>
    <row r="1650" spans="1:5" x14ac:dyDescent="0.25">
      <c r="A1650" s="8" t="str">
        <f t="shared" si="25"/>
        <v>123</v>
      </c>
      <c r="B1650" s="8" t="s">
        <v>1686</v>
      </c>
      <c r="C1650" s="12" t="s">
        <v>1687</v>
      </c>
      <c r="D1650" s="8">
        <v>24</v>
      </c>
      <c r="E1650" s="8" t="s">
        <v>282</v>
      </c>
    </row>
    <row r="1651" spans="1:5" ht="60" x14ac:dyDescent="0.25">
      <c r="A1651" s="8" t="str">
        <f t="shared" si="25"/>
        <v>124</v>
      </c>
      <c r="B1651" s="8" t="s">
        <v>1688</v>
      </c>
      <c r="C1651" s="13" t="s">
        <v>1689</v>
      </c>
      <c r="D1651" s="8">
        <v>24</v>
      </c>
      <c r="E1651" s="8" t="s">
        <v>282</v>
      </c>
    </row>
    <row r="1652" spans="1:5" x14ac:dyDescent="0.25">
      <c r="A1652" s="8" t="str">
        <f t="shared" si="25"/>
        <v>125</v>
      </c>
      <c r="B1652" s="8" t="s">
        <v>1690</v>
      </c>
      <c r="C1652" s="12" t="s">
        <v>1691</v>
      </c>
      <c r="D1652" s="8">
        <v>24</v>
      </c>
      <c r="E1652" s="8" t="s">
        <v>282</v>
      </c>
    </row>
    <row r="1653" spans="1:5" x14ac:dyDescent="0.25">
      <c r="A1653" s="8" t="str">
        <f t="shared" si="25"/>
        <v>126</v>
      </c>
      <c r="B1653" s="8" t="s">
        <v>1692</v>
      </c>
      <c r="C1653" s="12" t="s">
        <v>1693</v>
      </c>
      <c r="D1653" s="8">
        <v>24</v>
      </c>
      <c r="E1653" s="8" t="s">
        <v>282</v>
      </c>
    </row>
    <row r="1654" spans="1:5" x14ac:dyDescent="0.25">
      <c r="A1654" s="8" t="str">
        <f t="shared" si="25"/>
        <v>127</v>
      </c>
      <c r="B1654" s="8" t="s">
        <v>1694</v>
      </c>
      <c r="C1654" s="12" t="s">
        <v>1695</v>
      </c>
      <c r="D1654" s="8">
        <v>24</v>
      </c>
      <c r="E1654" s="8" t="s">
        <v>282</v>
      </c>
    </row>
    <row r="1655" spans="1:5" x14ac:dyDescent="0.25">
      <c r="A1655" s="8" t="str">
        <f t="shared" si="25"/>
        <v>128</v>
      </c>
      <c r="B1655" s="8" t="s">
        <v>1696</v>
      </c>
      <c r="C1655" s="12" t="s">
        <v>1697</v>
      </c>
      <c r="D1655" s="8">
        <v>24</v>
      </c>
      <c r="E1655" s="8" t="s">
        <v>282</v>
      </c>
    </row>
    <row r="1656" spans="1:5" x14ac:dyDescent="0.25">
      <c r="A1656" s="8" t="str">
        <f t="shared" si="25"/>
        <v>129</v>
      </c>
      <c r="B1656" s="8" t="s">
        <v>1698</v>
      </c>
      <c r="C1656" s="12" t="s">
        <v>1699</v>
      </c>
      <c r="D1656" s="8">
        <v>24</v>
      </c>
      <c r="E1656" s="8" t="s">
        <v>282</v>
      </c>
    </row>
    <row r="1657" spans="1:5" x14ac:dyDescent="0.25">
      <c r="A1657" s="8" t="str">
        <f t="shared" si="25"/>
        <v>130</v>
      </c>
      <c r="B1657" s="8" t="s">
        <v>1700</v>
      </c>
      <c r="C1657" s="12" t="s">
        <v>1701</v>
      </c>
      <c r="D1657" s="8">
        <v>24</v>
      </c>
      <c r="E1657" s="8" t="s">
        <v>282</v>
      </c>
    </row>
    <row r="1658" spans="1:5" x14ac:dyDescent="0.25">
      <c r="A1658" s="8" t="str">
        <f t="shared" si="25"/>
        <v>131</v>
      </c>
      <c r="B1658" s="8" t="s">
        <v>1702</v>
      </c>
      <c r="C1658" s="12" t="s">
        <v>1703</v>
      </c>
      <c r="D1658" s="8">
        <v>24</v>
      </c>
      <c r="E1658" s="8" t="s">
        <v>282</v>
      </c>
    </row>
    <row r="1659" spans="1:5" x14ac:dyDescent="0.25">
      <c r="A1659" s="8" t="str">
        <f t="shared" si="25"/>
        <v>132</v>
      </c>
      <c r="B1659" s="8" t="s">
        <v>1704</v>
      </c>
      <c r="C1659" s="12" t="s">
        <v>1705</v>
      </c>
      <c r="D1659" s="8">
        <v>24</v>
      </c>
      <c r="E1659" s="8" t="s">
        <v>282</v>
      </c>
    </row>
    <row r="1660" spans="1:5" x14ac:dyDescent="0.25">
      <c r="A1660" s="8" t="str">
        <f t="shared" si="25"/>
        <v>133</v>
      </c>
      <c r="B1660" s="8" t="s">
        <v>1706</v>
      </c>
      <c r="C1660" s="12" t="s">
        <v>1707</v>
      </c>
      <c r="D1660" s="8">
        <v>24</v>
      </c>
      <c r="E1660" s="8" t="s">
        <v>282</v>
      </c>
    </row>
    <row r="1661" spans="1:5" x14ac:dyDescent="0.25">
      <c r="A1661" s="8" t="str">
        <f t="shared" si="25"/>
        <v>134</v>
      </c>
      <c r="B1661" s="8" t="s">
        <v>1708</v>
      </c>
      <c r="C1661" s="12" t="s">
        <v>1709</v>
      </c>
      <c r="D1661" s="8">
        <v>24</v>
      </c>
      <c r="E1661" s="8" t="s">
        <v>282</v>
      </c>
    </row>
    <row r="1662" spans="1:5" x14ac:dyDescent="0.25">
      <c r="A1662" s="8" t="str">
        <f t="shared" si="25"/>
        <v>135</v>
      </c>
      <c r="B1662" s="8" t="s">
        <v>1710</v>
      </c>
      <c r="C1662" s="12" t="s">
        <v>1711</v>
      </c>
      <c r="D1662" s="8">
        <v>24</v>
      </c>
      <c r="E1662" s="8" t="s">
        <v>282</v>
      </c>
    </row>
    <row r="1663" spans="1:5" x14ac:dyDescent="0.25">
      <c r="A1663" s="8" t="str">
        <f t="shared" si="25"/>
        <v>136</v>
      </c>
      <c r="B1663" s="8" t="s">
        <v>1712</v>
      </c>
      <c r="C1663" s="12" t="s">
        <v>1713</v>
      </c>
      <c r="D1663" s="8">
        <v>24</v>
      </c>
      <c r="E1663" s="8" t="s">
        <v>282</v>
      </c>
    </row>
    <row r="1664" spans="1:5" x14ac:dyDescent="0.25">
      <c r="A1664" s="8" t="str">
        <f t="shared" si="25"/>
        <v>137</v>
      </c>
      <c r="B1664" s="8" t="s">
        <v>1714</v>
      </c>
      <c r="C1664" s="12" t="s">
        <v>1715</v>
      </c>
      <c r="D1664" s="8">
        <v>24</v>
      </c>
      <c r="E1664" s="8" t="s">
        <v>282</v>
      </c>
    </row>
    <row r="1665" spans="1:5" x14ac:dyDescent="0.25">
      <c r="A1665" s="8" t="str">
        <f t="shared" si="25"/>
        <v>138</v>
      </c>
      <c r="B1665" s="8" t="s">
        <v>1716</v>
      </c>
      <c r="C1665" s="12" t="s">
        <v>1717</v>
      </c>
      <c r="D1665" s="8">
        <v>24</v>
      </c>
      <c r="E1665" s="8" t="s">
        <v>282</v>
      </c>
    </row>
    <row r="1666" spans="1:5" x14ac:dyDescent="0.25">
      <c r="A1666" s="8" t="str">
        <f t="shared" si="25"/>
        <v>139</v>
      </c>
      <c r="B1666" s="8" t="s">
        <v>1718</v>
      </c>
      <c r="C1666" s="12" t="s">
        <v>1719</v>
      </c>
      <c r="D1666" s="8">
        <v>24</v>
      </c>
      <c r="E1666" s="8" t="s">
        <v>282</v>
      </c>
    </row>
    <row r="1667" spans="1:5" x14ac:dyDescent="0.25">
      <c r="A1667" s="8" t="str">
        <f t="shared" ref="A1667:A1730" si="26">TEXT(B1667,"000")</f>
        <v>140</v>
      </c>
      <c r="B1667" s="8" t="s">
        <v>1720</v>
      </c>
      <c r="C1667" s="12" t="s">
        <v>1721</v>
      </c>
      <c r="D1667" s="8">
        <v>24</v>
      </c>
      <c r="E1667" s="8" t="s">
        <v>282</v>
      </c>
    </row>
    <row r="1668" spans="1:5" x14ac:dyDescent="0.25">
      <c r="A1668" s="8" t="str">
        <f t="shared" si="26"/>
        <v>141</v>
      </c>
      <c r="B1668" s="8" t="s">
        <v>1722</v>
      </c>
      <c r="C1668" s="12" t="s">
        <v>1723</v>
      </c>
      <c r="D1668" s="8">
        <v>24</v>
      </c>
      <c r="E1668" s="8" t="s">
        <v>282</v>
      </c>
    </row>
    <row r="1669" spans="1:5" x14ac:dyDescent="0.25">
      <c r="A1669" s="8" t="str">
        <f t="shared" si="26"/>
        <v>142</v>
      </c>
      <c r="B1669" s="8" t="s">
        <v>1724</v>
      </c>
      <c r="C1669" s="12" t="s">
        <v>1725</v>
      </c>
      <c r="D1669" s="8">
        <v>24</v>
      </c>
      <c r="E1669" s="8" t="s">
        <v>282</v>
      </c>
    </row>
    <row r="1670" spans="1:5" x14ac:dyDescent="0.25">
      <c r="A1670" s="8" t="str">
        <f t="shared" si="26"/>
        <v>143</v>
      </c>
      <c r="B1670" s="8" t="s">
        <v>1726</v>
      </c>
      <c r="C1670" s="12" t="s">
        <v>1727</v>
      </c>
      <c r="D1670" s="8">
        <v>24</v>
      </c>
      <c r="E1670" s="8" t="s">
        <v>282</v>
      </c>
    </row>
    <row r="1671" spans="1:5" x14ac:dyDescent="0.25">
      <c r="A1671" s="8" t="str">
        <f t="shared" si="26"/>
        <v>144</v>
      </c>
      <c r="B1671" s="8" t="s">
        <v>1728</v>
      </c>
      <c r="C1671" s="12" t="s">
        <v>1729</v>
      </c>
      <c r="D1671" s="8">
        <v>24</v>
      </c>
      <c r="E1671" s="8" t="s">
        <v>282</v>
      </c>
    </row>
    <row r="1672" spans="1:5" x14ac:dyDescent="0.25">
      <c r="A1672" s="8" t="str">
        <f t="shared" si="26"/>
        <v>145</v>
      </c>
      <c r="B1672" s="8" t="s">
        <v>1730</v>
      </c>
      <c r="C1672" s="12" t="s">
        <v>1731</v>
      </c>
      <c r="D1672" s="8">
        <v>24</v>
      </c>
      <c r="E1672" s="8" t="s">
        <v>282</v>
      </c>
    </row>
    <row r="1673" spans="1:5" x14ac:dyDescent="0.25">
      <c r="A1673" s="8" t="str">
        <f t="shared" si="26"/>
        <v>146</v>
      </c>
      <c r="B1673" s="8" t="s">
        <v>1732</v>
      </c>
      <c r="C1673" s="12" t="s">
        <v>1733</v>
      </c>
      <c r="D1673" s="8">
        <v>24</v>
      </c>
      <c r="E1673" s="8" t="s">
        <v>282</v>
      </c>
    </row>
    <row r="1674" spans="1:5" x14ac:dyDescent="0.25">
      <c r="A1674" s="8" t="str">
        <f t="shared" si="26"/>
        <v>147</v>
      </c>
      <c r="B1674" s="8" t="s">
        <v>1734</v>
      </c>
      <c r="C1674" s="12" t="s">
        <v>1735</v>
      </c>
      <c r="D1674" s="8">
        <v>24</v>
      </c>
      <c r="E1674" s="8" t="s">
        <v>282</v>
      </c>
    </row>
    <row r="1675" spans="1:5" x14ac:dyDescent="0.25">
      <c r="A1675" s="8" t="str">
        <f t="shared" si="26"/>
        <v>148</v>
      </c>
      <c r="B1675" s="8" t="s">
        <v>1736</v>
      </c>
      <c r="C1675" s="12" t="s">
        <v>1737</v>
      </c>
      <c r="D1675" s="8">
        <v>24</v>
      </c>
      <c r="E1675" s="8" t="s">
        <v>282</v>
      </c>
    </row>
    <row r="1676" spans="1:5" x14ac:dyDescent="0.25">
      <c r="A1676" s="8" t="str">
        <f t="shared" si="26"/>
        <v>149</v>
      </c>
      <c r="B1676" s="8" t="s">
        <v>1738</v>
      </c>
      <c r="C1676" s="12" t="s">
        <v>1739</v>
      </c>
      <c r="D1676" s="8">
        <v>24</v>
      </c>
      <c r="E1676" s="8" t="s">
        <v>282</v>
      </c>
    </row>
    <row r="1677" spans="1:5" x14ac:dyDescent="0.25">
      <c r="A1677" s="8" t="str">
        <f t="shared" si="26"/>
        <v>150</v>
      </c>
      <c r="B1677" s="8" t="s">
        <v>92</v>
      </c>
      <c r="C1677" s="12" t="s">
        <v>1740</v>
      </c>
      <c r="D1677" s="8">
        <v>24</v>
      </c>
      <c r="E1677" s="8" t="s">
        <v>282</v>
      </c>
    </row>
    <row r="1678" spans="1:5" x14ac:dyDescent="0.25">
      <c r="A1678" s="8" t="str">
        <f t="shared" si="26"/>
        <v>151</v>
      </c>
      <c r="B1678" s="8" t="s">
        <v>1741</v>
      </c>
      <c r="C1678" s="12" t="s">
        <v>1742</v>
      </c>
      <c r="D1678" s="8">
        <v>24</v>
      </c>
      <c r="E1678" s="8" t="s">
        <v>282</v>
      </c>
    </row>
    <row r="1679" spans="1:5" x14ac:dyDescent="0.25">
      <c r="A1679" s="8" t="str">
        <f t="shared" si="26"/>
        <v>152</v>
      </c>
      <c r="B1679" s="8" t="s">
        <v>1743</v>
      </c>
      <c r="C1679" s="12" t="s">
        <v>1744</v>
      </c>
      <c r="D1679" s="8">
        <v>24</v>
      </c>
      <c r="E1679" s="8" t="s">
        <v>282</v>
      </c>
    </row>
    <row r="1680" spans="1:5" ht="45" x14ac:dyDescent="0.25">
      <c r="A1680" s="8" t="str">
        <f t="shared" si="26"/>
        <v>153</v>
      </c>
      <c r="B1680" s="8" t="s">
        <v>1745</v>
      </c>
      <c r="C1680" s="13" t="s">
        <v>1746</v>
      </c>
      <c r="D1680" s="8">
        <v>24</v>
      </c>
      <c r="E1680" s="8" t="s">
        <v>282</v>
      </c>
    </row>
    <row r="1681" spans="1:5" x14ac:dyDescent="0.25">
      <c r="A1681" s="8" t="str">
        <f t="shared" si="26"/>
        <v>154</v>
      </c>
      <c r="B1681" s="8" t="s">
        <v>1747</v>
      </c>
      <c r="C1681" s="12" t="s">
        <v>1748</v>
      </c>
      <c r="D1681" s="8">
        <v>24</v>
      </c>
      <c r="E1681" s="8" t="s">
        <v>282</v>
      </c>
    </row>
    <row r="1682" spans="1:5" x14ac:dyDescent="0.25">
      <c r="A1682" s="8" t="str">
        <f t="shared" si="26"/>
        <v>155</v>
      </c>
      <c r="B1682" s="8" t="s">
        <v>1749</v>
      </c>
      <c r="C1682" s="12" t="s">
        <v>1750</v>
      </c>
      <c r="D1682" s="8">
        <v>24</v>
      </c>
      <c r="E1682" s="8" t="s">
        <v>282</v>
      </c>
    </row>
    <row r="1683" spans="1:5" x14ac:dyDescent="0.25">
      <c r="A1683" s="8" t="str">
        <f t="shared" si="26"/>
        <v>156</v>
      </c>
      <c r="B1683" s="8" t="s">
        <v>1751</v>
      </c>
      <c r="C1683" s="12" t="s">
        <v>1752</v>
      </c>
      <c r="D1683" s="8">
        <v>24</v>
      </c>
      <c r="E1683" s="8" t="s">
        <v>282</v>
      </c>
    </row>
    <row r="1684" spans="1:5" x14ac:dyDescent="0.25">
      <c r="A1684" s="8" t="str">
        <f t="shared" si="26"/>
        <v>157</v>
      </c>
      <c r="B1684" s="8" t="s">
        <v>1753</v>
      </c>
      <c r="C1684" s="12" t="s">
        <v>1754</v>
      </c>
      <c r="D1684" s="8">
        <v>24</v>
      </c>
      <c r="E1684" s="8" t="s">
        <v>282</v>
      </c>
    </row>
    <row r="1685" spans="1:5" x14ac:dyDescent="0.25">
      <c r="A1685" s="8" t="str">
        <f t="shared" si="26"/>
        <v>158</v>
      </c>
      <c r="B1685" s="8" t="s">
        <v>1755</v>
      </c>
      <c r="C1685" s="12" t="s">
        <v>1756</v>
      </c>
      <c r="D1685" s="8">
        <v>24</v>
      </c>
      <c r="E1685" s="8" t="s">
        <v>282</v>
      </c>
    </row>
    <row r="1686" spans="1:5" x14ac:dyDescent="0.25">
      <c r="A1686" s="8" t="str">
        <f t="shared" si="26"/>
        <v>159</v>
      </c>
      <c r="B1686" s="8" t="s">
        <v>1757</v>
      </c>
      <c r="C1686" s="12" t="s">
        <v>1758</v>
      </c>
      <c r="D1686" s="8">
        <v>24</v>
      </c>
      <c r="E1686" s="8" t="s">
        <v>282</v>
      </c>
    </row>
    <row r="1687" spans="1:5" x14ac:dyDescent="0.25">
      <c r="A1687" s="8" t="str">
        <f t="shared" si="26"/>
        <v>160</v>
      </c>
      <c r="B1687" s="8" t="s">
        <v>1759</v>
      </c>
      <c r="C1687" s="12" t="s">
        <v>1760</v>
      </c>
      <c r="D1687" s="8">
        <v>24</v>
      </c>
      <c r="E1687" s="8" t="s">
        <v>282</v>
      </c>
    </row>
    <row r="1688" spans="1:5" x14ac:dyDescent="0.25">
      <c r="A1688" s="8" t="str">
        <f t="shared" si="26"/>
        <v>161</v>
      </c>
      <c r="B1688" s="8" t="s">
        <v>255</v>
      </c>
      <c r="C1688" s="12" t="s">
        <v>1761</v>
      </c>
      <c r="D1688" s="8">
        <v>24</v>
      </c>
      <c r="E1688" s="8" t="s">
        <v>282</v>
      </c>
    </row>
    <row r="1689" spans="1:5" x14ac:dyDescent="0.25">
      <c r="A1689" s="8" t="str">
        <f t="shared" si="26"/>
        <v>162</v>
      </c>
      <c r="B1689" s="8" t="s">
        <v>257</v>
      </c>
      <c r="C1689" s="12" t="s">
        <v>1762</v>
      </c>
      <c r="D1689" s="8">
        <v>24</v>
      </c>
      <c r="E1689" s="8" t="s">
        <v>282</v>
      </c>
    </row>
    <row r="1690" spans="1:5" x14ac:dyDescent="0.25">
      <c r="A1690" s="8" t="str">
        <f t="shared" si="26"/>
        <v>163</v>
      </c>
      <c r="B1690" s="8" t="s">
        <v>1763</v>
      </c>
      <c r="C1690" s="12" t="s">
        <v>1764</v>
      </c>
      <c r="D1690" s="8">
        <v>24</v>
      </c>
      <c r="E1690" s="8" t="s">
        <v>282</v>
      </c>
    </row>
    <row r="1691" spans="1:5" x14ac:dyDescent="0.25">
      <c r="A1691" s="8" t="str">
        <f t="shared" si="26"/>
        <v>164</v>
      </c>
      <c r="B1691" s="8" t="s">
        <v>1765</v>
      </c>
      <c r="C1691" s="12" t="s">
        <v>1766</v>
      </c>
      <c r="D1691" s="8">
        <v>24</v>
      </c>
      <c r="E1691" s="8" t="s">
        <v>282</v>
      </c>
    </row>
    <row r="1692" spans="1:5" x14ac:dyDescent="0.25">
      <c r="A1692" s="8" t="str">
        <f t="shared" si="26"/>
        <v>165</v>
      </c>
      <c r="B1692" s="8" t="s">
        <v>1767</v>
      </c>
      <c r="C1692" s="12" t="s">
        <v>1768</v>
      </c>
      <c r="D1692" s="8">
        <v>24</v>
      </c>
      <c r="E1692" s="8" t="s">
        <v>282</v>
      </c>
    </row>
    <row r="1693" spans="1:5" x14ac:dyDescent="0.25">
      <c r="A1693" s="8" t="str">
        <f t="shared" si="26"/>
        <v>166</v>
      </c>
      <c r="B1693" s="8" t="s">
        <v>1769</v>
      </c>
      <c r="C1693" s="12" t="s">
        <v>1770</v>
      </c>
      <c r="D1693" s="8">
        <v>24</v>
      </c>
      <c r="E1693" s="8" t="s">
        <v>282</v>
      </c>
    </row>
    <row r="1694" spans="1:5" x14ac:dyDescent="0.25">
      <c r="A1694" s="8" t="str">
        <f t="shared" si="26"/>
        <v>167</v>
      </c>
      <c r="B1694" s="8" t="s">
        <v>1771</v>
      </c>
      <c r="C1694" s="12" t="s">
        <v>1772</v>
      </c>
      <c r="D1694" s="8">
        <v>24</v>
      </c>
      <c r="E1694" s="8" t="s">
        <v>282</v>
      </c>
    </row>
    <row r="1695" spans="1:5" x14ac:dyDescent="0.25">
      <c r="A1695" s="8" t="str">
        <f t="shared" si="26"/>
        <v>168</v>
      </c>
      <c r="B1695" s="8" t="s">
        <v>1773</v>
      </c>
      <c r="C1695" s="12" t="s">
        <v>1774</v>
      </c>
      <c r="D1695" s="8">
        <v>24</v>
      </c>
      <c r="E1695" s="8" t="s">
        <v>282</v>
      </c>
    </row>
    <row r="1696" spans="1:5" x14ac:dyDescent="0.25">
      <c r="A1696" s="8" t="str">
        <f t="shared" si="26"/>
        <v>169</v>
      </c>
      <c r="B1696" s="8" t="s">
        <v>1775</v>
      </c>
      <c r="C1696" s="12" t="s">
        <v>1776</v>
      </c>
      <c r="D1696" s="8">
        <v>24</v>
      </c>
      <c r="E1696" s="8" t="s">
        <v>282</v>
      </c>
    </row>
    <row r="1697" spans="1:5" x14ac:dyDescent="0.25">
      <c r="A1697" s="8" t="str">
        <f t="shared" si="26"/>
        <v>170</v>
      </c>
      <c r="B1697" s="8" t="s">
        <v>1777</v>
      </c>
      <c r="C1697" s="12" t="s">
        <v>1778</v>
      </c>
      <c r="D1697" s="8">
        <v>24</v>
      </c>
      <c r="E1697" s="8" t="s">
        <v>282</v>
      </c>
    </row>
    <row r="1698" spans="1:5" x14ac:dyDescent="0.25">
      <c r="A1698" s="8" t="str">
        <f t="shared" si="26"/>
        <v>171</v>
      </c>
      <c r="B1698" s="8" t="s">
        <v>1779</v>
      </c>
      <c r="C1698" s="12" t="s">
        <v>1780</v>
      </c>
      <c r="D1698" s="8">
        <v>24</v>
      </c>
      <c r="E1698" s="8" t="s">
        <v>282</v>
      </c>
    </row>
    <row r="1699" spans="1:5" x14ac:dyDescent="0.25">
      <c r="A1699" s="8" t="str">
        <f t="shared" si="26"/>
        <v>172</v>
      </c>
      <c r="B1699" s="8" t="s">
        <v>1781</v>
      </c>
      <c r="C1699" s="12" t="s">
        <v>1782</v>
      </c>
      <c r="D1699" s="8">
        <v>24</v>
      </c>
      <c r="E1699" s="8" t="s">
        <v>282</v>
      </c>
    </row>
    <row r="1700" spans="1:5" x14ac:dyDescent="0.25">
      <c r="A1700" s="8" t="str">
        <f t="shared" si="26"/>
        <v>173</v>
      </c>
      <c r="B1700" s="8" t="s">
        <v>1783</v>
      </c>
      <c r="C1700" s="12" t="s">
        <v>1784</v>
      </c>
      <c r="D1700" s="8">
        <v>24</v>
      </c>
      <c r="E1700" s="8" t="s">
        <v>282</v>
      </c>
    </row>
    <row r="1701" spans="1:5" x14ac:dyDescent="0.25">
      <c r="A1701" s="8" t="str">
        <f t="shared" si="26"/>
        <v>174</v>
      </c>
      <c r="B1701" s="8" t="s">
        <v>1785</v>
      </c>
      <c r="C1701" s="12" t="s">
        <v>1786</v>
      </c>
      <c r="D1701" s="8">
        <v>24</v>
      </c>
      <c r="E1701" s="8" t="s">
        <v>282</v>
      </c>
    </row>
    <row r="1702" spans="1:5" x14ac:dyDescent="0.25">
      <c r="A1702" s="8" t="str">
        <f t="shared" si="26"/>
        <v>175</v>
      </c>
      <c r="B1702" s="8" t="s">
        <v>1787</v>
      </c>
      <c r="C1702" s="12" t="s">
        <v>1788</v>
      </c>
      <c r="D1702" s="8">
        <v>24</v>
      </c>
      <c r="E1702" s="8" t="s">
        <v>282</v>
      </c>
    </row>
    <row r="1703" spans="1:5" x14ac:dyDescent="0.25">
      <c r="A1703" s="8" t="str">
        <f t="shared" si="26"/>
        <v>176</v>
      </c>
      <c r="B1703" s="8" t="s">
        <v>1789</v>
      </c>
      <c r="C1703" s="12" t="s">
        <v>1790</v>
      </c>
      <c r="D1703" s="8">
        <v>24</v>
      </c>
      <c r="E1703" s="8" t="s">
        <v>282</v>
      </c>
    </row>
    <row r="1704" spans="1:5" x14ac:dyDescent="0.25">
      <c r="A1704" s="8" t="str">
        <f t="shared" si="26"/>
        <v>177</v>
      </c>
      <c r="B1704" s="8" t="s">
        <v>1791</v>
      </c>
      <c r="C1704" s="12" t="s">
        <v>1792</v>
      </c>
      <c r="D1704" s="8">
        <v>24</v>
      </c>
      <c r="E1704" s="8" t="s">
        <v>282</v>
      </c>
    </row>
    <row r="1705" spans="1:5" x14ac:dyDescent="0.25">
      <c r="A1705" s="8" t="str">
        <f t="shared" si="26"/>
        <v>178</v>
      </c>
      <c r="B1705" s="8" t="s">
        <v>1793</v>
      </c>
      <c r="C1705" s="12" t="s">
        <v>1794</v>
      </c>
      <c r="D1705" s="8">
        <v>24</v>
      </c>
      <c r="E1705" s="8" t="s">
        <v>282</v>
      </c>
    </row>
    <row r="1706" spans="1:5" x14ac:dyDescent="0.25">
      <c r="A1706" s="8" t="str">
        <f t="shared" si="26"/>
        <v>179</v>
      </c>
      <c r="B1706" s="8" t="s">
        <v>1795</v>
      </c>
      <c r="C1706" s="12" t="s">
        <v>1796</v>
      </c>
      <c r="D1706" s="8">
        <v>24</v>
      </c>
      <c r="E1706" s="8" t="s">
        <v>282</v>
      </c>
    </row>
    <row r="1707" spans="1:5" x14ac:dyDescent="0.25">
      <c r="A1707" s="8" t="str">
        <f t="shared" si="26"/>
        <v>180</v>
      </c>
      <c r="B1707" s="8" t="s">
        <v>1797</v>
      </c>
      <c r="C1707" s="12" t="s">
        <v>1798</v>
      </c>
      <c r="D1707" s="8">
        <v>24</v>
      </c>
      <c r="E1707" s="8" t="s">
        <v>282</v>
      </c>
    </row>
    <row r="1708" spans="1:5" x14ac:dyDescent="0.25">
      <c r="A1708" s="8" t="str">
        <f t="shared" si="26"/>
        <v>181</v>
      </c>
      <c r="B1708" s="8" t="s">
        <v>1799</v>
      </c>
      <c r="C1708" s="12" t="s">
        <v>1800</v>
      </c>
      <c r="D1708" s="8">
        <v>24</v>
      </c>
      <c r="E1708" s="8" t="s">
        <v>282</v>
      </c>
    </row>
    <row r="1709" spans="1:5" x14ac:dyDescent="0.25">
      <c r="A1709" s="8" t="str">
        <f t="shared" si="26"/>
        <v>182</v>
      </c>
      <c r="B1709" s="8" t="s">
        <v>1801</v>
      </c>
      <c r="C1709" s="12" t="s">
        <v>1802</v>
      </c>
      <c r="D1709" s="8">
        <v>24</v>
      </c>
      <c r="E1709" s="8" t="s">
        <v>282</v>
      </c>
    </row>
    <row r="1710" spans="1:5" x14ac:dyDescent="0.25">
      <c r="A1710" s="8" t="str">
        <f t="shared" si="26"/>
        <v>183</v>
      </c>
      <c r="B1710" s="8" t="s">
        <v>1803</v>
      </c>
      <c r="C1710" s="12" t="s">
        <v>1804</v>
      </c>
      <c r="D1710" s="8">
        <v>24</v>
      </c>
      <c r="E1710" s="8" t="s">
        <v>282</v>
      </c>
    </row>
    <row r="1711" spans="1:5" x14ac:dyDescent="0.25">
      <c r="A1711" s="8" t="str">
        <f t="shared" si="26"/>
        <v>184</v>
      </c>
      <c r="B1711" s="8" t="s">
        <v>1805</v>
      </c>
      <c r="C1711" s="12" t="s">
        <v>1806</v>
      </c>
      <c r="D1711" s="8">
        <v>24</v>
      </c>
      <c r="E1711" s="8" t="s">
        <v>282</v>
      </c>
    </row>
    <row r="1712" spans="1:5" x14ac:dyDescent="0.25">
      <c r="A1712" s="8" t="str">
        <f t="shared" si="26"/>
        <v>185</v>
      </c>
      <c r="B1712" s="8" t="s">
        <v>1807</v>
      </c>
      <c r="C1712" s="12" t="s">
        <v>1808</v>
      </c>
      <c r="D1712" s="8">
        <v>24</v>
      </c>
      <c r="E1712" s="8" t="s">
        <v>282</v>
      </c>
    </row>
    <row r="1713" spans="1:5" x14ac:dyDescent="0.25">
      <c r="A1713" s="8" t="str">
        <f t="shared" si="26"/>
        <v>186</v>
      </c>
      <c r="B1713" s="8" t="s">
        <v>1809</v>
      </c>
      <c r="C1713" s="12" t="s">
        <v>1810</v>
      </c>
      <c r="D1713" s="8">
        <v>24</v>
      </c>
      <c r="E1713" s="8" t="s">
        <v>282</v>
      </c>
    </row>
    <row r="1714" spans="1:5" x14ac:dyDescent="0.25">
      <c r="A1714" s="8" t="str">
        <f t="shared" si="26"/>
        <v>187</v>
      </c>
      <c r="B1714" s="8" t="s">
        <v>1811</v>
      </c>
      <c r="C1714" s="12" t="s">
        <v>1812</v>
      </c>
      <c r="D1714" s="8">
        <v>24</v>
      </c>
      <c r="E1714" s="8" t="s">
        <v>282</v>
      </c>
    </row>
    <row r="1715" spans="1:5" x14ac:dyDescent="0.25">
      <c r="A1715" s="8" t="str">
        <f t="shared" si="26"/>
        <v>188</v>
      </c>
      <c r="B1715" s="8" t="s">
        <v>1813</v>
      </c>
      <c r="C1715" s="12" t="s">
        <v>1814</v>
      </c>
      <c r="D1715" s="8">
        <v>24</v>
      </c>
      <c r="E1715" s="8" t="s">
        <v>282</v>
      </c>
    </row>
    <row r="1716" spans="1:5" x14ac:dyDescent="0.25">
      <c r="A1716" s="8" t="str">
        <f t="shared" si="26"/>
        <v>189</v>
      </c>
      <c r="B1716" s="8" t="s">
        <v>1815</v>
      </c>
      <c r="C1716" s="12" t="s">
        <v>1816</v>
      </c>
      <c r="D1716" s="8">
        <v>24</v>
      </c>
      <c r="E1716" s="8" t="s">
        <v>282</v>
      </c>
    </row>
    <row r="1717" spans="1:5" x14ac:dyDescent="0.25">
      <c r="A1717" s="8" t="str">
        <f t="shared" si="26"/>
        <v>190</v>
      </c>
      <c r="B1717" s="8" t="s">
        <v>1817</v>
      </c>
      <c r="C1717" s="12" t="s">
        <v>1818</v>
      </c>
      <c r="D1717" s="8">
        <v>24</v>
      </c>
      <c r="E1717" s="8" t="s">
        <v>282</v>
      </c>
    </row>
    <row r="1718" spans="1:5" x14ac:dyDescent="0.25">
      <c r="A1718" s="8" t="str">
        <f t="shared" si="26"/>
        <v>191</v>
      </c>
      <c r="B1718" s="8" t="s">
        <v>1819</v>
      </c>
      <c r="C1718" s="12" t="s">
        <v>1820</v>
      </c>
      <c r="D1718" s="8">
        <v>24</v>
      </c>
      <c r="E1718" s="8" t="s">
        <v>282</v>
      </c>
    </row>
    <row r="1719" spans="1:5" x14ac:dyDescent="0.25">
      <c r="A1719" s="8" t="str">
        <f t="shared" si="26"/>
        <v>192</v>
      </c>
      <c r="B1719" s="8" t="s">
        <v>1821</v>
      </c>
      <c r="C1719" s="12" t="s">
        <v>1822</v>
      </c>
      <c r="D1719" s="8">
        <v>24</v>
      </c>
      <c r="E1719" s="8" t="s">
        <v>282</v>
      </c>
    </row>
    <row r="1720" spans="1:5" x14ac:dyDescent="0.25">
      <c r="A1720" s="8" t="str">
        <f t="shared" si="26"/>
        <v>193</v>
      </c>
      <c r="B1720" s="8" t="s">
        <v>1823</v>
      </c>
      <c r="C1720" s="12" t="s">
        <v>1824</v>
      </c>
      <c r="D1720" s="8">
        <v>24</v>
      </c>
      <c r="E1720" s="8" t="s">
        <v>282</v>
      </c>
    </row>
    <row r="1721" spans="1:5" x14ac:dyDescent="0.25">
      <c r="A1721" s="8" t="str">
        <f t="shared" si="26"/>
        <v>194</v>
      </c>
      <c r="B1721" s="8" t="s">
        <v>1825</v>
      </c>
      <c r="C1721" s="12" t="s">
        <v>1729</v>
      </c>
      <c r="D1721" s="8">
        <v>24</v>
      </c>
      <c r="E1721" s="8" t="s">
        <v>282</v>
      </c>
    </row>
    <row r="1722" spans="1:5" x14ac:dyDescent="0.25">
      <c r="A1722" s="8" t="str">
        <f t="shared" si="26"/>
        <v>195</v>
      </c>
      <c r="B1722" s="8" t="s">
        <v>1826</v>
      </c>
      <c r="C1722" s="12" t="s">
        <v>1827</v>
      </c>
      <c r="D1722" s="8">
        <v>24</v>
      </c>
      <c r="E1722" s="8" t="s">
        <v>282</v>
      </c>
    </row>
    <row r="1723" spans="1:5" x14ac:dyDescent="0.25">
      <c r="A1723" s="8" t="str">
        <f t="shared" si="26"/>
        <v>196</v>
      </c>
      <c r="B1723" s="8" t="s">
        <v>1828</v>
      </c>
      <c r="C1723" s="12" t="s">
        <v>1829</v>
      </c>
      <c r="D1723" s="8">
        <v>24</v>
      </c>
      <c r="E1723" s="8" t="s">
        <v>282</v>
      </c>
    </row>
    <row r="1724" spans="1:5" x14ac:dyDescent="0.25">
      <c r="A1724" s="8" t="str">
        <f t="shared" si="26"/>
        <v>197</v>
      </c>
      <c r="B1724" s="8" t="s">
        <v>1830</v>
      </c>
      <c r="C1724" s="12" t="s">
        <v>1831</v>
      </c>
      <c r="D1724" s="8">
        <v>24</v>
      </c>
      <c r="E1724" s="8" t="s">
        <v>282</v>
      </c>
    </row>
    <row r="1725" spans="1:5" x14ac:dyDescent="0.25">
      <c r="A1725" s="8" t="str">
        <f t="shared" si="26"/>
        <v>198</v>
      </c>
      <c r="B1725" s="8" t="s">
        <v>1832</v>
      </c>
      <c r="C1725" s="12" t="s">
        <v>1833</v>
      </c>
      <c r="D1725" s="8">
        <v>24</v>
      </c>
      <c r="E1725" s="8" t="s">
        <v>282</v>
      </c>
    </row>
    <row r="1726" spans="1:5" x14ac:dyDescent="0.25">
      <c r="A1726" s="8" t="str">
        <f t="shared" si="26"/>
        <v>199</v>
      </c>
      <c r="B1726" s="8" t="s">
        <v>1834</v>
      </c>
      <c r="C1726" s="12" t="s">
        <v>1835</v>
      </c>
      <c r="D1726" s="8">
        <v>24</v>
      </c>
      <c r="E1726" s="8" t="s">
        <v>282</v>
      </c>
    </row>
    <row r="1727" spans="1:5" x14ac:dyDescent="0.25">
      <c r="A1727" s="8" t="str">
        <f t="shared" si="26"/>
        <v>200</v>
      </c>
      <c r="B1727" s="8" t="s">
        <v>1836</v>
      </c>
      <c r="C1727" s="12" t="s">
        <v>1837</v>
      </c>
      <c r="D1727" s="8">
        <v>24</v>
      </c>
      <c r="E1727" s="8" t="s">
        <v>282</v>
      </c>
    </row>
    <row r="1728" spans="1:5" x14ac:dyDescent="0.25">
      <c r="A1728" s="8" t="str">
        <f t="shared" si="26"/>
        <v>201</v>
      </c>
      <c r="B1728" s="8" t="s">
        <v>138</v>
      </c>
      <c r="C1728" s="12" t="s">
        <v>1838</v>
      </c>
      <c r="D1728" s="8">
        <v>24</v>
      </c>
      <c r="E1728" s="8" t="s">
        <v>282</v>
      </c>
    </row>
    <row r="1729" spans="1:5" x14ac:dyDescent="0.25">
      <c r="A1729" s="8" t="str">
        <f t="shared" si="26"/>
        <v>202</v>
      </c>
      <c r="B1729" s="8" t="s">
        <v>140</v>
      </c>
      <c r="C1729" s="12" t="s">
        <v>1839</v>
      </c>
      <c r="D1729" s="8">
        <v>24</v>
      </c>
      <c r="E1729" s="8" t="s">
        <v>282</v>
      </c>
    </row>
    <row r="1730" spans="1:5" x14ac:dyDescent="0.25">
      <c r="A1730" s="8" t="str">
        <f t="shared" si="26"/>
        <v>203</v>
      </c>
      <c r="B1730" s="8" t="s">
        <v>142</v>
      </c>
      <c r="C1730" s="12" t="s">
        <v>1840</v>
      </c>
      <c r="D1730" s="8">
        <v>24</v>
      </c>
      <c r="E1730" s="8" t="s">
        <v>282</v>
      </c>
    </row>
    <row r="1731" spans="1:5" x14ac:dyDescent="0.25">
      <c r="A1731" s="8" t="str">
        <f t="shared" ref="A1731:A1794" si="27">TEXT(B1731,"000")</f>
        <v>204</v>
      </c>
      <c r="B1731" s="8" t="s">
        <v>144</v>
      </c>
      <c r="C1731" s="12" t="s">
        <v>1841</v>
      </c>
      <c r="D1731" s="8">
        <v>24</v>
      </c>
      <c r="E1731" s="8" t="s">
        <v>282</v>
      </c>
    </row>
    <row r="1732" spans="1:5" x14ac:dyDescent="0.25">
      <c r="A1732" s="8" t="str">
        <f t="shared" si="27"/>
        <v>205</v>
      </c>
      <c r="B1732" s="8" t="s">
        <v>146</v>
      </c>
      <c r="C1732" s="12" t="s">
        <v>1842</v>
      </c>
      <c r="D1732" s="8">
        <v>24</v>
      </c>
      <c r="E1732" s="8" t="s">
        <v>282</v>
      </c>
    </row>
    <row r="1733" spans="1:5" x14ac:dyDescent="0.25">
      <c r="A1733" s="8" t="str">
        <f t="shared" si="27"/>
        <v>206</v>
      </c>
      <c r="B1733" s="8" t="s">
        <v>148</v>
      </c>
      <c r="C1733" s="12" t="s">
        <v>1843</v>
      </c>
      <c r="D1733" s="8">
        <v>24</v>
      </c>
      <c r="E1733" s="8" t="s">
        <v>282</v>
      </c>
    </row>
    <row r="1734" spans="1:5" x14ac:dyDescent="0.25">
      <c r="A1734" s="8" t="str">
        <f t="shared" si="27"/>
        <v>207</v>
      </c>
      <c r="B1734" s="8" t="s">
        <v>150</v>
      </c>
      <c r="C1734" s="12" t="s">
        <v>1844</v>
      </c>
      <c r="D1734" s="8">
        <v>24</v>
      </c>
      <c r="E1734" s="8" t="s">
        <v>282</v>
      </c>
    </row>
    <row r="1735" spans="1:5" x14ac:dyDescent="0.25">
      <c r="A1735" s="8" t="str">
        <f t="shared" si="27"/>
        <v>208</v>
      </c>
      <c r="B1735" s="8" t="s">
        <v>1845</v>
      </c>
      <c r="C1735" s="12" t="s">
        <v>1846</v>
      </c>
      <c r="D1735" s="8">
        <v>24</v>
      </c>
      <c r="E1735" s="8" t="s">
        <v>282</v>
      </c>
    </row>
    <row r="1736" spans="1:5" x14ac:dyDescent="0.25">
      <c r="A1736" s="8" t="str">
        <f t="shared" si="27"/>
        <v>209</v>
      </c>
      <c r="B1736" s="8" t="s">
        <v>1847</v>
      </c>
      <c r="C1736" s="12" t="s">
        <v>1848</v>
      </c>
      <c r="D1736" s="8">
        <v>24</v>
      </c>
      <c r="E1736" s="8" t="s">
        <v>282</v>
      </c>
    </row>
    <row r="1737" spans="1:5" x14ac:dyDescent="0.25">
      <c r="A1737" s="8" t="str">
        <f t="shared" si="27"/>
        <v>210</v>
      </c>
      <c r="B1737" s="8" t="s">
        <v>1849</v>
      </c>
      <c r="C1737" s="12" t="s">
        <v>1850</v>
      </c>
      <c r="D1737" s="8">
        <v>24</v>
      </c>
      <c r="E1737" s="8" t="s">
        <v>282</v>
      </c>
    </row>
    <row r="1738" spans="1:5" x14ac:dyDescent="0.25">
      <c r="A1738" s="8" t="str">
        <f t="shared" si="27"/>
        <v>211</v>
      </c>
      <c r="B1738" s="8" t="s">
        <v>1851</v>
      </c>
      <c r="C1738" s="12" t="s">
        <v>1852</v>
      </c>
      <c r="D1738" s="8">
        <v>24</v>
      </c>
      <c r="E1738" s="8" t="s">
        <v>282</v>
      </c>
    </row>
    <row r="1739" spans="1:5" x14ac:dyDescent="0.25">
      <c r="A1739" s="8" t="str">
        <f t="shared" si="27"/>
        <v>212</v>
      </c>
      <c r="B1739" s="8" t="s">
        <v>1853</v>
      </c>
      <c r="C1739" s="12" t="s">
        <v>1854</v>
      </c>
      <c r="D1739" s="8">
        <v>24</v>
      </c>
      <c r="E1739" s="8" t="s">
        <v>282</v>
      </c>
    </row>
    <row r="1740" spans="1:5" x14ac:dyDescent="0.25">
      <c r="A1740" s="8" t="str">
        <f t="shared" si="27"/>
        <v>213</v>
      </c>
      <c r="B1740" s="8" t="s">
        <v>1855</v>
      </c>
      <c r="C1740" s="12" t="s">
        <v>1856</v>
      </c>
      <c r="D1740" s="8">
        <v>24</v>
      </c>
      <c r="E1740" s="8" t="s">
        <v>282</v>
      </c>
    </row>
    <row r="1741" spans="1:5" x14ac:dyDescent="0.25">
      <c r="A1741" s="8" t="str">
        <f t="shared" si="27"/>
        <v>214</v>
      </c>
      <c r="B1741" s="8" t="s">
        <v>1857</v>
      </c>
      <c r="C1741" s="12" t="s">
        <v>1858</v>
      </c>
      <c r="D1741" s="8">
        <v>24</v>
      </c>
      <c r="E1741" s="8" t="s">
        <v>282</v>
      </c>
    </row>
    <row r="1742" spans="1:5" x14ac:dyDescent="0.25">
      <c r="A1742" s="8" t="str">
        <f t="shared" si="27"/>
        <v>215</v>
      </c>
      <c r="B1742" s="8" t="s">
        <v>1859</v>
      </c>
      <c r="C1742" s="12" t="s">
        <v>1860</v>
      </c>
      <c r="D1742" s="8">
        <v>24</v>
      </c>
      <c r="E1742" s="8" t="s">
        <v>282</v>
      </c>
    </row>
    <row r="1743" spans="1:5" x14ac:dyDescent="0.25">
      <c r="A1743" s="8" t="str">
        <f t="shared" si="27"/>
        <v>216</v>
      </c>
      <c r="B1743" s="8" t="s">
        <v>1861</v>
      </c>
      <c r="C1743" s="12" t="s">
        <v>1862</v>
      </c>
      <c r="D1743" s="8">
        <v>24</v>
      </c>
      <c r="E1743" s="8" t="s">
        <v>282</v>
      </c>
    </row>
    <row r="1744" spans="1:5" x14ac:dyDescent="0.25">
      <c r="A1744" s="8" t="str">
        <f t="shared" si="27"/>
        <v>217</v>
      </c>
      <c r="B1744" s="8" t="s">
        <v>1863</v>
      </c>
      <c r="C1744" s="12" t="s">
        <v>1864</v>
      </c>
      <c r="D1744" s="8">
        <v>24</v>
      </c>
      <c r="E1744" s="8" t="s">
        <v>282</v>
      </c>
    </row>
    <row r="1745" spans="1:5" x14ac:dyDescent="0.25">
      <c r="A1745" s="8" t="str">
        <f t="shared" si="27"/>
        <v>218</v>
      </c>
      <c r="B1745" s="8" t="s">
        <v>1865</v>
      </c>
      <c r="C1745" s="12" t="s">
        <v>1866</v>
      </c>
      <c r="D1745" s="8">
        <v>24</v>
      </c>
      <c r="E1745" s="8" t="s">
        <v>282</v>
      </c>
    </row>
    <row r="1746" spans="1:5" x14ac:dyDescent="0.25">
      <c r="A1746" s="8" t="str">
        <f t="shared" si="27"/>
        <v>219</v>
      </c>
      <c r="B1746" s="8" t="s">
        <v>1867</v>
      </c>
      <c r="C1746" s="12" t="s">
        <v>1868</v>
      </c>
      <c r="D1746" s="8">
        <v>24</v>
      </c>
      <c r="E1746" s="8" t="s">
        <v>282</v>
      </c>
    </row>
    <row r="1747" spans="1:5" x14ac:dyDescent="0.25">
      <c r="A1747" s="8" t="str">
        <f t="shared" si="27"/>
        <v>220</v>
      </c>
      <c r="B1747" s="8" t="s">
        <v>1869</v>
      </c>
      <c r="C1747" s="12" t="s">
        <v>1870</v>
      </c>
      <c r="D1747" s="8">
        <v>24</v>
      </c>
      <c r="E1747" s="8" t="s">
        <v>282</v>
      </c>
    </row>
    <row r="1748" spans="1:5" x14ac:dyDescent="0.25">
      <c r="A1748" s="8" t="str">
        <f t="shared" si="27"/>
        <v>221</v>
      </c>
      <c r="B1748" s="8" t="s">
        <v>1871</v>
      </c>
      <c r="C1748" s="12" t="s">
        <v>1872</v>
      </c>
      <c r="D1748" s="8">
        <v>24</v>
      </c>
      <c r="E1748" s="8" t="s">
        <v>282</v>
      </c>
    </row>
    <row r="1749" spans="1:5" x14ac:dyDescent="0.25">
      <c r="A1749" s="8" t="str">
        <f t="shared" si="27"/>
        <v>222</v>
      </c>
      <c r="B1749" s="8" t="s">
        <v>1873</v>
      </c>
      <c r="C1749" s="12" t="s">
        <v>1874</v>
      </c>
      <c r="D1749" s="8">
        <v>24</v>
      </c>
      <c r="E1749" s="8" t="s">
        <v>282</v>
      </c>
    </row>
    <row r="1750" spans="1:5" x14ac:dyDescent="0.25">
      <c r="A1750" s="8" t="str">
        <f t="shared" si="27"/>
        <v>223</v>
      </c>
      <c r="B1750" s="8" t="s">
        <v>1875</v>
      </c>
      <c r="C1750" s="12" t="s">
        <v>1876</v>
      </c>
      <c r="D1750" s="8">
        <v>24</v>
      </c>
      <c r="E1750" s="8" t="s">
        <v>282</v>
      </c>
    </row>
    <row r="1751" spans="1:5" x14ac:dyDescent="0.25">
      <c r="A1751" s="8" t="str">
        <f t="shared" si="27"/>
        <v>224</v>
      </c>
      <c r="B1751" s="8" t="s">
        <v>1877</v>
      </c>
      <c r="C1751" s="12" t="s">
        <v>1878</v>
      </c>
      <c r="D1751" s="8">
        <v>24</v>
      </c>
      <c r="E1751" s="8" t="s">
        <v>282</v>
      </c>
    </row>
    <row r="1752" spans="1:5" x14ac:dyDescent="0.25">
      <c r="A1752" s="8" t="str">
        <f t="shared" si="27"/>
        <v>226</v>
      </c>
      <c r="B1752" s="8" t="s">
        <v>1879</v>
      </c>
      <c r="C1752" s="12" t="s">
        <v>1880</v>
      </c>
      <c r="D1752" s="8">
        <v>24</v>
      </c>
      <c r="E1752" s="8" t="s">
        <v>282</v>
      </c>
    </row>
    <row r="1753" spans="1:5" x14ac:dyDescent="0.25">
      <c r="A1753" s="8" t="str">
        <f t="shared" si="27"/>
        <v>227</v>
      </c>
      <c r="B1753" s="8" t="s">
        <v>1881</v>
      </c>
      <c r="C1753" s="12" t="s">
        <v>1882</v>
      </c>
      <c r="D1753" s="8">
        <v>24</v>
      </c>
      <c r="E1753" s="8" t="s">
        <v>282</v>
      </c>
    </row>
    <row r="1754" spans="1:5" x14ac:dyDescent="0.25">
      <c r="A1754" s="8" t="str">
        <f t="shared" si="27"/>
        <v>228</v>
      </c>
      <c r="B1754" s="8" t="s">
        <v>1883</v>
      </c>
      <c r="C1754" s="12" t="s">
        <v>1884</v>
      </c>
      <c r="D1754" s="8">
        <v>24</v>
      </c>
      <c r="E1754" s="8" t="s">
        <v>282</v>
      </c>
    </row>
    <row r="1755" spans="1:5" x14ac:dyDescent="0.25">
      <c r="A1755" s="8" t="str">
        <f t="shared" si="27"/>
        <v>229</v>
      </c>
      <c r="B1755" s="8" t="s">
        <v>1885</v>
      </c>
      <c r="C1755" s="12" t="s">
        <v>1886</v>
      </c>
      <c r="D1755" s="8">
        <v>24</v>
      </c>
      <c r="E1755" s="8" t="s">
        <v>282</v>
      </c>
    </row>
    <row r="1756" spans="1:5" x14ac:dyDescent="0.25">
      <c r="A1756" s="8" t="str">
        <f t="shared" si="27"/>
        <v>230</v>
      </c>
      <c r="B1756" s="8" t="s">
        <v>1887</v>
      </c>
      <c r="C1756" s="12" t="s">
        <v>1888</v>
      </c>
      <c r="D1756" s="8">
        <v>24</v>
      </c>
      <c r="E1756" s="8" t="s">
        <v>282</v>
      </c>
    </row>
    <row r="1757" spans="1:5" x14ac:dyDescent="0.25">
      <c r="A1757" s="8" t="str">
        <f t="shared" si="27"/>
        <v>231</v>
      </c>
      <c r="B1757" s="8" t="s">
        <v>1889</v>
      </c>
      <c r="C1757" s="12" t="s">
        <v>1890</v>
      </c>
      <c r="D1757" s="8">
        <v>24</v>
      </c>
      <c r="E1757" s="8" t="s">
        <v>282</v>
      </c>
    </row>
    <row r="1758" spans="1:5" x14ac:dyDescent="0.25">
      <c r="A1758" s="8" t="str">
        <f t="shared" si="27"/>
        <v>232</v>
      </c>
      <c r="B1758" s="8" t="s">
        <v>1891</v>
      </c>
      <c r="C1758" s="12" t="s">
        <v>1892</v>
      </c>
      <c r="D1758" s="8">
        <v>24</v>
      </c>
      <c r="E1758" s="8" t="s">
        <v>282</v>
      </c>
    </row>
    <row r="1759" spans="1:5" ht="45" x14ac:dyDescent="0.25">
      <c r="A1759" s="8" t="str">
        <f t="shared" si="27"/>
        <v>233</v>
      </c>
      <c r="B1759" s="8" t="s">
        <v>1893</v>
      </c>
      <c r="C1759" s="13" t="s">
        <v>1894</v>
      </c>
      <c r="D1759" s="8">
        <v>24</v>
      </c>
      <c r="E1759" s="8" t="s">
        <v>282</v>
      </c>
    </row>
    <row r="1760" spans="1:5" x14ac:dyDescent="0.25">
      <c r="A1760" s="8" t="str">
        <f t="shared" si="27"/>
        <v>234</v>
      </c>
      <c r="B1760" s="8" t="s">
        <v>1895</v>
      </c>
      <c r="C1760" s="12" t="s">
        <v>1896</v>
      </c>
      <c r="D1760" s="8">
        <v>24</v>
      </c>
      <c r="E1760" s="8" t="s">
        <v>282</v>
      </c>
    </row>
    <row r="1761" spans="1:5" x14ac:dyDescent="0.25">
      <c r="A1761" s="8" t="str">
        <f t="shared" si="27"/>
        <v>235</v>
      </c>
      <c r="B1761" s="8" t="s">
        <v>1897</v>
      </c>
      <c r="C1761" s="12" t="s">
        <v>1898</v>
      </c>
      <c r="D1761" s="8">
        <v>24</v>
      </c>
      <c r="E1761" s="8" t="s">
        <v>282</v>
      </c>
    </row>
    <row r="1762" spans="1:5" x14ac:dyDescent="0.25">
      <c r="A1762" s="8" t="str">
        <f t="shared" si="27"/>
        <v>236</v>
      </c>
      <c r="B1762" s="8" t="s">
        <v>1899</v>
      </c>
      <c r="C1762" s="12" t="s">
        <v>1900</v>
      </c>
      <c r="D1762" s="8">
        <v>24</v>
      </c>
      <c r="E1762" s="8" t="s">
        <v>282</v>
      </c>
    </row>
    <row r="1763" spans="1:5" x14ac:dyDescent="0.25">
      <c r="A1763" s="8" t="str">
        <f t="shared" si="27"/>
        <v>237</v>
      </c>
      <c r="B1763" s="8" t="s">
        <v>1901</v>
      </c>
      <c r="C1763" s="12" t="s">
        <v>1902</v>
      </c>
      <c r="D1763" s="8">
        <v>24</v>
      </c>
      <c r="E1763" s="8" t="s">
        <v>282</v>
      </c>
    </row>
    <row r="1764" spans="1:5" x14ac:dyDescent="0.25">
      <c r="A1764" s="8" t="str">
        <f t="shared" si="27"/>
        <v>238</v>
      </c>
      <c r="B1764" s="8" t="s">
        <v>1903</v>
      </c>
      <c r="C1764" s="12" t="s">
        <v>1904</v>
      </c>
      <c r="D1764" s="8">
        <v>24</v>
      </c>
      <c r="E1764" s="8" t="s">
        <v>282</v>
      </c>
    </row>
    <row r="1765" spans="1:5" x14ac:dyDescent="0.25">
      <c r="A1765" s="8" t="str">
        <f t="shared" si="27"/>
        <v>239</v>
      </c>
      <c r="B1765" s="8" t="s">
        <v>1905</v>
      </c>
      <c r="C1765" s="12" t="s">
        <v>1906</v>
      </c>
      <c r="D1765" s="8">
        <v>24</v>
      </c>
      <c r="E1765" s="8" t="s">
        <v>282</v>
      </c>
    </row>
    <row r="1766" spans="1:5" x14ac:dyDescent="0.25">
      <c r="A1766" s="8" t="str">
        <f t="shared" si="27"/>
        <v>240</v>
      </c>
      <c r="B1766" s="8" t="s">
        <v>1907</v>
      </c>
      <c r="C1766" s="12" t="s">
        <v>1908</v>
      </c>
      <c r="D1766" s="8">
        <v>24</v>
      </c>
      <c r="E1766" s="8" t="s">
        <v>282</v>
      </c>
    </row>
    <row r="1767" spans="1:5" x14ac:dyDescent="0.25">
      <c r="A1767" s="8" t="str">
        <f t="shared" si="27"/>
        <v>241</v>
      </c>
      <c r="B1767" s="8" t="s">
        <v>1909</v>
      </c>
      <c r="C1767" s="12" t="s">
        <v>1910</v>
      </c>
      <c r="D1767" s="8">
        <v>24</v>
      </c>
      <c r="E1767" s="8" t="s">
        <v>282</v>
      </c>
    </row>
    <row r="1768" spans="1:5" x14ac:dyDescent="0.25">
      <c r="A1768" s="8" t="str">
        <f t="shared" si="27"/>
        <v>242</v>
      </c>
      <c r="B1768" s="8" t="s">
        <v>1911</v>
      </c>
      <c r="C1768" s="12" t="s">
        <v>1912</v>
      </c>
      <c r="D1768" s="8">
        <v>24</v>
      </c>
      <c r="E1768" s="8" t="s">
        <v>282</v>
      </c>
    </row>
    <row r="1769" spans="1:5" x14ac:dyDescent="0.25">
      <c r="A1769" s="8" t="str">
        <f t="shared" si="27"/>
        <v>243</v>
      </c>
      <c r="B1769" s="8" t="s">
        <v>1913</v>
      </c>
      <c r="C1769" s="12" t="s">
        <v>1914</v>
      </c>
      <c r="D1769" s="8">
        <v>24</v>
      </c>
      <c r="E1769" s="8" t="s">
        <v>282</v>
      </c>
    </row>
    <row r="1770" spans="1:5" x14ac:dyDescent="0.25">
      <c r="A1770" s="8" t="str">
        <f t="shared" si="27"/>
        <v>244</v>
      </c>
      <c r="B1770" s="8" t="s">
        <v>1915</v>
      </c>
      <c r="C1770" s="12" t="s">
        <v>1916</v>
      </c>
      <c r="D1770" s="8">
        <v>24</v>
      </c>
      <c r="E1770" s="8" t="s">
        <v>282</v>
      </c>
    </row>
    <row r="1771" spans="1:5" x14ac:dyDescent="0.25">
      <c r="A1771" s="8" t="str">
        <f t="shared" si="27"/>
        <v>245</v>
      </c>
      <c r="B1771" s="8" t="s">
        <v>1917</v>
      </c>
      <c r="C1771" s="12" t="s">
        <v>1918</v>
      </c>
      <c r="D1771" s="8">
        <v>24</v>
      </c>
      <c r="E1771" s="8" t="s">
        <v>282</v>
      </c>
    </row>
    <row r="1772" spans="1:5" x14ac:dyDescent="0.25">
      <c r="A1772" s="8" t="str">
        <f t="shared" si="27"/>
        <v>246</v>
      </c>
      <c r="B1772" s="8" t="s">
        <v>1919</v>
      </c>
      <c r="C1772" s="12" t="s">
        <v>1920</v>
      </c>
      <c r="D1772" s="8">
        <v>24</v>
      </c>
      <c r="E1772" s="8" t="s">
        <v>282</v>
      </c>
    </row>
    <row r="1773" spans="1:5" x14ac:dyDescent="0.25">
      <c r="A1773" s="8" t="str">
        <f t="shared" si="27"/>
        <v>247</v>
      </c>
      <c r="B1773" s="8" t="s">
        <v>1921</v>
      </c>
      <c r="C1773" s="12" t="s">
        <v>1922</v>
      </c>
      <c r="D1773" s="8">
        <v>24</v>
      </c>
      <c r="E1773" s="8" t="s">
        <v>282</v>
      </c>
    </row>
    <row r="1774" spans="1:5" x14ac:dyDescent="0.25">
      <c r="A1774" s="8" t="str">
        <f t="shared" si="27"/>
        <v>248</v>
      </c>
      <c r="B1774" s="8" t="s">
        <v>1923</v>
      </c>
      <c r="C1774" s="12" t="s">
        <v>1924</v>
      </c>
      <c r="D1774" s="8">
        <v>24</v>
      </c>
      <c r="E1774" s="8" t="s">
        <v>282</v>
      </c>
    </row>
    <row r="1775" spans="1:5" ht="30" x14ac:dyDescent="0.25">
      <c r="A1775" s="8" t="str">
        <f t="shared" si="27"/>
        <v>249</v>
      </c>
      <c r="B1775" s="8" t="s">
        <v>1925</v>
      </c>
      <c r="C1775" s="13" t="s">
        <v>1926</v>
      </c>
      <c r="D1775" s="8">
        <v>24</v>
      </c>
      <c r="E1775" s="8" t="s">
        <v>282</v>
      </c>
    </row>
    <row r="1776" spans="1:5" x14ac:dyDescent="0.25">
      <c r="A1776" s="8" t="str">
        <f t="shared" si="27"/>
        <v>250</v>
      </c>
      <c r="B1776" s="8" t="s">
        <v>1927</v>
      </c>
      <c r="C1776" s="12" t="s">
        <v>1928</v>
      </c>
      <c r="D1776" s="8">
        <v>24</v>
      </c>
      <c r="E1776" s="8" t="s">
        <v>282</v>
      </c>
    </row>
    <row r="1777" spans="1:5" x14ac:dyDescent="0.25">
      <c r="A1777" s="8" t="str">
        <f t="shared" si="27"/>
        <v>251</v>
      </c>
      <c r="B1777" s="8" t="s">
        <v>1929</v>
      </c>
      <c r="C1777" s="12" t="s">
        <v>1930</v>
      </c>
      <c r="D1777" s="8">
        <v>24</v>
      </c>
      <c r="E1777" s="8" t="s">
        <v>282</v>
      </c>
    </row>
    <row r="1778" spans="1:5" x14ac:dyDescent="0.25">
      <c r="A1778" s="8" t="str">
        <f t="shared" si="27"/>
        <v>252</v>
      </c>
      <c r="B1778" s="8" t="s">
        <v>1931</v>
      </c>
      <c r="C1778" s="12" t="s">
        <v>1932</v>
      </c>
      <c r="D1778" s="8">
        <v>24</v>
      </c>
      <c r="E1778" s="8" t="s">
        <v>282</v>
      </c>
    </row>
    <row r="1779" spans="1:5" x14ac:dyDescent="0.25">
      <c r="A1779" s="8" t="str">
        <f t="shared" si="27"/>
        <v>253</v>
      </c>
      <c r="B1779" s="8" t="s">
        <v>1933</v>
      </c>
      <c r="C1779" s="12" t="s">
        <v>1934</v>
      </c>
      <c r="D1779" s="8">
        <v>24</v>
      </c>
      <c r="E1779" s="8" t="s">
        <v>282</v>
      </c>
    </row>
    <row r="1780" spans="1:5" x14ac:dyDescent="0.25">
      <c r="A1780" s="8" t="str">
        <f t="shared" si="27"/>
        <v>254</v>
      </c>
      <c r="B1780" s="8" t="s">
        <v>1935</v>
      </c>
      <c r="C1780" s="12" t="s">
        <v>1936</v>
      </c>
      <c r="D1780" s="8">
        <v>24</v>
      </c>
      <c r="E1780" s="8" t="s">
        <v>282</v>
      </c>
    </row>
    <row r="1781" spans="1:5" x14ac:dyDescent="0.25">
      <c r="A1781" s="8" t="str">
        <f t="shared" si="27"/>
        <v>255</v>
      </c>
      <c r="B1781" s="8">
        <v>255</v>
      </c>
      <c r="C1781" s="12" t="s">
        <v>1937</v>
      </c>
      <c r="D1781" s="8">
        <v>24</v>
      </c>
      <c r="E1781" s="8" t="s">
        <v>282</v>
      </c>
    </row>
    <row r="1782" spans="1:5" x14ac:dyDescent="0.25">
      <c r="A1782" s="8" t="str">
        <f t="shared" si="27"/>
        <v>256</v>
      </c>
      <c r="B1782" s="8">
        <v>256</v>
      </c>
      <c r="C1782" s="12" t="s">
        <v>1938</v>
      </c>
      <c r="D1782" s="8">
        <v>24</v>
      </c>
      <c r="E1782" s="8" t="s">
        <v>282</v>
      </c>
    </row>
    <row r="1783" spans="1:5" x14ac:dyDescent="0.25">
      <c r="A1783" s="8" t="str">
        <f t="shared" si="27"/>
        <v>001</v>
      </c>
      <c r="B1783" s="8" t="s">
        <v>262</v>
      </c>
      <c r="C1783" s="12" t="s">
        <v>1939</v>
      </c>
      <c r="D1783" s="8">
        <v>24</v>
      </c>
      <c r="E1783" s="8" t="s">
        <v>288</v>
      </c>
    </row>
    <row r="1784" spans="1:5" x14ac:dyDescent="0.25">
      <c r="A1784" s="8" t="str">
        <f t="shared" si="27"/>
        <v>002</v>
      </c>
      <c r="B1784" s="8" t="s">
        <v>264</v>
      </c>
      <c r="C1784" s="12" t="s">
        <v>1940</v>
      </c>
      <c r="D1784" s="8">
        <v>24</v>
      </c>
      <c r="E1784" s="8" t="s">
        <v>288</v>
      </c>
    </row>
    <row r="1785" spans="1:5" x14ac:dyDescent="0.25">
      <c r="A1785" s="8" t="str">
        <f t="shared" si="27"/>
        <v>003</v>
      </c>
      <c r="B1785" s="8" t="s">
        <v>67</v>
      </c>
      <c r="C1785" s="12" t="s">
        <v>1941</v>
      </c>
      <c r="D1785" s="8">
        <v>24</v>
      </c>
      <c r="E1785" s="8" t="s">
        <v>288</v>
      </c>
    </row>
    <row r="1786" spans="1:5" x14ac:dyDescent="0.25">
      <c r="A1786" s="8" t="str">
        <f t="shared" si="27"/>
        <v>004</v>
      </c>
      <c r="B1786" s="8" t="s">
        <v>69</v>
      </c>
      <c r="C1786" s="12" t="s">
        <v>1942</v>
      </c>
      <c r="D1786" s="8">
        <v>24</v>
      </c>
      <c r="E1786" s="8" t="s">
        <v>288</v>
      </c>
    </row>
    <row r="1787" spans="1:5" x14ac:dyDescent="0.25">
      <c r="A1787" s="8" t="str">
        <f t="shared" si="27"/>
        <v>005</v>
      </c>
      <c r="B1787" s="8" t="s">
        <v>78</v>
      </c>
      <c r="C1787" s="12" t="s">
        <v>1943</v>
      </c>
      <c r="D1787" s="8">
        <v>24</v>
      </c>
      <c r="E1787" s="8" t="s">
        <v>288</v>
      </c>
    </row>
    <row r="1788" spans="1:5" x14ac:dyDescent="0.25">
      <c r="A1788" s="8" t="str">
        <f t="shared" si="27"/>
        <v>006</v>
      </c>
      <c r="B1788" s="8" t="s">
        <v>80</v>
      </c>
      <c r="C1788" s="12" t="s">
        <v>1944</v>
      </c>
      <c r="D1788" s="8">
        <v>24</v>
      </c>
      <c r="E1788" s="8" t="s">
        <v>288</v>
      </c>
    </row>
    <row r="1789" spans="1:5" x14ac:dyDescent="0.25">
      <c r="A1789" s="8" t="str">
        <f t="shared" si="27"/>
        <v>007</v>
      </c>
      <c r="B1789" s="8" t="s">
        <v>71</v>
      </c>
      <c r="C1789" s="12" t="s">
        <v>1945</v>
      </c>
      <c r="D1789" s="8">
        <v>24</v>
      </c>
      <c r="E1789" s="8" t="s">
        <v>288</v>
      </c>
    </row>
    <row r="1790" spans="1:5" x14ac:dyDescent="0.25">
      <c r="A1790" s="8" t="str">
        <f t="shared" si="27"/>
        <v>008</v>
      </c>
      <c r="B1790" s="8" t="s">
        <v>271</v>
      </c>
      <c r="C1790" s="12" t="s">
        <v>1946</v>
      </c>
      <c r="D1790" s="8">
        <v>24</v>
      </c>
      <c r="E1790" s="8" t="s">
        <v>288</v>
      </c>
    </row>
    <row r="1791" spans="1:5" x14ac:dyDescent="0.25">
      <c r="A1791" s="8" t="str">
        <f t="shared" si="27"/>
        <v>009</v>
      </c>
      <c r="B1791" s="8" t="s">
        <v>273</v>
      </c>
      <c r="C1791" s="12" t="s">
        <v>1947</v>
      </c>
      <c r="D1791" s="8">
        <v>24</v>
      </c>
      <c r="E1791" s="8" t="s">
        <v>288</v>
      </c>
    </row>
    <row r="1792" spans="1:5" x14ac:dyDescent="0.25">
      <c r="A1792" s="8" t="str">
        <f t="shared" si="27"/>
        <v>010</v>
      </c>
      <c r="B1792" s="8" t="s">
        <v>61</v>
      </c>
      <c r="C1792" s="12" t="s">
        <v>1948</v>
      </c>
      <c r="D1792" s="8">
        <v>24</v>
      </c>
      <c r="E1792" s="8" t="s">
        <v>288</v>
      </c>
    </row>
    <row r="1793" spans="1:5" x14ac:dyDescent="0.25">
      <c r="A1793" s="8" t="str">
        <f t="shared" si="27"/>
        <v>011</v>
      </c>
      <c r="B1793" s="8" t="s">
        <v>74</v>
      </c>
      <c r="C1793" s="12" t="s">
        <v>1949</v>
      </c>
      <c r="D1793" s="8">
        <v>24</v>
      </c>
      <c r="E1793" s="8" t="s">
        <v>288</v>
      </c>
    </row>
    <row r="1794" spans="1:5" x14ac:dyDescent="0.25">
      <c r="A1794" s="8" t="str">
        <f t="shared" si="27"/>
        <v>012</v>
      </c>
      <c r="B1794" s="8" t="s">
        <v>76</v>
      </c>
      <c r="C1794" s="12" t="s">
        <v>1950</v>
      </c>
      <c r="D1794" s="8">
        <v>24</v>
      </c>
      <c r="E1794" s="8" t="s">
        <v>288</v>
      </c>
    </row>
    <row r="1795" spans="1:5" x14ac:dyDescent="0.25">
      <c r="A1795" s="8" t="str">
        <f t="shared" ref="A1795:A1858" si="28">TEXT(B1795,"000")</f>
        <v>013</v>
      </c>
      <c r="B1795" s="8" t="s">
        <v>278</v>
      </c>
      <c r="C1795" s="12" t="s">
        <v>1951</v>
      </c>
      <c r="D1795" s="8">
        <v>24</v>
      </c>
      <c r="E1795" s="8" t="s">
        <v>288</v>
      </c>
    </row>
    <row r="1796" spans="1:5" x14ac:dyDescent="0.25">
      <c r="A1796" s="8" t="str">
        <f t="shared" si="28"/>
        <v>014</v>
      </c>
      <c r="B1796" s="8" t="s">
        <v>280</v>
      </c>
      <c r="C1796" s="12" t="s">
        <v>1952</v>
      </c>
      <c r="D1796" s="8">
        <v>24</v>
      </c>
      <c r="E1796" s="8" t="s">
        <v>288</v>
      </c>
    </row>
    <row r="1797" spans="1:5" x14ac:dyDescent="0.25">
      <c r="A1797" s="8" t="str">
        <f t="shared" si="28"/>
        <v>015</v>
      </c>
      <c r="B1797" s="8" t="s">
        <v>346</v>
      </c>
      <c r="C1797" s="12" t="s">
        <v>1953</v>
      </c>
      <c r="D1797" s="8">
        <v>24</v>
      </c>
      <c r="E1797" s="8" t="s">
        <v>288</v>
      </c>
    </row>
    <row r="1798" spans="1:5" x14ac:dyDescent="0.25">
      <c r="A1798" s="8" t="str">
        <f t="shared" si="28"/>
        <v>016</v>
      </c>
      <c r="B1798" s="8" t="s">
        <v>82</v>
      </c>
      <c r="C1798" s="12" t="s">
        <v>1954</v>
      </c>
      <c r="D1798" s="8">
        <v>24</v>
      </c>
      <c r="E1798" s="8" t="s">
        <v>288</v>
      </c>
    </row>
    <row r="1799" spans="1:5" x14ac:dyDescent="0.25">
      <c r="A1799" s="8" t="str">
        <f t="shared" si="28"/>
        <v>017</v>
      </c>
      <c r="B1799" s="8" t="s">
        <v>349</v>
      </c>
      <c r="C1799" s="12" t="s">
        <v>1955</v>
      </c>
      <c r="D1799" s="8">
        <v>24</v>
      </c>
      <c r="E1799" s="8" t="s">
        <v>288</v>
      </c>
    </row>
    <row r="1800" spans="1:5" x14ac:dyDescent="0.25">
      <c r="A1800" s="8" t="str">
        <f t="shared" si="28"/>
        <v>018</v>
      </c>
      <c r="B1800" s="8" t="s">
        <v>351</v>
      </c>
      <c r="C1800" s="12" t="s">
        <v>1956</v>
      </c>
      <c r="D1800" s="8">
        <v>24</v>
      </c>
      <c r="E1800" s="8" t="s">
        <v>288</v>
      </c>
    </row>
    <row r="1801" spans="1:5" x14ac:dyDescent="0.25">
      <c r="A1801" s="8" t="str">
        <f t="shared" si="28"/>
        <v>019</v>
      </c>
      <c r="B1801" s="8" t="s">
        <v>353</v>
      </c>
      <c r="C1801" s="12" t="s">
        <v>1957</v>
      </c>
      <c r="D1801" s="8">
        <v>24</v>
      </c>
      <c r="E1801" s="8" t="s">
        <v>288</v>
      </c>
    </row>
    <row r="1802" spans="1:5" x14ac:dyDescent="0.25">
      <c r="A1802" s="8" t="str">
        <f t="shared" si="28"/>
        <v>020</v>
      </c>
      <c r="B1802" s="8" t="s">
        <v>63</v>
      </c>
      <c r="C1802" s="12" t="s">
        <v>1958</v>
      </c>
      <c r="D1802" s="8">
        <v>24</v>
      </c>
      <c r="E1802" s="8" t="s">
        <v>288</v>
      </c>
    </row>
    <row r="1803" spans="1:5" x14ac:dyDescent="0.25">
      <c r="A1803" s="8" t="str">
        <f t="shared" si="28"/>
        <v>021</v>
      </c>
      <c r="B1803" s="8" t="s">
        <v>356</v>
      </c>
      <c r="C1803" s="12" t="s">
        <v>1959</v>
      </c>
      <c r="D1803" s="8">
        <v>24</v>
      </c>
      <c r="E1803" s="8" t="s">
        <v>288</v>
      </c>
    </row>
    <row r="1804" spans="1:5" x14ac:dyDescent="0.25">
      <c r="A1804" s="8" t="str">
        <f t="shared" si="28"/>
        <v>022</v>
      </c>
      <c r="B1804" s="8" t="s">
        <v>358</v>
      </c>
      <c r="C1804" s="12" t="s">
        <v>1960</v>
      </c>
      <c r="D1804" s="8">
        <v>24</v>
      </c>
      <c r="E1804" s="8" t="s">
        <v>288</v>
      </c>
    </row>
    <row r="1805" spans="1:5" x14ac:dyDescent="0.25">
      <c r="A1805" s="8" t="str">
        <f t="shared" si="28"/>
        <v>023</v>
      </c>
      <c r="B1805" s="8" t="s">
        <v>360</v>
      </c>
      <c r="C1805" s="12" t="s">
        <v>1961</v>
      </c>
      <c r="D1805" s="8">
        <v>24</v>
      </c>
      <c r="E1805" s="8" t="s">
        <v>288</v>
      </c>
    </row>
    <row r="1806" spans="1:5" x14ac:dyDescent="0.25">
      <c r="A1806" s="8" t="str">
        <f t="shared" si="28"/>
        <v>024</v>
      </c>
      <c r="B1806" s="8" t="s">
        <v>362</v>
      </c>
      <c r="C1806" s="12" t="s">
        <v>1962</v>
      </c>
      <c r="D1806" s="8">
        <v>24</v>
      </c>
      <c r="E1806" s="8" t="s">
        <v>288</v>
      </c>
    </row>
    <row r="1807" spans="1:5" x14ac:dyDescent="0.25">
      <c r="A1807" s="8" t="str">
        <f t="shared" si="28"/>
        <v>025</v>
      </c>
      <c r="B1807" s="8" t="s">
        <v>84</v>
      </c>
      <c r="C1807" s="12" t="s">
        <v>1963</v>
      </c>
      <c r="D1807" s="8">
        <v>24</v>
      </c>
      <c r="E1807" s="8" t="s">
        <v>288</v>
      </c>
    </row>
    <row r="1808" spans="1:5" ht="45" x14ac:dyDescent="0.25">
      <c r="A1808" s="8" t="str">
        <f t="shared" si="28"/>
        <v>026</v>
      </c>
      <c r="B1808" s="8" t="s">
        <v>365</v>
      </c>
      <c r="C1808" s="13" t="s">
        <v>1964</v>
      </c>
      <c r="D1808" s="8">
        <v>24</v>
      </c>
      <c r="E1808" s="8" t="s">
        <v>288</v>
      </c>
    </row>
    <row r="1809" spans="1:5" x14ac:dyDescent="0.25">
      <c r="A1809" s="8" t="str">
        <f t="shared" si="28"/>
        <v>027</v>
      </c>
      <c r="B1809" s="8" t="s">
        <v>367</v>
      </c>
      <c r="C1809" s="12" t="s">
        <v>1965</v>
      </c>
      <c r="D1809" s="8">
        <v>24</v>
      </c>
      <c r="E1809" s="8" t="s">
        <v>288</v>
      </c>
    </row>
    <row r="1810" spans="1:5" x14ac:dyDescent="0.25">
      <c r="A1810" s="8" t="str">
        <f t="shared" si="28"/>
        <v>000</v>
      </c>
      <c r="B1810" s="8" t="s">
        <v>65</v>
      </c>
      <c r="C1810" s="12" t="s">
        <v>66</v>
      </c>
      <c r="D1810" s="8">
        <v>24</v>
      </c>
    </row>
    <row r="1811" spans="1:5" x14ac:dyDescent="0.25">
      <c r="A1811" s="8" t="str">
        <f t="shared" si="28"/>
        <v>001</v>
      </c>
      <c r="B1811" s="8" t="s">
        <v>262</v>
      </c>
      <c r="C1811" s="12" t="s">
        <v>1966</v>
      </c>
      <c r="D1811" s="8">
        <v>24</v>
      </c>
    </row>
    <row r="1812" spans="1:5" x14ac:dyDescent="0.25">
      <c r="A1812" s="8" t="str">
        <f t="shared" si="28"/>
        <v>002</v>
      </c>
      <c r="B1812" s="8" t="s">
        <v>264</v>
      </c>
      <c r="C1812" s="12" t="s">
        <v>1967</v>
      </c>
      <c r="D1812" s="8">
        <v>24</v>
      </c>
    </row>
    <row r="1813" spans="1:5" x14ac:dyDescent="0.25">
      <c r="A1813" s="8" t="str">
        <f t="shared" si="28"/>
        <v>003</v>
      </c>
      <c r="B1813" s="8" t="s">
        <v>67</v>
      </c>
      <c r="C1813" s="12" t="s">
        <v>1968</v>
      </c>
      <c r="D1813" s="8">
        <v>24</v>
      </c>
    </row>
    <row r="1814" spans="1:5" x14ac:dyDescent="0.25">
      <c r="A1814" s="8" t="str">
        <f t="shared" si="28"/>
        <v>004</v>
      </c>
      <c r="B1814" s="8" t="s">
        <v>69</v>
      </c>
      <c r="C1814" s="12" t="s">
        <v>3</v>
      </c>
      <c r="D1814" s="8">
        <v>24</v>
      </c>
    </row>
    <row r="1815" spans="1:5" x14ac:dyDescent="0.25">
      <c r="A1815" s="8" t="str">
        <f t="shared" si="28"/>
        <v>005</v>
      </c>
      <c r="B1815" s="8" t="s">
        <v>78</v>
      </c>
      <c r="C1815" s="12" t="s">
        <v>1969</v>
      </c>
      <c r="D1815" s="8">
        <v>24</v>
      </c>
    </row>
    <row r="1816" spans="1:5" x14ac:dyDescent="0.25">
      <c r="A1816" s="8" t="str">
        <f t="shared" si="28"/>
        <v>006</v>
      </c>
      <c r="B1816" s="8" t="s">
        <v>80</v>
      </c>
      <c r="C1816" s="12" t="s">
        <v>1970</v>
      </c>
      <c r="D1816" s="8">
        <v>24</v>
      </c>
    </row>
    <row r="1817" spans="1:5" x14ac:dyDescent="0.25">
      <c r="A1817" s="8" t="str">
        <f t="shared" si="28"/>
        <v>007</v>
      </c>
      <c r="B1817" s="8" t="s">
        <v>71</v>
      </c>
      <c r="C1817" s="12" t="s">
        <v>1971</v>
      </c>
      <c r="D1817" s="8">
        <v>24</v>
      </c>
    </row>
    <row r="1818" spans="1:5" x14ac:dyDescent="0.25">
      <c r="A1818" s="8" t="str">
        <f t="shared" si="28"/>
        <v>008</v>
      </c>
      <c r="B1818" s="8" t="s">
        <v>271</v>
      </c>
      <c r="C1818" s="12" t="s">
        <v>1972</v>
      </c>
      <c r="D1818" s="8">
        <v>24</v>
      </c>
    </row>
    <row r="1819" spans="1:5" x14ac:dyDescent="0.25">
      <c r="A1819" s="8" t="str">
        <f t="shared" si="28"/>
        <v>009</v>
      </c>
      <c r="B1819" s="8" t="s">
        <v>273</v>
      </c>
      <c r="C1819" s="12" t="s">
        <v>1973</v>
      </c>
      <c r="D1819" s="8">
        <v>24</v>
      </c>
    </row>
    <row r="1820" spans="1:5" x14ac:dyDescent="0.25">
      <c r="A1820" s="8" t="str">
        <f t="shared" si="28"/>
        <v>010</v>
      </c>
      <c r="B1820" s="8" t="s">
        <v>61</v>
      </c>
      <c r="C1820" s="12" t="s">
        <v>1974</v>
      </c>
      <c r="D1820" s="8">
        <v>24</v>
      </c>
    </row>
    <row r="1821" spans="1:5" x14ac:dyDescent="0.25">
      <c r="A1821" s="8" t="str">
        <f t="shared" si="28"/>
        <v>011</v>
      </c>
      <c r="B1821" s="8" t="s">
        <v>74</v>
      </c>
      <c r="C1821" s="12" t="s">
        <v>1975</v>
      </c>
      <c r="D1821" s="8">
        <v>24</v>
      </c>
    </row>
    <row r="1822" spans="1:5" x14ac:dyDescent="0.25">
      <c r="A1822" s="8" t="str">
        <f t="shared" si="28"/>
        <v>012</v>
      </c>
      <c r="B1822" s="8" t="s">
        <v>76</v>
      </c>
      <c r="C1822" s="12" t="s">
        <v>1976</v>
      </c>
      <c r="D1822" s="8">
        <v>24</v>
      </c>
    </row>
    <row r="1823" spans="1:5" x14ac:dyDescent="0.25">
      <c r="A1823" s="8" t="str">
        <f t="shared" si="28"/>
        <v>013</v>
      </c>
      <c r="B1823" s="8" t="s">
        <v>278</v>
      </c>
      <c r="C1823" s="12" t="s">
        <v>1977</v>
      </c>
      <c r="D1823" s="8">
        <v>24</v>
      </c>
    </row>
    <row r="1824" spans="1:5" x14ac:dyDescent="0.25">
      <c r="A1824" s="8" t="str">
        <f t="shared" si="28"/>
        <v>014</v>
      </c>
      <c r="B1824" s="8" t="s">
        <v>280</v>
      </c>
      <c r="C1824" s="12" t="s">
        <v>1978</v>
      </c>
      <c r="D1824" s="8">
        <v>24</v>
      </c>
    </row>
    <row r="1825" spans="1:5" x14ac:dyDescent="0.25">
      <c r="A1825" s="8" t="str">
        <f t="shared" si="28"/>
        <v>015</v>
      </c>
      <c r="B1825" s="8" t="s">
        <v>346</v>
      </c>
      <c r="C1825" s="12" t="s">
        <v>1979</v>
      </c>
      <c r="D1825" s="8">
        <v>24</v>
      </c>
    </row>
    <row r="1826" spans="1:5" x14ac:dyDescent="0.25">
      <c r="A1826" s="8" t="str">
        <f t="shared" si="28"/>
        <v>016</v>
      </c>
      <c r="B1826" s="8" t="s">
        <v>82</v>
      </c>
      <c r="C1826" s="12" t="s">
        <v>1980</v>
      </c>
      <c r="D1826" s="8">
        <v>24</v>
      </c>
    </row>
    <row r="1827" spans="1:5" x14ac:dyDescent="0.25">
      <c r="A1827" s="8" t="str">
        <f t="shared" si="28"/>
        <v>017</v>
      </c>
      <c r="B1827" s="8" t="s">
        <v>349</v>
      </c>
      <c r="C1827" s="12" t="s">
        <v>1981</v>
      </c>
      <c r="D1827" s="8">
        <v>24</v>
      </c>
    </row>
    <row r="1828" spans="1:5" x14ac:dyDescent="0.25">
      <c r="A1828" s="8" t="str">
        <f t="shared" si="28"/>
        <v>018</v>
      </c>
      <c r="B1828" s="8" t="s">
        <v>351</v>
      </c>
      <c r="C1828" s="12" t="s">
        <v>1982</v>
      </c>
      <c r="D1828" s="8">
        <v>24</v>
      </c>
    </row>
    <row r="1829" spans="1:5" x14ac:dyDescent="0.25">
      <c r="A1829" s="8" t="str">
        <f t="shared" si="28"/>
        <v>019</v>
      </c>
      <c r="B1829" s="8" t="s">
        <v>353</v>
      </c>
      <c r="C1829" s="12" t="s">
        <v>1983</v>
      </c>
      <c r="D1829" s="8">
        <v>24</v>
      </c>
    </row>
    <row r="1830" spans="1:5" x14ac:dyDescent="0.25">
      <c r="A1830" s="8" t="str">
        <f t="shared" si="28"/>
        <v>020</v>
      </c>
      <c r="B1830" s="8" t="s">
        <v>63</v>
      </c>
      <c r="C1830" s="12" t="s">
        <v>1984</v>
      </c>
      <c r="D1830" s="8">
        <v>24</v>
      </c>
    </row>
    <row r="1831" spans="1:5" x14ac:dyDescent="0.25">
      <c r="A1831" s="8" t="str">
        <f t="shared" si="28"/>
        <v>001</v>
      </c>
      <c r="B1831" s="8" t="s">
        <v>262</v>
      </c>
      <c r="C1831" s="12" t="s">
        <v>1985</v>
      </c>
      <c r="D1831" s="8">
        <v>24</v>
      </c>
      <c r="E1831" s="8" t="s">
        <v>302</v>
      </c>
    </row>
    <row r="1832" spans="1:5" x14ac:dyDescent="0.25">
      <c r="A1832" s="8" t="str">
        <f t="shared" si="28"/>
        <v>002</v>
      </c>
      <c r="B1832" s="8" t="s">
        <v>264</v>
      </c>
      <c r="C1832" s="12" t="s">
        <v>1986</v>
      </c>
      <c r="D1832" s="8">
        <v>24</v>
      </c>
      <c r="E1832" s="8" t="s">
        <v>302</v>
      </c>
    </row>
    <row r="1833" spans="1:5" x14ac:dyDescent="0.25">
      <c r="A1833" s="8" t="str">
        <f t="shared" si="28"/>
        <v>003</v>
      </c>
      <c r="B1833" s="8" t="s">
        <v>67</v>
      </c>
      <c r="C1833" s="12" t="s">
        <v>1987</v>
      </c>
      <c r="D1833" s="8">
        <v>24</v>
      </c>
      <c r="E1833" s="8" t="s">
        <v>302</v>
      </c>
    </row>
    <row r="1834" spans="1:5" x14ac:dyDescent="0.25">
      <c r="A1834" s="8" t="str">
        <f t="shared" si="28"/>
        <v>004</v>
      </c>
      <c r="B1834" s="8">
        <v>4</v>
      </c>
      <c r="C1834" s="12" t="s">
        <v>1988</v>
      </c>
      <c r="D1834" s="8">
        <v>24</v>
      </c>
      <c r="E1834" s="8" t="s">
        <v>302</v>
      </c>
    </row>
    <row r="1835" spans="1:5" x14ac:dyDescent="0.25">
      <c r="A1835" s="8" t="str">
        <f t="shared" si="28"/>
        <v>001</v>
      </c>
      <c r="B1835" s="8" t="s">
        <v>262</v>
      </c>
      <c r="C1835" s="12" t="s">
        <v>1989</v>
      </c>
      <c r="D1835" s="8">
        <v>24</v>
      </c>
      <c r="E1835" s="8" t="s">
        <v>300</v>
      </c>
    </row>
    <row r="1836" spans="1:5" x14ac:dyDescent="0.25">
      <c r="A1836" s="8" t="str">
        <f t="shared" si="28"/>
        <v>002</v>
      </c>
      <c r="B1836" s="8" t="s">
        <v>264</v>
      </c>
      <c r="C1836" s="12" t="s">
        <v>1990</v>
      </c>
      <c r="D1836" s="8">
        <v>24</v>
      </c>
      <c r="E1836" s="8" t="s">
        <v>300</v>
      </c>
    </row>
    <row r="1837" spans="1:5" x14ac:dyDescent="0.25">
      <c r="A1837" s="8" t="str">
        <f t="shared" si="28"/>
        <v>003</v>
      </c>
      <c r="B1837" s="8" t="s">
        <v>67</v>
      </c>
      <c r="C1837" s="12" t="s">
        <v>1991</v>
      </c>
      <c r="D1837" s="8">
        <v>24</v>
      </c>
      <c r="E1837" s="8" t="s">
        <v>300</v>
      </c>
    </row>
    <row r="1838" spans="1:5" x14ac:dyDescent="0.25">
      <c r="A1838" s="8" t="str">
        <f t="shared" si="28"/>
        <v>004</v>
      </c>
      <c r="B1838" s="8" t="s">
        <v>69</v>
      </c>
      <c r="C1838" s="12" t="s">
        <v>1992</v>
      </c>
      <c r="D1838" s="8">
        <v>24</v>
      </c>
      <c r="E1838" s="8" t="s">
        <v>300</v>
      </c>
    </row>
    <row r="1839" spans="1:5" x14ac:dyDescent="0.25">
      <c r="A1839" s="8" t="str">
        <f t="shared" si="28"/>
        <v>005</v>
      </c>
      <c r="B1839" s="8" t="s">
        <v>78</v>
      </c>
      <c r="C1839" s="12" t="s">
        <v>1993</v>
      </c>
      <c r="D1839" s="8">
        <v>24</v>
      </c>
      <c r="E1839" s="8" t="s">
        <v>300</v>
      </c>
    </row>
    <row r="1840" spans="1:5" x14ac:dyDescent="0.25">
      <c r="A1840" s="8" t="str">
        <f t="shared" si="28"/>
        <v>006</v>
      </c>
      <c r="B1840" s="8" t="s">
        <v>80</v>
      </c>
      <c r="C1840" s="12" t="s">
        <v>1994</v>
      </c>
      <c r="D1840" s="8">
        <v>24</v>
      </c>
      <c r="E1840" s="8" t="s">
        <v>300</v>
      </c>
    </row>
    <row r="1841" spans="1:5" x14ac:dyDescent="0.25">
      <c r="A1841" s="8" t="str">
        <f t="shared" si="28"/>
        <v>007</v>
      </c>
      <c r="B1841" s="8" t="s">
        <v>71</v>
      </c>
      <c r="C1841" s="12" t="s">
        <v>1995</v>
      </c>
      <c r="D1841" s="8">
        <v>24</v>
      </c>
      <c r="E1841" s="8" t="s">
        <v>300</v>
      </c>
    </row>
    <row r="1842" spans="1:5" x14ac:dyDescent="0.25">
      <c r="A1842" s="8" t="str">
        <f t="shared" si="28"/>
        <v>008</v>
      </c>
      <c r="B1842" s="8" t="s">
        <v>271</v>
      </c>
      <c r="C1842" s="12" t="s">
        <v>1996</v>
      </c>
      <c r="D1842" s="8">
        <v>24</v>
      </c>
      <c r="E1842" s="8" t="s">
        <v>300</v>
      </c>
    </row>
    <row r="1843" spans="1:5" x14ac:dyDescent="0.25">
      <c r="A1843" s="8" t="str">
        <f t="shared" si="28"/>
        <v>009</v>
      </c>
      <c r="B1843" s="8" t="s">
        <v>273</v>
      </c>
      <c r="C1843" s="12" t="s">
        <v>1997</v>
      </c>
      <c r="D1843" s="8">
        <v>24</v>
      </c>
      <c r="E1843" s="8" t="s">
        <v>300</v>
      </c>
    </row>
    <row r="1844" spans="1:5" x14ac:dyDescent="0.25">
      <c r="A1844" s="8" t="str">
        <f t="shared" si="28"/>
        <v>010</v>
      </c>
      <c r="B1844" s="8" t="s">
        <v>61</v>
      </c>
      <c r="C1844" s="12" t="s">
        <v>1998</v>
      </c>
      <c r="D1844" s="8">
        <v>24</v>
      </c>
      <c r="E1844" s="8" t="s">
        <v>300</v>
      </c>
    </row>
    <row r="1845" spans="1:5" x14ac:dyDescent="0.25">
      <c r="A1845" s="8" t="str">
        <f t="shared" si="28"/>
        <v>011</v>
      </c>
      <c r="B1845" s="8" t="s">
        <v>74</v>
      </c>
      <c r="C1845" s="12" t="s">
        <v>1999</v>
      </c>
      <c r="D1845" s="8">
        <v>24</v>
      </c>
      <c r="E1845" s="8" t="s">
        <v>300</v>
      </c>
    </row>
    <row r="1846" spans="1:5" x14ac:dyDescent="0.25">
      <c r="A1846" s="8" t="str">
        <f t="shared" si="28"/>
        <v>012</v>
      </c>
      <c r="B1846" s="8" t="s">
        <v>76</v>
      </c>
      <c r="C1846" s="12" t="s">
        <v>2000</v>
      </c>
      <c r="D1846" s="8">
        <v>24</v>
      </c>
      <c r="E1846" s="8" t="s">
        <v>300</v>
      </c>
    </row>
    <row r="1847" spans="1:5" x14ac:dyDescent="0.25">
      <c r="A1847" s="8" t="str">
        <f t="shared" si="28"/>
        <v>013</v>
      </c>
      <c r="B1847" s="8" t="s">
        <v>278</v>
      </c>
      <c r="C1847" s="12" t="s">
        <v>2001</v>
      </c>
      <c r="D1847" s="8">
        <v>24</v>
      </c>
      <c r="E1847" s="8" t="s">
        <v>300</v>
      </c>
    </row>
    <row r="1848" spans="1:5" x14ac:dyDescent="0.25">
      <c r="A1848" s="8" t="str">
        <f t="shared" si="28"/>
        <v>101</v>
      </c>
      <c r="B1848" s="8">
        <v>101</v>
      </c>
      <c r="C1848" s="12" t="s">
        <v>2002</v>
      </c>
      <c r="D1848" s="8">
        <v>24</v>
      </c>
      <c r="E1848" s="8" t="s">
        <v>514</v>
      </c>
    </row>
    <row r="1849" spans="1:5" x14ac:dyDescent="0.25">
      <c r="A1849" s="8" t="str">
        <f t="shared" si="28"/>
        <v>001</v>
      </c>
      <c r="B1849" s="8" t="s">
        <v>262</v>
      </c>
      <c r="C1849" s="12" t="s">
        <v>2003</v>
      </c>
      <c r="D1849" s="8">
        <v>24</v>
      </c>
      <c r="E1849" s="8" t="s">
        <v>520</v>
      </c>
    </row>
    <row r="1850" spans="1:5" x14ac:dyDescent="0.25">
      <c r="A1850" s="8" t="str">
        <f t="shared" si="28"/>
        <v>002</v>
      </c>
      <c r="B1850" s="8" t="s">
        <v>264</v>
      </c>
      <c r="C1850" s="12" t="s">
        <v>2004</v>
      </c>
      <c r="D1850" s="8">
        <v>24</v>
      </c>
      <c r="E1850" s="8" t="s">
        <v>520</v>
      </c>
    </row>
    <row r="1851" spans="1:5" x14ac:dyDescent="0.25">
      <c r="A1851" s="8" t="str">
        <f t="shared" si="28"/>
        <v>003</v>
      </c>
      <c r="B1851" s="8" t="s">
        <v>67</v>
      </c>
      <c r="C1851" s="12" t="s">
        <v>2005</v>
      </c>
      <c r="D1851" s="8">
        <v>24</v>
      </c>
      <c r="E1851" s="8" t="s">
        <v>520</v>
      </c>
    </row>
    <row r="1852" spans="1:5" x14ac:dyDescent="0.25">
      <c r="A1852" s="8" t="str">
        <f t="shared" si="28"/>
        <v>004</v>
      </c>
      <c r="B1852" s="8" t="s">
        <v>69</v>
      </c>
      <c r="C1852" s="12" t="s">
        <v>2006</v>
      </c>
      <c r="D1852" s="8">
        <v>24</v>
      </c>
      <c r="E1852" s="8" t="s">
        <v>520</v>
      </c>
    </row>
    <row r="1853" spans="1:5" x14ac:dyDescent="0.25">
      <c r="A1853" s="8" t="str">
        <f t="shared" si="28"/>
        <v>005</v>
      </c>
      <c r="B1853" s="8" t="s">
        <v>78</v>
      </c>
      <c r="C1853" s="12" t="s">
        <v>2007</v>
      </c>
      <c r="D1853" s="8">
        <v>24</v>
      </c>
      <c r="E1853" s="8" t="s">
        <v>520</v>
      </c>
    </row>
    <row r="1854" spans="1:5" x14ac:dyDescent="0.25">
      <c r="A1854" s="8" t="str">
        <f t="shared" si="28"/>
        <v>006</v>
      </c>
      <c r="B1854" s="8" t="s">
        <v>80</v>
      </c>
      <c r="C1854" s="12" t="s">
        <v>2008</v>
      </c>
      <c r="D1854" s="8">
        <v>24</v>
      </c>
      <c r="E1854" s="8" t="s">
        <v>520</v>
      </c>
    </row>
    <row r="1855" spans="1:5" x14ac:dyDescent="0.25">
      <c r="A1855" s="8" t="str">
        <f t="shared" si="28"/>
        <v>001</v>
      </c>
      <c r="B1855" s="8" t="s">
        <v>262</v>
      </c>
      <c r="C1855" s="12" t="s">
        <v>2009</v>
      </c>
      <c r="D1855" s="8">
        <v>24</v>
      </c>
      <c r="E1855" s="8" t="s">
        <v>416</v>
      </c>
    </row>
    <row r="1856" spans="1:5" x14ac:dyDescent="0.25">
      <c r="A1856" s="8" t="str">
        <f t="shared" si="28"/>
        <v>002</v>
      </c>
      <c r="B1856" s="8" t="s">
        <v>264</v>
      </c>
      <c r="C1856" s="12" t="s">
        <v>2010</v>
      </c>
      <c r="D1856" s="8">
        <v>24</v>
      </c>
      <c r="E1856" s="8" t="s">
        <v>416</v>
      </c>
    </row>
    <row r="1857" spans="1:5" x14ac:dyDescent="0.25">
      <c r="A1857" s="8" t="str">
        <f t="shared" si="28"/>
        <v>003</v>
      </c>
      <c r="B1857" s="8" t="s">
        <v>67</v>
      </c>
      <c r="C1857" s="12" t="s">
        <v>2011</v>
      </c>
      <c r="D1857" s="8">
        <v>24</v>
      </c>
      <c r="E1857" s="8" t="s">
        <v>416</v>
      </c>
    </row>
    <row r="1858" spans="1:5" x14ac:dyDescent="0.25">
      <c r="A1858" s="8" t="str">
        <f t="shared" si="28"/>
        <v>001</v>
      </c>
      <c r="B1858" s="8" t="s">
        <v>262</v>
      </c>
      <c r="C1858" s="12" t="s">
        <v>2012</v>
      </c>
      <c r="D1858" s="8">
        <v>24</v>
      </c>
      <c r="E1858" s="8" t="s">
        <v>431</v>
      </c>
    </row>
    <row r="1859" spans="1:5" x14ac:dyDescent="0.25">
      <c r="A1859" s="8" t="str">
        <f t="shared" ref="A1859:A1922" si="29">TEXT(B1859,"000")</f>
        <v>001</v>
      </c>
      <c r="B1859" s="8" t="s">
        <v>262</v>
      </c>
      <c r="C1859" s="12" t="s">
        <v>2013</v>
      </c>
      <c r="D1859" s="8">
        <v>24</v>
      </c>
      <c r="E1859" s="8" t="s">
        <v>419</v>
      </c>
    </row>
    <row r="1860" spans="1:5" x14ac:dyDescent="0.25">
      <c r="A1860" s="8" t="str">
        <f t="shared" si="29"/>
        <v>001</v>
      </c>
      <c r="B1860" s="8" t="s">
        <v>262</v>
      </c>
      <c r="C1860" s="12" t="s">
        <v>2014</v>
      </c>
      <c r="D1860" s="8">
        <v>24</v>
      </c>
      <c r="E1860" s="8" t="s">
        <v>433</v>
      </c>
    </row>
    <row r="1861" spans="1:5" x14ac:dyDescent="0.25">
      <c r="A1861" s="8" t="str">
        <f t="shared" si="29"/>
        <v>001</v>
      </c>
      <c r="B1861" s="8" t="s">
        <v>262</v>
      </c>
      <c r="C1861" s="12" t="s">
        <v>2015</v>
      </c>
      <c r="D1861" s="8">
        <v>24</v>
      </c>
      <c r="E1861" s="8" t="s">
        <v>452</v>
      </c>
    </row>
    <row r="1862" spans="1:5" x14ac:dyDescent="0.25">
      <c r="A1862" s="8" t="str">
        <f t="shared" si="29"/>
        <v>002</v>
      </c>
      <c r="B1862" s="8" t="s">
        <v>264</v>
      </c>
      <c r="C1862" s="12" t="s">
        <v>2016</v>
      </c>
      <c r="D1862" s="8">
        <v>24</v>
      </c>
      <c r="E1862" s="8" t="s">
        <v>452</v>
      </c>
    </row>
    <row r="1863" spans="1:5" x14ac:dyDescent="0.25">
      <c r="A1863" s="8" t="str">
        <f t="shared" si="29"/>
        <v>001</v>
      </c>
      <c r="B1863" s="8" t="s">
        <v>262</v>
      </c>
      <c r="C1863" s="12" t="s">
        <v>2017</v>
      </c>
      <c r="D1863" s="8">
        <v>24</v>
      </c>
    </row>
    <row r="1864" spans="1:5" x14ac:dyDescent="0.25">
      <c r="A1864" s="8" t="str">
        <f t="shared" si="29"/>
        <v>001</v>
      </c>
      <c r="B1864" s="8" t="s">
        <v>262</v>
      </c>
      <c r="C1864" s="12" t="s">
        <v>2018</v>
      </c>
      <c r="D1864" s="8">
        <v>24</v>
      </c>
      <c r="E1864" s="8" t="s">
        <v>528</v>
      </c>
    </row>
    <row r="1865" spans="1:5" x14ac:dyDescent="0.25">
      <c r="A1865" s="8" t="str">
        <f t="shared" si="29"/>
        <v>002</v>
      </c>
      <c r="B1865" s="8" t="s">
        <v>264</v>
      </c>
      <c r="C1865" s="12" t="s">
        <v>2019</v>
      </c>
      <c r="D1865" s="8">
        <v>24</v>
      </c>
      <c r="E1865" s="8" t="s">
        <v>528</v>
      </c>
    </row>
    <row r="1866" spans="1:5" x14ac:dyDescent="0.25">
      <c r="A1866" s="8" t="str">
        <f t="shared" si="29"/>
        <v>101</v>
      </c>
      <c r="B1866" s="8" t="s">
        <v>95</v>
      </c>
      <c r="C1866" s="12" t="s">
        <v>2020</v>
      </c>
      <c r="D1866" s="8">
        <v>24</v>
      </c>
      <c r="E1866" s="8" t="s">
        <v>528</v>
      </c>
    </row>
    <row r="1867" spans="1:5" x14ac:dyDescent="0.25">
      <c r="A1867" s="8" t="str">
        <f t="shared" si="29"/>
        <v>001</v>
      </c>
      <c r="B1867" s="8" t="s">
        <v>262</v>
      </c>
      <c r="C1867" s="12" t="s">
        <v>2021</v>
      </c>
      <c r="D1867" s="8">
        <v>24</v>
      </c>
      <c r="E1867" s="8" t="s">
        <v>516</v>
      </c>
    </row>
    <row r="1868" spans="1:5" x14ac:dyDescent="0.25">
      <c r="A1868" s="8" t="str">
        <f t="shared" si="29"/>
        <v>002</v>
      </c>
      <c r="B1868" s="8" t="s">
        <v>264</v>
      </c>
      <c r="C1868" s="12" t="s">
        <v>2022</v>
      </c>
      <c r="D1868" s="8">
        <v>24</v>
      </c>
      <c r="E1868" s="8" t="s">
        <v>516</v>
      </c>
    </row>
    <row r="1869" spans="1:5" x14ac:dyDescent="0.25">
      <c r="A1869" s="8" t="str">
        <f t="shared" si="29"/>
        <v>003</v>
      </c>
      <c r="B1869" s="8" t="s">
        <v>67</v>
      </c>
      <c r="C1869" s="12" t="s">
        <v>2023</v>
      </c>
      <c r="D1869" s="8">
        <v>24</v>
      </c>
      <c r="E1869" s="8" t="s">
        <v>516</v>
      </c>
    </row>
    <row r="1870" spans="1:5" x14ac:dyDescent="0.25">
      <c r="A1870" s="8" t="str">
        <f t="shared" si="29"/>
        <v>004</v>
      </c>
      <c r="B1870" s="8" t="s">
        <v>69</v>
      </c>
      <c r="C1870" s="12" t="s">
        <v>2024</v>
      </c>
      <c r="D1870" s="8">
        <v>24</v>
      </c>
      <c r="E1870" s="8" t="s">
        <v>516</v>
      </c>
    </row>
    <row r="1871" spans="1:5" x14ac:dyDescent="0.25">
      <c r="A1871" s="8" t="str">
        <f t="shared" si="29"/>
        <v>005</v>
      </c>
      <c r="B1871" s="8" t="s">
        <v>78</v>
      </c>
      <c r="C1871" s="12" t="s">
        <v>2025</v>
      </c>
      <c r="D1871" s="8">
        <v>24</v>
      </c>
      <c r="E1871" s="8" t="s">
        <v>516</v>
      </c>
    </row>
    <row r="1872" spans="1:5" x14ac:dyDescent="0.25">
      <c r="A1872" s="8" t="str">
        <f t="shared" si="29"/>
        <v>001</v>
      </c>
      <c r="B1872" s="8" t="s">
        <v>262</v>
      </c>
      <c r="C1872" s="12" t="s">
        <v>2026</v>
      </c>
      <c r="D1872" s="8">
        <v>24</v>
      </c>
      <c r="E1872" s="8" t="s">
        <v>548</v>
      </c>
    </row>
    <row r="1873" spans="1:5" x14ac:dyDescent="0.25">
      <c r="A1873" s="8" t="str">
        <f t="shared" si="29"/>
        <v>002</v>
      </c>
      <c r="B1873" s="8" t="s">
        <v>264</v>
      </c>
      <c r="C1873" s="12" t="s">
        <v>2027</v>
      </c>
      <c r="D1873" s="8">
        <v>24</v>
      </c>
      <c r="E1873" s="8" t="s">
        <v>548</v>
      </c>
    </row>
    <row r="1874" spans="1:5" x14ac:dyDescent="0.25">
      <c r="A1874" s="8" t="str">
        <f t="shared" si="29"/>
        <v>001</v>
      </c>
      <c r="B1874" s="8" t="s">
        <v>262</v>
      </c>
      <c r="C1874" s="12" t="s">
        <v>2028</v>
      </c>
      <c r="D1874" s="8">
        <v>24</v>
      </c>
      <c r="E1874" s="8" t="s">
        <v>464</v>
      </c>
    </row>
    <row r="1875" spans="1:5" x14ac:dyDescent="0.25">
      <c r="A1875" s="8" t="str">
        <f t="shared" si="29"/>
        <v>001</v>
      </c>
      <c r="B1875" s="8" t="s">
        <v>262</v>
      </c>
      <c r="C1875" s="12" t="s">
        <v>2029</v>
      </c>
      <c r="D1875" s="8">
        <v>24</v>
      </c>
      <c r="E1875" s="8" t="s">
        <v>458</v>
      </c>
    </row>
    <row r="1876" spans="1:5" x14ac:dyDescent="0.25">
      <c r="A1876" s="8" t="str">
        <f t="shared" si="29"/>
        <v>002</v>
      </c>
      <c r="B1876" s="8" t="s">
        <v>264</v>
      </c>
      <c r="C1876" s="12" t="s">
        <v>2030</v>
      </c>
      <c r="D1876" s="8">
        <v>24</v>
      </c>
      <c r="E1876" s="8" t="s">
        <v>458</v>
      </c>
    </row>
    <row r="1877" spans="1:5" x14ac:dyDescent="0.25">
      <c r="A1877" s="8" t="str">
        <f t="shared" si="29"/>
        <v>001</v>
      </c>
      <c r="B1877" s="8" t="s">
        <v>262</v>
      </c>
      <c r="C1877" s="12" t="s">
        <v>2031</v>
      </c>
      <c r="D1877" s="8">
        <v>24</v>
      </c>
      <c r="E1877" s="8" t="s">
        <v>702</v>
      </c>
    </row>
    <row r="1878" spans="1:5" x14ac:dyDescent="0.25">
      <c r="A1878" s="8" t="str">
        <f t="shared" si="29"/>
        <v>002</v>
      </c>
      <c r="B1878" s="8" t="s">
        <v>264</v>
      </c>
      <c r="C1878" s="12" t="s">
        <v>2032</v>
      </c>
      <c r="D1878" s="8">
        <v>24</v>
      </c>
      <c r="E1878" s="8" t="s">
        <v>702</v>
      </c>
    </row>
    <row r="1879" spans="1:5" x14ac:dyDescent="0.25">
      <c r="A1879" s="8" t="str">
        <f t="shared" si="29"/>
        <v>003</v>
      </c>
      <c r="B1879" s="8" t="s">
        <v>67</v>
      </c>
      <c r="C1879" s="12" t="s">
        <v>2033</v>
      </c>
      <c r="D1879" s="8">
        <v>24</v>
      </c>
      <c r="E1879" s="8" t="s">
        <v>702</v>
      </c>
    </row>
    <row r="1880" spans="1:5" x14ac:dyDescent="0.25">
      <c r="A1880" s="8" t="str">
        <f t="shared" si="29"/>
        <v>004</v>
      </c>
      <c r="B1880" s="8" t="s">
        <v>69</v>
      </c>
      <c r="C1880" s="12" t="s">
        <v>2034</v>
      </c>
      <c r="D1880" s="8">
        <v>24</v>
      </c>
      <c r="E1880" s="8" t="s">
        <v>702</v>
      </c>
    </row>
    <row r="1881" spans="1:5" x14ac:dyDescent="0.25">
      <c r="A1881" s="8" t="str">
        <f t="shared" si="29"/>
        <v>005</v>
      </c>
      <c r="B1881" s="8" t="s">
        <v>78</v>
      </c>
      <c r="C1881" s="12" t="s">
        <v>2035</v>
      </c>
      <c r="D1881" s="8">
        <v>24</v>
      </c>
      <c r="E1881" s="8" t="s">
        <v>702</v>
      </c>
    </row>
    <row r="1882" spans="1:5" x14ac:dyDescent="0.25">
      <c r="A1882" s="8" t="str">
        <f t="shared" si="29"/>
        <v>006</v>
      </c>
      <c r="B1882" s="8" t="s">
        <v>80</v>
      </c>
      <c r="C1882" s="12" t="s">
        <v>2036</v>
      </c>
      <c r="D1882" s="8">
        <v>24</v>
      </c>
      <c r="E1882" s="8" t="s">
        <v>702</v>
      </c>
    </row>
    <row r="1883" spans="1:5" x14ac:dyDescent="0.25">
      <c r="A1883" s="8" t="str">
        <f t="shared" si="29"/>
        <v>001</v>
      </c>
      <c r="B1883" s="8" t="s">
        <v>262</v>
      </c>
      <c r="C1883" s="12" t="s">
        <v>2037</v>
      </c>
      <c r="D1883" s="8">
        <v>24</v>
      </c>
    </row>
    <row r="1884" spans="1:5" x14ac:dyDescent="0.25">
      <c r="A1884" s="8" t="str">
        <f t="shared" si="29"/>
        <v>001</v>
      </c>
      <c r="B1884" s="8" t="s">
        <v>262</v>
      </c>
      <c r="C1884" s="12" t="s">
        <v>2038</v>
      </c>
      <c r="D1884" s="8">
        <v>24</v>
      </c>
      <c r="E1884" s="8" t="s">
        <v>554</v>
      </c>
    </row>
    <row r="1885" spans="1:5" x14ac:dyDescent="0.25">
      <c r="A1885" s="8" t="str">
        <f t="shared" si="29"/>
        <v>001</v>
      </c>
      <c r="B1885" s="8" t="s">
        <v>262</v>
      </c>
      <c r="C1885" s="12" t="s">
        <v>2039</v>
      </c>
      <c r="D1885" s="8">
        <v>25</v>
      </c>
      <c r="E1885" s="8" t="s">
        <v>282</v>
      </c>
    </row>
    <row r="1886" spans="1:5" x14ac:dyDescent="0.25">
      <c r="A1886" s="8" t="str">
        <f t="shared" si="29"/>
        <v>002</v>
      </c>
      <c r="B1886" s="8" t="s">
        <v>264</v>
      </c>
      <c r="C1886" s="12" t="s">
        <v>2040</v>
      </c>
      <c r="D1886" s="8">
        <v>25</v>
      </c>
      <c r="E1886" s="8" t="s">
        <v>282</v>
      </c>
    </row>
    <row r="1887" spans="1:5" x14ac:dyDescent="0.25">
      <c r="A1887" s="8" t="str">
        <f t="shared" si="29"/>
        <v>003</v>
      </c>
      <c r="B1887" s="8" t="s">
        <v>67</v>
      </c>
      <c r="C1887" s="12" t="s">
        <v>2041</v>
      </c>
      <c r="D1887" s="8">
        <v>25</v>
      </c>
      <c r="E1887" s="8" t="s">
        <v>282</v>
      </c>
    </row>
    <row r="1888" spans="1:5" x14ac:dyDescent="0.25">
      <c r="A1888" s="8" t="str">
        <f t="shared" si="29"/>
        <v>003</v>
      </c>
      <c r="B1888" s="8" t="s">
        <v>67</v>
      </c>
      <c r="C1888" s="12" t="s">
        <v>10</v>
      </c>
      <c r="D1888" s="8">
        <v>25</v>
      </c>
      <c r="E1888" s="8" t="s">
        <v>282</v>
      </c>
    </row>
    <row r="1889" spans="1:5" x14ac:dyDescent="0.25">
      <c r="A1889" s="8" t="str">
        <f t="shared" si="29"/>
        <v>004</v>
      </c>
      <c r="B1889" s="8" t="s">
        <v>69</v>
      </c>
      <c r="C1889" s="12" t="s">
        <v>2042</v>
      </c>
      <c r="D1889" s="8">
        <v>25</v>
      </c>
      <c r="E1889" s="8" t="s">
        <v>282</v>
      </c>
    </row>
    <row r="1890" spans="1:5" x14ac:dyDescent="0.25">
      <c r="A1890" s="8" t="str">
        <f t="shared" si="29"/>
        <v>005</v>
      </c>
      <c r="B1890" s="8" t="s">
        <v>78</v>
      </c>
      <c r="C1890" s="12" t="s">
        <v>2043</v>
      </c>
      <c r="D1890" s="8">
        <v>25</v>
      </c>
      <c r="E1890" s="8" t="s">
        <v>282</v>
      </c>
    </row>
    <row r="1891" spans="1:5" x14ac:dyDescent="0.25">
      <c r="A1891" s="8" t="str">
        <f t="shared" si="29"/>
        <v>001</v>
      </c>
      <c r="B1891" s="8" t="s">
        <v>262</v>
      </c>
      <c r="C1891" s="12" t="s">
        <v>2044</v>
      </c>
      <c r="D1891" s="8">
        <v>25</v>
      </c>
      <c r="E1891" s="8" t="s">
        <v>288</v>
      </c>
    </row>
    <row r="1892" spans="1:5" x14ac:dyDescent="0.25">
      <c r="A1892" s="8" t="str">
        <f t="shared" si="29"/>
        <v>001</v>
      </c>
      <c r="B1892" s="8" t="s">
        <v>262</v>
      </c>
      <c r="C1892" s="12" t="s">
        <v>2045</v>
      </c>
      <c r="D1892" s="8">
        <v>25</v>
      </c>
    </row>
    <row r="1893" spans="1:5" x14ac:dyDescent="0.25">
      <c r="A1893" s="8" t="str">
        <f t="shared" si="29"/>
        <v>001</v>
      </c>
      <c r="B1893" s="8" t="s">
        <v>262</v>
      </c>
      <c r="C1893" s="12" t="s">
        <v>2046</v>
      </c>
      <c r="D1893" s="8">
        <v>25</v>
      </c>
      <c r="E1893" s="8" t="s">
        <v>481</v>
      </c>
    </row>
    <row r="1894" spans="1:5" x14ac:dyDescent="0.25">
      <c r="A1894" s="8" t="str">
        <f t="shared" si="29"/>
        <v>001</v>
      </c>
      <c r="B1894" s="8" t="s">
        <v>262</v>
      </c>
      <c r="C1894" s="12" t="s">
        <v>2047</v>
      </c>
      <c r="D1894" s="8">
        <v>25</v>
      </c>
      <c r="E1894" s="8" t="s">
        <v>302</v>
      </c>
    </row>
    <row r="1895" spans="1:5" x14ac:dyDescent="0.25">
      <c r="A1895" s="8" t="str">
        <f t="shared" si="29"/>
        <v>001</v>
      </c>
      <c r="B1895" s="8" t="s">
        <v>262</v>
      </c>
      <c r="C1895" s="12" t="s">
        <v>2048</v>
      </c>
      <c r="D1895" s="8">
        <v>25</v>
      </c>
      <c r="E1895" s="8" t="s">
        <v>300</v>
      </c>
    </row>
    <row r="1896" spans="1:5" x14ac:dyDescent="0.25">
      <c r="A1896" s="8" t="str">
        <f t="shared" si="29"/>
        <v>001</v>
      </c>
      <c r="B1896" s="8" t="s">
        <v>262</v>
      </c>
      <c r="C1896" s="12" t="s">
        <v>2049</v>
      </c>
      <c r="D1896" s="8">
        <v>25</v>
      </c>
      <c r="E1896" s="8" t="s">
        <v>514</v>
      </c>
    </row>
    <row r="1897" spans="1:5" x14ac:dyDescent="0.25">
      <c r="A1897" s="8" t="str">
        <f t="shared" si="29"/>
        <v>001</v>
      </c>
      <c r="B1897" s="8" t="s">
        <v>262</v>
      </c>
      <c r="C1897" s="12" t="s">
        <v>2050</v>
      </c>
      <c r="D1897" s="8">
        <v>25</v>
      </c>
      <c r="E1897" s="8" t="s">
        <v>416</v>
      </c>
    </row>
    <row r="1898" spans="1:5" x14ac:dyDescent="0.25">
      <c r="A1898" s="8" t="str">
        <f t="shared" si="29"/>
        <v>001</v>
      </c>
      <c r="B1898" s="8" t="s">
        <v>262</v>
      </c>
      <c r="C1898" s="12" t="s">
        <v>2051</v>
      </c>
      <c r="D1898" s="8">
        <v>25</v>
      </c>
      <c r="E1898" s="8" t="s">
        <v>431</v>
      </c>
    </row>
    <row r="1899" spans="1:5" x14ac:dyDescent="0.25">
      <c r="A1899" s="8" t="str">
        <f t="shared" si="29"/>
        <v>001</v>
      </c>
      <c r="B1899" s="8" t="s">
        <v>262</v>
      </c>
      <c r="C1899" s="12" t="s">
        <v>2052</v>
      </c>
      <c r="D1899" s="8">
        <v>25</v>
      </c>
      <c r="E1899" s="8" t="s">
        <v>419</v>
      </c>
    </row>
    <row r="1900" spans="1:5" x14ac:dyDescent="0.25">
      <c r="A1900" s="8" t="str">
        <f t="shared" si="29"/>
        <v>000</v>
      </c>
      <c r="B1900" s="8" t="s">
        <v>65</v>
      </c>
      <c r="C1900" s="12" t="s">
        <v>66</v>
      </c>
      <c r="D1900" s="8">
        <v>26</v>
      </c>
      <c r="E1900" s="8" t="s">
        <v>554</v>
      </c>
    </row>
    <row r="1901" spans="1:5" x14ac:dyDescent="0.25">
      <c r="A1901" s="8" t="str">
        <f t="shared" si="29"/>
        <v>001</v>
      </c>
      <c r="B1901" s="8" t="s">
        <v>262</v>
      </c>
      <c r="C1901" s="12" t="s">
        <v>2053</v>
      </c>
      <c r="D1901" s="8">
        <v>26</v>
      </c>
      <c r="E1901" s="8" t="s">
        <v>554</v>
      </c>
    </row>
    <row r="1902" spans="1:5" x14ac:dyDescent="0.25">
      <c r="A1902" s="8" t="str">
        <f t="shared" si="29"/>
        <v>002</v>
      </c>
      <c r="B1902" s="8" t="s">
        <v>264</v>
      </c>
      <c r="C1902" s="12" t="s">
        <v>2054</v>
      </c>
      <c r="D1902" s="8">
        <v>26</v>
      </c>
      <c r="E1902" s="8" t="s">
        <v>554</v>
      </c>
    </row>
    <row r="1903" spans="1:5" x14ac:dyDescent="0.25">
      <c r="A1903" s="8" t="str">
        <f t="shared" si="29"/>
        <v>003</v>
      </c>
      <c r="B1903" s="8" t="s">
        <v>67</v>
      </c>
      <c r="C1903" s="12" t="s">
        <v>2055</v>
      </c>
      <c r="D1903" s="8">
        <v>26</v>
      </c>
      <c r="E1903" s="8" t="s">
        <v>554</v>
      </c>
    </row>
    <row r="1904" spans="1:5" x14ac:dyDescent="0.25">
      <c r="A1904" s="8" t="str">
        <f t="shared" si="29"/>
        <v>001</v>
      </c>
      <c r="B1904" s="8" t="s">
        <v>262</v>
      </c>
      <c r="C1904" s="12" t="s">
        <v>263</v>
      </c>
      <c r="D1904" s="8">
        <v>26</v>
      </c>
      <c r="E1904" s="8" t="s">
        <v>416</v>
      </c>
    </row>
    <row r="1905" spans="1:5" x14ac:dyDescent="0.25">
      <c r="A1905" s="8" t="str">
        <f t="shared" si="29"/>
        <v>002</v>
      </c>
      <c r="B1905" s="8" t="s">
        <v>264</v>
      </c>
      <c r="C1905" s="12" t="s">
        <v>265</v>
      </c>
      <c r="D1905" s="8">
        <v>26</v>
      </c>
      <c r="E1905" s="8" t="s">
        <v>416</v>
      </c>
    </row>
    <row r="1906" spans="1:5" x14ac:dyDescent="0.25">
      <c r="A1906" s="8" t="str">
        <f t="shared" si="29"/>
        <v>003</v>
      </c>
      <c r="B1906" s="8" t="s">
        <v>67</v>
      </c>
      <c r="C1906" s="12" t="s">
        <v>266</v>
      </c>
      <c r="D1906" s="8">
        <v>26</v>
      </c>
      <c r="E1906" s="8" t="s">
        <v>416</v>
      </c>
    </row>
    <row r="1907" spans="1:5" x14ac:dyDescent="0.25">
      <c r="A1907" s="8" t="str">
        <f t="shared" si="29"/>
        <v>000</v>
      </c>
      <c r="B1907" s="8" t="s">
        <v>65</v>
      </c>
      <c r="C1907" s="12" t="s">
        <v>66</v>
      </c>
      <c r="D1907" s="8">
        <v>26</v>
      </c>
    </row>
    <row r="1908" spans="1:5" x14ac:dyDescent="0.25">
      <c r="A1908" s="8" t="str">
        <f t="shared" si="29"/>
        <v>001</v>
      </c>
      <c r="B1908" s="8" t="s">
        <v>262</v>
      </c>
      <c r="C1908" s="12" t="s">
        <v>937</v>
      </c>
      <c r="D1908" s="8">
        <v>26</v>
      </c>
    </row>
    <row r="1909" spans="1:5" x14ac:dyDescent="0.25">
      <c r="A1909" s="8" t="str">
        <f t="shared" si="29"/>
        <v>002</v>
      </c>
      <c r="B1909" s="8" t="s">
        <v>264</v>
      </c>
      <c r="C1909" s="12" t="s">
        <v>964</v>
      </c>
      <c r="D1909" s="8">
        <v>26</v>
      </c>
    </row>
    <row r="1910" spans="1:5" x14ac:dyDescent="0.25">
      <c r="A1910" s="8" t="str">
        <f t="shared" si="29"/>
        <v>003</v>
      </c>
      <c r="B1910" s="8" t="s">
        <v>67</v>
      </c>
      <c r="C1910" s="12" t="s">
        <v>955</v>
      </c>
      <c r="D1910" s="8">
        <v>26</v>
      </c>
    </row>
    <row r="1911" spans="1:5" x14ac:dyDescent="0.25">
      <c r="A1911" s="8" t="str">
        <f t="shared" si="29"/>
        <v>020</v>
      </c>
      <c r="B1911" s="8" t="s">
        <v>63</v>
      </c>
      <c r="C1911" s="12" t="s">
        <v>2056</v>
      </c>
      <c r="D1911" s="8">
        <v>26</v>
      </c>
    </row>
    <row r="1912" spans="1:5" x14ac:dyDescent="0.25">
      <c r="A1912" s="8" t="str">
        <f t="shared" si="29"/>
        <v>025</v>
      </c>
      <c r="B1912" s="8" t="s">
        <v>84</v>
      </c>
      <c r="C1912" s="12" t="s">
        <v>935</v>
      </c>
      <c r="D1912" s="8">
        <v>26</v>
      </c>
    </row>
    <row r="1913" spans="1:5" x14ac:dyDescent="0.25">
      <c r="A1913" s="8" t="str">
        <f t="shared" si="29"/>
        <v>000</v>
      </c>
      <c r="B1913" s="8" t="s">
        <v>65</v>
      </c>
      <c r="C1913" s="12" t="s">
        <v>66</v>
      </c>
      <c r="D1913" s="8">
        <v>26</v>
      </c>
      <c r="E1913" s="8" t="s">
        <v>523</v>
      </c>
    </row>
    <row r="1914" spans="1:5" x14ac:dyDescent="0.25">
      <c r="A1914" s="8" t="str">
        <f t="shared" si="29"/>
        <v>001</v>
      </c>
      <c r="B1914" s="8" t="s">
        <v>262</v>
      </c>
      <c r="C1914" s="12" t="s">
        <v>2057</v>
      </c>
      <c r="D1914" s="8">
        <v>26</v>
      </c>
      <c r="E1914" s="8" t="s">
        <v>523</v>
      </c>
    </row>
    <row r="1915" spans="1:5" x14ac:dyDescent="0.25">
      <c r="A1915" s="8" t="str">
        <f t="shared" si="29"/>
        <v>000</v>
      </c>
      <c r="B1915" s="8" t="s">
        <v>65</v>
      </c>
      <c r="C1915" s="12" t="s">
        <v>66</v>
      </c>
      <c r="D1915" s="8">
        <v>27</v>
      </c>
      <c r="E1915" s="8" t="s">
        <v>282</v>
      </c>
    </row>
    <row r="1916" spans="1:5" x14ac:dyDescent="0.25">
      <c r="A1916" s="8" t="str">
        <f t="shared" si="29"/>
        <v>001</v>
      </c>
      <c r="B1916" s="8" t="s">
        <v>262</v>
      </c>
      <c r="C1916" s="12" t="s">
        <v>2058</v>
      </c>
      <c r="D1916" s="8">
        <v>27</v>
      </c>
      <c r="E1916" s="8" t="s">
        <v>282</v>
      </c>
    </row>
    <row r="1917" spans="1:5" x14ac:dyDescent="0.25">
      <c r="A1917" s="8" t="str">
        <f t="shared" si="29"/>
        <v>002</v>
      </c>
      <c r="B1917" s="8" t="s">
        <v>264</v>
      </c>
      <c r="C1917" s="12" t="s">
        <v>2059</v>
      </c>
      <c r="D1917" s="8">
        <v>27</v>
      </c>
      <c r="E1917" s="8" t="s">
        <v>282</v>
      </c>
    </row>
    <row r="1918" spans="1:5" x14ac:dyDescent="0.25">
      <c r="A1918" s="8" t="str">
        <f t="shared" si="29"/>
        <v>003</v>
      </c>
      <c r="B1918" s="8" t="s">
        <v>67</v>
      </c>
      <c r="C1918" s="12" t="s">
        <v>2060</v>
      </c>
      <c r="D1918" s="8">
        <v>27</v>
      </c>
      <c r="E1918" s="8" t="s">
        <v>282</v>
      </c>
    </row>
    <row r="1919" spans="1:5" x14ac:dyDescent="0.25">
      <c r="A1919" s="8" t="str">
        <f t="shared" si="29"/>
        <v>004</v>
      </c>
      <c r="B1919" s="8" t="s">
        <v>69</v>
      </c>
      <c r="C1919" s="12" t="s">
        <v>2061</v>
      </c>
      <c r="D1919" s="8">
        <v>27</v>
      </c>
      <c r="E1919" s="8" t="s">
        <v>282</v>
      </c>
    </row>
    <row r="1920" spans="1:5" x14ac:dyDescent="0.25">
      <c r="A1920" s="8" t="str">
        <f t="shared" si="29"/>
        <v>005</v>
      </c>
      <c r="B1920" s="8" t="s">
        <v>78</v>
      </c>
      <c r="C1920" s="12" t="s">
        <v>2062</v>
      </c>
      <c r="D1920" s="8">
        <v>27</v>
      </c>
      <c r="E1920" s="8" t="s">
        <v>282</v>
      </c>
    </row>
    <row r="1921" spans="1:5" x14ac:dyDescent="0.25">
      <c r="A1921" s="8" t="str">
        <f t="shared" si="29"/>
        <v>006</v>
      </c>
      <c r="B1921" s="8" t="s">
        <v>80</v>
      </c>
      <c r="C1921" s="12" t="s">
        <v>2063</v>
      </c>
      <c r="D1921" s="8">
        <v>27</v>
      </c>
      <c r="E1921" s="8" t="s">
        <v>282</v>
      </c>
    </row>
    <row r="1922" spans="1:5" x14ac:dyDescent="0.25">
      <c r="A1922" s="8" t="str">
        <f t="shared" si="29"/>
        <v>007</v>
      </c>
      <c r="B1922" s="8" t="s">
        <v>71</v>
      </c>
      <c r="C1922" s="12" t="s">
        <v>2064</v>
      </c>
      <c r="D1922" s="8">
        <v>27</v>
      </c>
      <c r="E1922" s="8" t="s">
        <v>282</v>
      </c>
    </row>
    <row r="1923" spans="1:5" x14ac:dyDescent="0.25">
      <c r="A1923" s="8" t="str">
        <f t="shared" ref="A1923:A1933" si="30">TEXT(B1923,"000")</f>
        <v>001</v>
      </c>
      <c r="B1923" s="8" t="s">
        <v>262</v>
      </c>
      <c r="C1923" s="12" t="s">
        <v>2065</v>
      </c>
      <c r="D1923" s="8">
        <v>27</v>
      </c>
      <c r="E1923" s="8" t="s">
        <v>300</v>
      </c>
    </row>
    <row r="1924" spans="1:5" x14ac:dyDescent="0.25">
      <c r="A1924" s="8" t="str">
        <f t="shared" si="30"/>
        <v>001</v>
      </c>
      <c r="B1924" s="8" t="s">
        <v>262</v>
      </c>
      <c r="C1924" s="12" t="s">
        <v>2066</v>
      </c>
      <c r="D1924" s="8">
        <v>27</v>
      </c>
      <c r="E1924" s="8" t="s">
        <v>514</v>
      </c>
    </row>
    <row r="1925" spans="1:5" x14ac:dyDescent="0.25">
      <c r="A1925" s="8" t="str">
        <f t="shared" si="30"/>
        <v>001</v>
      </c>
      <c r="B1925" s="8" t="s">
        <v>262</v>
      </c>
      <c r="C1925" s="12" t="s">
        <v>2067</v>
      </c>
      <c r="D1925" s="8">
        <v>27</v>
      </c>
      <c r="E1925" s="8" t="s">
        <v>520</v>
      </c>
    </row>
    <row r="1926" spans="1:5" x14ac:dyDescent="0.25">
      <c r="A1926" s="8" t="str">
        <f t="shared" si="30"/>
        <v>001</v>
      </c>
      <c r="B1926" s="8" t="s">
        <v>262</v>
      </c>
      <c r="C1926" s="12" t="s">
        <v>2068</v>
      </c>
      <c r="D1926" s="8">
        <v>27</v>
      </c>
      <c r="E1926" s="8" t="s">
        <v>416</v>
      </c>
    </row>
    <row r="1927" spans="1:5" x14ac:dyDescent="0.25">
      <c r="A1927" s="8" t="str">
        <f t="shared" si="30"/>
        <v>000</v>
      </c>
      <c r="B1927" s="17" t="s">
        <v>65</v>
      </c>
      <c r="C1927" s="12" t="s">
        <v>66</v>
      </c>
      <c r="D1927" s="8">
        <v>28</v>
      </c>
      <c r="E1927" s="8" t="s">
        <v>464</v>
      </c>
    </row>
    <row r="1928" spans="1:5" x14ac:dyDescent="0.25">
      <c r="A1928" s="8" t="str">
        <f t="shared" si="30"/>
        <v>001</v>
      </c>
      <c r="B1928" s="17" t="s">
        <v>262</v>
      </c>
      <c r="C1928" s="12" t="s">
        <v>2069</v>
      </c>
      <c r="D1928" s="8">
        <v>28</v>
      </c>
      <c r="E1928" s="8" t="s">
        <v>282</v>
      </c>
    </row>
    <row r="1929" spans="1:5" x14ac:dyDescent="0.25">
      <c r="A1929" s="8" t="str">
        <f t="shared" si="30"/>
        <v>002</v>
      </c>
      <c r="B1929" s="17" t="s">
        <v>264</v>
      </c>
      <c r="C1929" s="12" t="s">
        <v>2070</v>
      </c>
      <c r="D1929" s="8">
        <v>28</v>
      </c>
    </row>
    <row r="1930" spans="1:5" x14ac:dyDescent="0.25">
      <c r="A1930" s="8" t="str">
        <f t="shared" si="30"/>
        <v>003</v>
      </c>
      <c r="B1930" s="17" t="s">
        <v>67</v>
      </c>
      <c r="C1930" s="12" t="s">
        <v>2071</v>
      </c>
      <c r="D1930" s="8">
        <v>28</v>
      </c>
      <c r="E1930" s="8" t="s">
        <v>302</v>
      </c>
    </row>
    <row r="1931" spans="1:5" x14ac:dyDescent="0.25">
      <c r="A1931" s="8" t="str">
        <f t="shared" si="30"/>
        <v>004</v>
      </c>
      <c r="B1931" s="17" t="s">
        <v>69</v>
      </c>
      <c r="C1931" s="12" t="s">
        <v>2072</v>
      </c>
      <c r="D1931" s="8">
        <v>28</v>
      </c>
      <c r="E1931" s="8" t="s">
        <v>296</v>
      </c>
    </row>
    <row r="1932" spans="1:5" x14ac:dyDescent="0.25">
      <c r="A1932" s="8" t="str">
        <f t="shared" si="30"/>
        <v>005</v>
      </c>
      <c r="B1932" s="17" t="s">
        <v>78</v>
      </c>
      <c r="C1932" s="12" t="s">
        <v>2073</v>
      </c>
      <c r="D1932" s="8">
        <v>28</v>
      </c>
      <c r="E1932" s="8" t="s">
        <v>433</v>
      </c>
    </row>
    <row r="1933" spans="1:5" x14ac:dyDescent="0.25">
      <c r="A1933" s="8" t="str">
        <f t="shared" si="30"/>
        <v>006</v>
      </c>
      <c r="B1933" s="17" t="s">
        <v>80</v>
      </c>
      <c r="C1933" s="12" t="s">
        <v>2074</v>
      </c>
      <c r="D1933" s="8">
        <v>28</v>
      </c>
      <c r="E1933" s="8" t="s">
        <v>317</v>
      </c>
    </row>
  </sheetData>
  <autoFilter ref="B1:E1926" xr:uid="{28156CD2-99CC-487D-9EF2-5C3E204506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41"/>
  <sheetViews>
    <sheetView topLeftCell="A255" workbookViewId="0">
      <selection activeCell="E337" sqref="E337"/>
    </sheetView>
  </sheetViews>
  <sheetFormatPr defaultColWidth="9.140625" defaultRowHeight="15" x14ac:dyDescent="0.25"/>
  <cols>
    <col min="1" max="1" width="18.140625" style="8" bestFit="1" customWidth="1"/>
    <col min="2" max="2" width="48" style="8" bestFit="1" customWidth="1"/>
    <col min="3" max="3" width="16.85546875" style="8" bestFit="1" customWidth="1"/>
    <col min="4" max="4" width="19.5703125" style="8" bestFit="1" customWidth="1"/>
    <col min="5" max="16384" width="9.140625" style="8"/>
  </cols>
  <sheetData>
    <row r="1" spans="1:4" x14ac:dyDescent="0.25">
      <c r="A1" s="1" t="s">
        <v>2075</v>
      </c>
      <c r="B1" s="1" t="s">
        <v>2076</v>
      </c>
      <c r="C1" s="1" t="s">
        <v>60</v>
      </c>
      <c r="D1" s="1"/>
    </row>
    <row r="2" spans="1:4" x14ac:dyDescent="0.25">
      <c r="A2" s="8" t="s">
        <v>282</v>
      </c>
      <c r="B2" s="8" t="s">
        <v>749</v>
      </c>
      <c r="C2" s="8">
        <v>1</v>
      </c>
    </row>
    <row r="3" spans="1:4" x14ac:dyDescent="0.25">
      <c r="A3" s="8" t="s">
        <v>481</v>
      </c>
      <c r="B3" s="8" t="s">
        <v>751</v>
      </c>
      <c r="C3" s="8">
        <v>1</v>
      </c>
    </row>
    <row r="4" spans="1:4" x14ac:dyDescent="0.25">
      <c r="A4" s="8" t="s">
        <v>282</v>
      </c>
      <c r="B4" s="8" t="s">
        <v>2077</v>
      </c>
      <c r="C4" s="8">
        <v>3</v>
      </c>
    </row>
    <row r="5" spans="1:4" x14ac:dyDescent="0.25">
      <c r="A5" s="8" t="s">
        <v>288</v>
      </c>
      <c r="B5" s="8" t="s">
        <v>2078</v>
      </c>
      <c r="C5" s="8">
        <v>3</v>
      </c>
    </row>
    <row r="6" spans="1:4" x14ac:dyDescent="0.25">
      <c r="A6" s="8" t="s">
        <v>296</v>
      </c>
      <c r="B6" s="8" t="s">
        <v>2079</v>
      </c>
      <c r="C6" s="8">
        <v>3</v>
      </c>
    </row>
    <row r="7" spans="1:4" x14ac:dyDescent="0.25">
      <c r="A7" s="8" t="s">
        <v>324</v>
      </c>
      <c r="B7" s="8" t="s">
        <v>2080</v>
      </c>
      <c r="C7" s="8">
        <v>4</v>
      </c>
    </row>
    <row r="8" spans="1:4" x14ac:dyDescent="0.25">
      <c r="A8" s="8" t="s">
        <v>282</v>
      </c>
      <c r="B8" s="8" t="s">
        <v>2081</v>
      </c>
      <c r="C8" s="8">
        <v>4</v>
      </c>
    </row>
    <row r="9" spans="1:4" x14ac:dyDescent="0.25">
      <c r="A9" s="8" t="s">
        <v>520</v>
      </c>
      <c r="B9" s="8" t="s">
        <v>2082</v>
      </c>
      <c r="C9" s="8">
        <v>4</v>
      </c>
    </row>
    <row r="10" spans="1:4" x14ac:dyDescent="0.25">
      <c r="A10" s="8" t="s">
        <v>282</v>
      </c>
      <c r="B10" s="8" t="s">
        <v>2083</v>
      </c>
      <c r="C10" s="8">
        <v>5</v>
      </c>
    </row>
    <row r="11" spans="1:4" x14ac:dyDescent="0.25">
      <c r="A11" s="8" t="s">
        <v>288</v>
      </c>
      <c r="B11" s="8" t="s">
        <v>2084</v>
      </c>
      <c r="C11" s="8">
        <v>5</v>
      </c>
    </row>
    <row r="12" spans="1:4" x14ac:dyDescent="0.25">
      <c r="A12" s="8" t="s">
        <v>296</v>
      </c>
      <c r="B12" s="8" t="s">
        <v>2085</v>
      </c>
      <c r="C12" s="8">
        <v>5</v>
      </c>
    </row>
    <row r="13" spans="1:4" x14ac:dyDescent="0.25">
      <c r="A13" s="8" t="s">
        <v>481</v>
      </c>
      <c r="B13" s="8" t="s">
        <v>2086</v>
      </c>
      <c r="C13" s="8">
        <v>5</v>
      </c>
    </row>
    <row r="14" spans="1:4" x14ac:dyDescent="0.25">
      <c r="A14" s="8" t="s">
        <v>302</v>
      </c>
      <c r="B14" s="8" t="s">
        <v>2087</v>
      </c>
      <c r="C14" s="8">
        <v>5</v>
      </c>
    </row>
    <row r="15" spans="1:4" x14ac:dyDescent="0.25">
      <c r="A15" s="8" t="s">
        <v>300</v>
      </c>
      <c r="B15" s="8" t="s">
        <v>2088</v>
      </c>
      <c r="C15" s="8">
        <v>5</v>
      </c>
    </row>
    <row r="16" spans="1:4" x14ac:dyDescent="0.25">
      <c r="A16" s="8" t="s">
        <v>282</v>
      </c>
      <c r="B16" s="8" t="s">
        <v>2089</v>
      </c>
      <c r="C16" s="8">
        <v>6</v>
      </c>
    </row>
    <row r="17" spans="1:3" x14ac:dyDescent="0.25">
      <c r="A17" s="8" t="s">
        <v>296</v>
      </c>
      <c r="B17" s="8" t="s">
        <v>2090</v>
      </c>
      <c r="C17" s="8">
        <v>6</v>
      </c>
    </row>
    <row r="18" spans="1:3" x14ac:dyDescent="0.25">
      <c r="A18" s="8" t="s">
        <v>300</v>
      </c>
      <c r="B18" s="8" t="s">
        <v>2091</v>
      </c>
      <c r="C18" s="8">
        <v>6</v>
      </c>
    </row>
    <row r="19" spans="1:3" x14ac:dyDescent="0.25">
      <c r="A19" s="8" t="s">
        <v>523</v>
      </c>
      <c r="B19" s="8" t="s">
        <v>2092</v>
      </c>
      <c r="C19" s="8">
        <v>6</v>
      </c>
    </row>
    <row r="20" spans="1:3" x14ac:dyDescent="0.25">
      <c r="A20" s="8" t="s">
        <v>433</v>
      </c>
      <c r="B20" s="8" t="s">
        <v>2093</v>
      </c>
      <c r="C20" s="8">
        <v>6</v>
      </c>
    </row>
    <row r="21" spans="1:3" x14ac:dyDescent="0.25">
      <c r="A21" s="8" t="s">
        <v>416</v>
      </c>
      <c r="B21" s="8" t="s">
        <v>2094</v>
      </c>
      <c r="C21" s="8">
        <v>6</v>
      </c>
    </row>
    <row r="22" spans="1:3" x14ac:dyDescent="0.25">
      <c r="A22" s="8" t="s">
        <v>458</v>
      </c>
      <c r="B22" s="8" t="s">
        <v>2095</v>
      </c>
      <c r="C22" s="8">
        <v>6</v>
      </c>
    </row>
    <row r="23" spans="1:3" x14ac:dyDescent="0.25">
      <c r="A23" s="8" t="s">
        <v>324</v>
      </c>
      <c r="B23" s="8" t="s">
        <v>2096</v>
      </c>
      <c r="C23" s="8">
        <v>6</v>
      </c>
    </row>
    <row r="24" spans="1:3" x14ac:dyDescent="0.25">
      <c r="A24" s="8" t="s">
        <v>326</v>
      </c>
      <c r="B24" s="8" t="s">
        <v>2097</v>
      </c>
      <c r="C24" s="8">
        <v>6</v>
      </c>
    </row>
    <row r="25" spans="1:3" x14ac:dyDescent="0.25">
      <c r="A25" s="8" t="s">
        <v>481</v>
      </c>
      <c r="B25" s="8" t="s">
        <v>2098</v>
      </c>
      <c r="C25" s="8">
        <v>6</v>
      </c>
    </row>
    <row r="26" spans="1:3" x14ac:dyDescent="0.25">
      <c r="A26" s="8" t="s">
        <v>302</v>
      </c>
      <c r="B26" s="8" t="s">
        <v>2099</v>
      </c>
      <c r="C26" s="8">
        <v>6</v>
      </c>
    </row>
    <row r="27" spans="1:3" x14ac:dyDescent="0.25">
      <c r="A27" s="8" t="s">
        <v>300</v>
      </c>
      <c r="B27" s="8" t="s">
        <v>2100</v>
      </c>
      <c r="C27" s="8">
        <v>6</v>
      </c>
    </row>
    <row r="28" spans="1:3" x14ac:dyDescent="0.25">
      <c r="A28" s="8" t="s">
        <v>288</v>
      </c>
      <c r="B28" s="8" t="s">
        <v>2101</v>
      </c>
      <c r="C28" s="8">
        <v>6</v>
      </c>
    </row>
    <row r="29" spans="1:3" x14ac:dyDescent="0.25">
      <c r="A29" s="8" t="s">
        <v>282</v>
      </c>
      <c r="B29" s="8" t="s">
        <v>2102</v>
      </c>
      <c r="C29" s="8">
        <v>7</v>
      </c>
    </row>
    <row r="30" spans="1:3" x14ac:dyDescent="0.25">
      <c r="A30" s="8" t="s">
        <v>288</v>
      </c>
      <c r="B30" s="8" t="s">
        <v>2103</v>
      </c>
      <c r="C30" s="8">
        <v>7</v>
      </c>
    </row>
    <row r="31" spans="1:3" x14ac:dyDescent="0.25">
      <c r="A31" s="8" t="s">
        <v>296</v>
      </c>
      <c r="B31" s="8" t="s">
        <v>2104</v>
      </c>
      <c r="C31" s="8">
        <v>7</v>
      </c>
    </row>
    <row r="32" spans="1:3" x14ac:dyDescent="0.25">
      <c r="A32" s="8" t="s">
        <v>554</v>
      </c>
      <c r="B32" s="8" t="s">
        <v>2105</v>
      </c>
      <c r="C32" s="8">
        <v>8</v>
      </c>
    </row>
    <row r="33" spans="1:3" x14ac:dyDescent="0.25">
      <c r="A33" s="8" t="s">
        <v>416</v>
      </c>
      <c r="B33" s="8" t="s">
        <v>2106</v>
      </c>
      <c r="C33" s="8">
        <v>8</v>
      </c>
    </row>
    <row r="34" spans="1:3" x14ac:dyDescent="0.25">
      <c r="A34" s="8" t="s">
        <v>288</v>
      </c>
      <c r="B34" s="8" t="s">
        <v>2107</v>
      </c>
      <c r="C34" s="8">
        <v>8</v>
      </c>
    </row>
    <row r="35" spans="1:3" x14ac:dyDescent="0.25">
      <c r="A35" s="8" t="s">
        <v>300</v>
      </c>
      <c r="B35" s="8" t="s">
        <v>2108</v>
      </c>
      <c r="C35" s="8">
        <v>8</v>
      </c>
    </row>
    <row r="36" spans="1:3" x14ac:dyDescent="0.25">
      <c r="A36" s="8" t="s">
        <v>514</v>
      </c>
      <c r="B36" s="8" t="s">
        <v>2109</v>
      </c>
      <c r="C36" s="8">
        <v>8</v>
      </c>
    </row>
    <row r="37" spans="1:3" x14ac:dyDescent="0.25">
      <c r="A37" s="8" t="s">
        <v>481</v>
      </c>
      <c r="B37" s="8" t="s">
        <v>2110</v>
      </c>
      <c r="C37" s="8">
        <v>8</v>
      </c>
    </row>
    <row r="38" spans="1:3" x14ac:dyDescent="0.25">
      <c r="A38" s="8" t="s">
        <v>302</v>
      </c>
      <c r="B38" s="8" t="s">
        <v>2111</v>
      </c>
      <c r="C38" s="8">
        <v>8</v>
      </c>
    </row>
    <row r="39" spans="1:3" x14ac:dyDescent="0.25">
      <c r="A39" s="8" t="s">
        <v>300</v>
      </c>
      <c r="B39" s="8" t="s">
        <v>2112</v>
      </c>
      <c r="C39" s="8">
        <v>8</v>
      </c>
    </row>
    <row r="40" spans="1:3" x14ac:dyDescent="0.25">
      <c r="A40" s="8" t="s">
        <v>514</v>
      </c>
      <c r="B40" s="8" t="s">
        <v>2113</v>
      </c>
      <c r="C40" s="8">
        <v>8</v>
      </c>
    </row>
    <row r="41" spans="1:3" x14ac:dyDescent="0.25">
      <c r="A41" s="8" t="s">
        <v>282</v>
      </c>
      <c r="B41" s="8" t="s">
        <v>2114</v>
      </c>
      <c r="C41" s="8">
        <v>9</v>
      </c>
    </row>
    <row r="42" spans="1:3" x14ac:dyDescent="0.25">
      <c r="A42" s="8" t="s">
        <v>288</v>
      </c>
      <c r="B42" s="8" t="s">
        <v>2115</v>
      </c>
      <c r="C42" s="8">
        <v>9</v>
      </c>
    </row>
    <row r="43" spans="1:3" x14ac:dyDescent="0.25">
      <c r="A43" s="8" t="s">
        <v>296</v>
      </c>
      <c r="B43" s="8" t="s">
        <v>914</v>
      </c>
      <c r="C43" s="8">
        <v>9</v>
      </c>
    </row>
    <row r="44" spans="1:3" x14ac:dyDescent="0.25">
      <c r="A44" s="8" t="s">
        <v>481</v>
      </c>
      <c r="B44" s="8" t="s">
        <v>2116</v>
      </c>
      <c r="C44" s="8">
        <v>9</v>
      </c>
    </row>
    <row r="45" spans="1:3" x14ac:dyDescent="0.25">
      <c r="A45" s="8" t="s">
        <v>302</v>
      </c>
      <c r="B45" s="8" t="s">
        <v>2117</v>
      </c>
      <c r="C45" s="8">
        <v>9</v>
      </c>
    </row>
    <row r="46" spans="1:3" x14ac:dyDescent="0.25">
      <c r="A46" s="8" t="s">
        <v>300</v>
      </c>
      <c r="B46" s="8" t="s">
        <v>2118</v>
      </c>
      <c r="C46" s="8">
        <v>9</v>
      </c>
    </row>
    <row r="47" spans="1:3" x14ac:dyDescent="0.25">
      <c r="A47" s="8" t="s">
        <v>514</v>
      </c>
      <c r="B47" s="8" t="s">
        <v>2119</v>
      </c>
      <c r="C47" s="8">
        <v>9</v>
      </c>
    </row>
    <row r="48" spans="1:3" x14ac:dyDescent="0.25">
      <c r="A48" s="8" t="s">
        <v>520</v>
      </c>
      <c r="B48" s="8" t="s">
        <v>2120</v>
      </c>
      <c r="C48" s="8">
        <v>9</v>
      </c>
    </row>
    <row r="49" spans="1:3" x14ac:dyDescent="0.25">
      <c r="A49" s="8" t="s">
        <v>2121</v>
      </c>
      <c r="B49" s="8" t="s">
        <v>2122</v>
      </c>
      <c r="C49" s="8">
        <v>10</v>
      </c>
    </row>
    <row r="50" spans="1:3" x14ac:dyDescent="0.25">
      <c r="A50" s="8" t="s">
        <v>2123</v>
      </c>
      <c r="B50" s="8" t="s">
        <v>2124</v>
      </c>
      <c r="C50" s="8">
        <v>10</v>
      </c>
    </row>
    <row r="51" spans="1:3" x14ac:dyDescent="0.25">
      <c r="A51" s="8" t="s">
        <v>2125</v>
      </c>
      <c r="B51" s="8" t="s">
        <v>2126</v>
      </c>
      <c r="C51" s="8">
        <v>10</v>
      </c>
    </row>
    <row r="52" spans="1:3" x14ac:dyDescent="0.25">
      <c r="A52" s="8" t="s">
        <v>481</v>
      </c>
      <c r="B52" s="8" t="s">
        <v>2127</v>
      </c>
      <c r="C52" s="8">
        <v>10</v>
      </c>
    </row>
    <row r="53" spans="1:3" x14ac:dyDescent="0.25">
      <c r="A53" s="8" t="s">
        <v>2128</v>
      </c>
      <c r="B53" s="8" t="s">
        <v>2129</v>
      </c>
      <c r="C53" s="8">
        <v>10</v>
      </c>
    </row>
    <row r="54" spans="1:3" x14ac:dyDescent="0.25">
      <c r="A54" s="8" t="s">
        <v>2130</v>
      </c>
      <c r="B54" s="8" t="s">
        <v>2131</v>
      </c>
      <c r="C54" s="8">
        <v>10</v>
      </c>
    </row>
    <row r="55" spans="1:3" x14ac:dyDescent="0.25">
      <c r="A55" s="8" t="s">
        <v>2132</v>
      </c>
      <c r="B55" s="8" t="s">
        <v>2133</v>
      </c>
      <c r="C55" s="8">
        <v>10</v>
      </c>
    </row>
    <row r="56" spans="1:3" x14ac:dyDescent="0.25">
      <c r="A56" s="8" t="s">
        <v>2134</v>
      </c>
      <c r="B56" s="8" t="s">
        <v>2127</v>
      </c>
      <c r="C56" s="8">
        <v>10</v>
      </c>
    </row>
    <row r="57" spans="1:3" x14ac:dyDescent="0.25">
      <c r="A57" s="8" t="s">
        <v>2135</v>
      </c>
      <c r="B57" s="8" t="s">
        <v>2136</v>
      </c>
      <c r="C57" s="8">
        <v>10</v>
      </c>
    </row>
    <row r="58" spans="1:3" x14ac:dyDescent="0.25">
      <c r="A58" s="8" t="s">
        <v>2137</v>
      </c>
      <c r="B58" s="8" t="s">
        <v>2138</v>
      </c>
      <c r="C58" s="8">
        <v>10</v>
      </c>
    </row>
    <row r="59" spans="1:3" x14ac:dyDescent="0.25">
      <c r="A59" s="8" t="s">
        <v>2139</v>
      </c>
      <c r="B59" s="8" t="s">
        <v>2140</v>
      </c>
      <c r="C59" s="8">
        <v>10</v>
      </c>
    </row>
    <row r="60" spans="1:3" x14ac:dyDescent="0.25">
      <c r="A60" s="8" t="s">
        <v>2141</v>
      </c>
      <c r="B60" s="8" t="s">
        <v>2142</v>
      </c>
      <c r="C60" s="8">
        <v>10</v>
      </c>
    </row>
    <row r="61" spans="1:3" x14ac:dyDescent="0.25">
      <c r="A61" s="8" t="s">
        <v>2139</v>
      </c>
      <c r="B61" s="8" t="s">
        <v>2143</v>
      </c>
      <c r="C61" s="8">
        <v>10</v>
      </c>
    </row>
    <row r="62" spans="1:3" x14ac:dyDescent="0.25">
      <c r="A62" s="8" t="s">
        <v>2139</v>
      </c>
      <c r="B62" s="8" t="s">
        <v>2144</v>
      </c>
      <c r="C62" s="8">
        <v>10</v>
      </c>
    </row>
    <row r="63" spans="1:3" x14ac:dyDescent="0.25">
      <c r="B63" s="8" t="s">
        <v>2145</v>
      </c>
      <c r="C63" s="8">
        <v>10</v>
      </c>
    </row>
    <row r="64" spans="1:3" x14ac:dyDescent="0.25">
      <c r="A64" s="8" t="s">
        <v>464</v>
      </c>
      <c r="B64" s="8" t="s">
        <v>2146</v>
      </c>
      <c r="C64" s="8">
        <v>10</v>
      </c>
    </row>
    <row r="65" spans="1:3" x14ac:dyDescent="0.25">
      <c r="A65" s="8" t="s">
        <v>2147</v>
      </c>
      <c r="B65" s="8" t="s">
        <v>2148</v>
      </c>
      <c r="C65" s="8">
        <v>10</v>
      </c>
    </row>
    <row r="66" spans="1:3" x14ac:dyDescent="0.25">
      <c r="A66" s="8" t="s">
        <v>554</v>
      </c>
      <c r="B66" s="8" t="s">
        <v>2149</v>
      </c>
      <c r="C66" s="8">
        <v>10</v>
      </c>
    </row>
    <row r="67" spans="1:3" x14ac:dyDescent="0.25">
      <c r="A67" s="8" t="s">
        <v>324</v>
      </c>
      <c r="B67" s="8" t="s">
        <v>2150</v>
      </c>
      <c r="C67" s="8">
        <v>10</v>
      </c>
    </row>
    <row r="68" spans="1:3" x14ac:dyDescent="0.25">
      <c r="A68" s="8" t="s">
        <v>326</v>
      </c>
      <c r="B68" s="8" t="s">
        <v>2151</v>
      </c>
      <c r="C68" s="8">
        <v>10</v>
      </c>
    </row>
    <row r="69" spans="1:3" x14ac:dyDescent="0.25">
      <c r="A69" s="8" t="s">
        <v>282</v>
      </c>
      <c r="B69" s="8" t="s">
        <v>2152</v>
      </c>
      <c r="C69" s="8">
        <v>11</v>
      </c>
    </row>
    <row r="70" spans="1:3" x14ac:dyDescent="0.25">
      <c r="A70" s="8" t="s">
        <v>288</v>
      </c>
      <c r="B70" s="8" t="s">
        <v>2153</v>
      </c>
      <c r="C70" s="8">
        <v>11</v>
      </c>
    </row>
    <row r="71" spans="1:3" x14ac:dyDescent="0.25">
      <c r="A71" s="8" t="s">
        <v>296</v>
      </c>
      <c r="B71" s="8" t="s">
        <v>2154</v>
      </c>
      <c r="C71" s="8">
        <v>11</v>
      </c>
    </row>
    <row r="72" spans="1:3" x14ac:dyDescent="0.25">
      <c r="A72" s="8" t="s">
        <v>481</v>
      </c>
      <c r="B72" s="8" t="s">
        <v>2155</v>
      </c>
      <c r="C72" s="8">
        <v>11</v>
      </c>
    </row>
    <row r="73" spans="1:3" x14ac:dyDescent="0.25">
      <c r="A73" s="8" t="s">
        <v>302</v>
      </c>
      <c r="B73" s="8" t="s">
        <v>2156</v>
      </c>
      <c r="C73" s="8">
        <v>11</v>
      </c>
    </row>
    <row r="74" spans="1:3" x14ac:dyDescent="0.25">
      <c r="A74" s="8" t="s">
        <v>300</v>
      </c>
      <c r="B74" s="8" t="s">
        <v>2157</v>
      </c>
      <c r="C74" s="8">
        <v>11</v>
      </c>
    </row>
    <row r="75" spans="1:3" x14ac:dyDescent="0.25">
      <c r="A75" s="8" t="s">
        <v>514</v>
      </c>
      <c r="B75" s="8" t="s">
        <v>2158</v>
      </c>
      <c r="C75" s="8">
        <v>11</v>
      </c>
    </row>
    <row r="76" spans="1:3" x14ac:dyDescent="0.25">
      <c r="A76" s="8" t="s">
        <v>520</v>
      </c>
      <c r="B76" s="8" t="s">
        <v>2159</v>
      </c>
      <c r="C76" s="8">
        <v>11</v>
      </c>
    </row>
    <row r="77" spans="1:3" x14ac:dyDescent="0.25">
      <c r="A77" s="8" t="s">
        <v>416</v>
      </c>
      <c r="B77" s="8" t="s">
        <v>2160</v>
      </c>
      <c r="C77" s="8">
        <v>11</v>
      </c>
    </row>
    <row r="78" spans="1:3" x14ac:dyDescent="0.25">
      <c r="A78" s="8" t="s">
        <v>431</v>
      </c>
      <c r="B78" s="8" t="s">
        <v>2161</v>
      </c>
      <c r="C78" s="8">
        <v>11</v>
      </c>
    </row>
    <row r="79" spans="1:3" x14ac:dyDescent="0.25">
      <c r="A79" s="8" t="s">
        <v>419</v>
      </c>
      <c r="B79" s="8" t="s">
        <v>2162</v>
      </c>
      <c r="C79" s="8">
        <v>11</v>
      </c>
    </row>
    <row r="80" spans="1:3" x14ac:dyDescent="0.25">
      <c r="A80" s="8" t="s">
        <v>425</v>
      </c>
      <c r="B80" s="8" t="s">
        <v>2163</v>
      </c>
      <c r="C80" s="8">
        <v>11</v>
      </c>
    </row>
    <row r="81" spans="1:3" x14ac:dyDescent="0.25">
      <c r="A81" s="8" t="s">
        <v>433</v>
      </c>
      <c r="B81" s="8" t="s">
        <v>2164</v>
      </c>
      <c r="C81" s="8">
        <v>11</v>
      </c>
    </row>
    <row r="82" spans="1:3" x14ac:dyDescent="0.25">
      <c r="A82" s="8" t="s">
        <v>452</v>
      </c>
      <c r="B82" s="8" t="s">
        <v>2165</v>
      </c>
      <c r="C82" s="8">
        <v>11</v>
      </c>
    </row>
    <row r="83" spans="1:3" x14ac:dyDescent="0.25">
      <c r="A83" s="8" t="s">
        <v>458</v>
      </c>
      <c r="B83" s="8" t="s">
        <v>2166</v>
      </c>
      <c r="C83" s="8">
        <v>11</v>
      </c>
    </row>
    <row r="84" spans="1:3" x14ac:dyDescent="0.25">
      <c r="A84" s="8" t="s">
        <v>464</v>
      </c>
      <c r="B84" s="8" t="s">
        <v>2167</v>
      </c>
      <c r="C84" s="8">
        <v>11</v>
      </c>
    </row>
    <row r="85" spans="1:3" x14ac:dyDescent="0.25">
      <c r="A85" s="8" t="s">
        <v>317</v>
      </c>
      <c r="B85" s="8" t="s">
        <v>2168</v>
      </c>
      <c r="C85" s="8">
        <v>11</v>
      </c>
    </row>
    <row r="86" spans="1:3" x14ac:dyDescent="0.25">
      <c r="A86" s="8" t="s">
        <v>554</v>
      </c>
      <c r="B86" s="8" t="s">
        <v>2169</v>
      </c>
      <c r="C86" s="8">
        <v>11</v>
      </c>
    </row>
    <row r="87" spans="1:3" x14ac:dyDescent="0.25">
      <c r="A87" s="8" t="s">
        <v>324</v>
      </c>
      <c r="B87" s="8" t="s">
        <v>2170</v>
      </c>
      <c r="C87" s="8">
        <v>11</v>
      </c>
    </row>
    <row r="88" spans="1:3" x14ac:dyDescent="0.25">
      <c r="A88" s="8" t="s">
        <v>326</v>
      </c>
      <c r="B88" s="8" t="s">
        <v>2171</v>
      </c>
      <c r="C88" s="8">
        <v>11</v>
      </c>
    </row>
    <row r="89" spans="1:3" x14ac:dyDescent="0.25">
      <c r="A89" s="8" t="s">
        <v>528</v>
      </c>
      <c r="B89" s="8" t="s">
        <v>2172</v>
      </c>
      <c r="C89" s="8">
        <v>11</v>
      </c>
    </row>
    <row r="90" spans="1:3" x14ac:dyDescent="0.25">
      <c r="A90" s="8" t="s">
        <v>516</v>
      </c>
      <c r="B90" s="8" t="s">
        <v>2173</v>
      </c>
      <c r="C90" s="8">
        <v>11</v>
      </c>
    </row>
    <row r="91" spans="1:3" x14ac:dyDescent="0.25">
      <c r="A91" s="8" t="s">
        <v>523</v>
      </c>
      <c r="B91" s="8" t="s">
        <v>2174</v>
      </c>
      <c r="C91" s="8">
        <v>11</v>
      </c>
    </row>
    <row r="92" spans="1:3" x14ac:dyDescent="0.25">
      <c r="A92" s="8" t="s">
        <v>526</v>
      </c>
      <c r="B92" s="8" t="s">
        <v>2175</v>
      </c>
      <c r="C92" s="8">
        <v>11</v>
      </c>
    </row>
    <row r="93" spans="1:3" x14ac:dyDescent="0.25">
      <c r="A93" s="8" t="s">
        <v>718</v>
      </c>
      <c r="B93" s="8" t="s">
        <v>2176</v>
      </c>
      <c r="C93" s="8">
        <v>11</v>
      </c>
    </row>
    <row r="94" spans="1:3" x14ac:dyDescent="0.25">
      <c r="A94" s="8" t="s">
        <v>548</v>
      </c>
      <c r="B94" s="8" t="s">
        <v>2177</v>
      </c>
      <c r="C94" s="8">
        <v>11</v>
      </c>
    </row>
    <row r="95" spans="1:3" x14ac:dyDescent="0.25">
      <c r="A95" s="8" t="s">
        <v>702</v>
      </c>
      <c r="B95" s="8" t="s">
        <v>2178</v>
      </c>
      <c r="C95" s="8">
        <v>11</v>
      </c>
    </row>
    <row r="96" spans="1:3" x14ac:dyDescent="0.25">
      <c r="A96" s="8" t="s">
        <v>282</v>
      </c>
      <c r="B96" s="8" t="s">
        <v>2179</v>
      </c>
      <c r="C96" s="8">
        <v>12</v>
      </c>
    </row>
    <row r="97" spans="1:3" x14ac:dyDescent="0.25">
      <c r="A97" s="8" t="s">
        <v>288</v>
      </c>
      <c r="B97" s="8" t="s">
        <v>2180</v>
      </c>
      <c r="C97" s="8">
        <v>12</v>
      </c>
    </row>
    <row r="98" spans="1:3" x14ac:dyDescent="0.25">
      <c r="A98" s="8" t="s">
        <v>296</v>
      </c>
      <c r="B98" s="8" t="s">
        <v>2181</v>
      </c>
      <c r="C98" s="8">
        <v>12</v>
      </c>
    </row>
    <row r="99" spans="1:3" x14ac:dyDescent="0.25">
      <c r="A99" s="8" t="s">
        <v>481</v>
      </c>
      <c r="B99" s="8" t="s">
        <v>2182</v>
      </c>
      <c r="C99" s="8">
        <v>12</v>
      </c>
    </row>
    <row r="100" spans="1:3" x14ac:dyDescent="0.25">
      <c r="A100" s="8" t="s">
        <v>302</v>
      </c>
      <c r="B100" s="8" t="s">
        <v>2183</v>
      </c>
      <c r="C100" s="8">
        <v>12</v>
      </c>
    </row>
    <row r="101" spans="1:3" x14ac:dyDescent="0.25">
      <c r="A101" s="8" t="s">
        <v>300</v>
      </c>
      <c r="B101" s="8" t="s">
        <v>2184</v>
      </c>
      <c r="C101" s="8">
        <v>12</v>
      </c>
    </row>
    <row r="102" spans="1:3" x14ac:dyDescent="0.25">
      <c r="A102" s="8" t="s">
        <v>514</v>
      </c>
      <c r="B102" s="8" t="s">
        <v>2185</v>
      </c>
      <c r="C102" s="8">
        <v>12</v>
      </c>
    </row>
    <row r="103" spans="1:3" x14ac:dyDescent="0.25">
      <c r="A103" s="8" t="s">
        <v>416</v>
      </c>
      <c r="B103" s="8" t="s">
        <v>2186</v>
      </c>
      <c r="C103" s="8">
        <v>12</v>
      </c>
    </row>
    <row r="104" spans="1:3" x14ac:dyDescent="0.25">
      <c r="A104" s="8" t="s">
        <v>520</v>
      </c>
      <c r="B104" s="8" t="s">
        <v>2187</v>
      </c>
      <c r="C104" s="8">
        <v>12</v>
      </c>
    </row>
    <row r="105" spans="1:3" x14ac:dyDescent="0.25">
      <c r="A105" s="8" t="s">
        <v>425</v>
      </c>
      <c r="B105" s="8" t="s">
        <v>1457</v>
      </c>
      <c r="C105" s="8">
        <v>12</v>
      </c>
    </row>
    <row r="106" spans="1:3" x14ac:dyDescent="0.25">
      <c r="A106" s="8" t="s">
        <v>433</v>
      </c>
      <c r="B106" s="8" t="s">
        <v>2188</v>
      </c>
      <c r="C106" s="8">
        <v>12</v>
      </c>
    </row>
    <row r="107" spans="1:3" x14ac:dyDescent="0.25">
      <c r="A107" s="8" t="s">
        <v>452</v>
      </c>
      <c r="B107" s="8" t="s">
        <v>2189</v>
      </c>
      <c r="C107" s="8">
        <v>12</v>
      </c>
    </row>
    <row r="108" spans="1:3" x14ac:dyDescent="0.25">
      <c r="A108" s="8" t="s">
        <v>282</v>
      </c>
      <c r="B108" s="8" t="s">
        <v>2190</v>
      </c>
      <c r="C108" s="8">
        <v>13</v>
      </c>
    </row>
    <row r="109" spans="1:3" x14ac:dyDescent="0.25">
      <c r="A109" s="8" t="s">
        <v>288</v>
      </c>
      <c r="B109" s="8" t="s">
        <v>844</v>
      </c>
      <c r="C109" s="8">
        <v>13</v>
      </c>
    </row>
    <row r="110" spans="1:3" x14ac:dyDescent="0.25">
      <c r="A110" s="8" t="s">
        <v>296</v>
      </c>
      <c r="B110" s="8" t="s">
        <v>2191</v>
      </c>
      <c r="C110" s="8">
        <v>13</v>
      </c>
    </row>
    <row r="111" spans="1:3" x14ac:dyDescent="0.25">
      <c r="A111" s="8" t="s">
        <v>481</v>
      </c>
      <c r="B111" s="8" t="s">
        <v>2192</v>
      </c>
      <c r="C111" s="8">
        <v>13</v>
      </c>
    </row>
    <row r="112" spans="1:3" x14ac:dyDescent="0.25">
      <c r="A112" s="8" t="s">
        <v>302</v>
      </c>
      <c r="B112" s="8" t="s">
        <v>2193</v>
      </c>
      <c r="C112" s="8">
        <v>13</v>
      </c>
    </row>
    <row r="113" spans="1:3" x14ac:dyDescent="0.25">
      <c r="A113" s="8" t="s">
        <v>300</v>
      </c>
      <c r="B113" s="8" t="s">
        <v>2194</v>
      </c>
      <c r="C113" s="8">
        <v>13</v>
      </c>
    </row>
    <row r="114" spans="1:3" x14ac:dyDescent="0.25">
      <c r="A114" s="8" t="s">
        <v>514</v>
      </c>
      <c r="B114" s="8" t="s">
        <v>2195</v>
      </c>
      <c r="C114" s="8">
        <v>13</v>
      </c>
    </row>
    <row r="115" spans="1:3" x14ac:dyDescent="0.25">
      <c r="A115" s="8" t="s">
        <v>520</v>
      </c>
      <c r="B115" s="8" t="s">
        <v>2196</v>
      </c>
      <c r="C115" s="8">
        <v>13</v>
      </c>
    </row>
    <row r="116" spans="1:3" x14ac:dyDescent="0.25">
      <c r="A116" s="8" t="s">
        <v>416</v>
      </c>
      <c r="B116" s="8" t="s">
        <v>2197</v>
      </c>
      <c r="C116" s="8">
        <v>13</v>
      </c>
    </row>
    <row r="117" spans="1:3" x14ac:dyDescent="0.25">
      <c r="A117" s="8" t="s">
        <v>431</v>
      </c>
      <c r="B117" s="8" t="s">
        <v>2198</v>
      </c>
      <c r="C117" s="8">
        <v>13</v>
      </c>
    </row>
    <row r="118" spans="1:3" x14ac:dyDescent="0.25">
      <c r="A118" s="8" t="s">
        <v>419</v>
      </c>
      <c r="B118" s="8" t="s">
        <v>2199</v>
      </c>
      <c r="C118" s="8">
        <v>13</v>
      </c>
    </row>
    <row r="119" spans="1:3" x14ac:dyDescent="0.25">
      <c r="A119" s="8" t="s">
        <v>425</v>
      </c>
      <c r="B119" s="8" t="s">
        <v>2200</v>
      </c>
      <c r="C119" s="8">
        <v>13</v>
      </c>
    </row>
    <row r="120" spans="1:3" x14ac:dyDescent="0.25">
      <c r="A120" s="8" t="s">
        <v>433</v>
      </c>
      <c r="B120" s="8" t="s">
        <v>2201</v>
      </c>
      <c r="C120" s="8">
        <v>13</v>
      </c>
    </row>
    <row r="121" spans="1:3" x14ac:dyDescent="0.25">
      <c r="A121" s="8" t="s">
        <v>452</v>
      </c>
      <c r="B121" s="8" t="s">
        <v>2202</v>
      </c>
      <c r="C121" s="8">
        <v>13</v>
      </c>
    </row>
    <row r="122" spans="1:3" x14ac:dyDescent="0.25">
      <c r="A122" s="8" t="s">
        <v>458</v>
      </c>
      <c r="B122" s="8" t="s">
        <v>2203</v>
      </c>
      <c r="C122" s="8">
        <v>13</v>
      </c>
    </row>
    <row r="123" spans="1:3" x14ac:dyDescent="0.25">
      <c r="A123" s="8" t="s">
        <v>464</v>
      </c>
      <c r="B123" s="8" t="s">
        <v>2204</v>
      </c>
      <c r="C123" s="8">
        <v>13</v>
      </c>
    </row>
    <row r="124" spans="1:3" x14ac:dyDescent="0.25">
      <c r="A124" s="8" t="s">
        <v>317</v>
      </c>
      <c r="B124" s="8" t="s">
        <v>2205</v>
      </c>
      <c r="C124" s="8">
        <v>13</v>
      </c>
    </row>
    <row r="125" spans="1:3" x14ac:dyDescent="0.25">
      <c r="A125" s="8" t="s">
        <v>554</v>
      </c>
      <c r="B125" s="8" t="s">
        <v>2206</v>
      </c>
      <c r="C125" s="8">
        <v>13</v>
      </c>
    </row>
    <row r="126" spans="1:3" x14ac:dyDescent="0.25">
      <c r="A126" s="8" t="s">
        <v>324</v>
      </c>
      <c r="B126" s="8" t="s">
        <v>2207</v>
      </c>
      <c r="C126" s="8">
        <v>13</v>
      </c>
    </row>
    <row r="127" spans="1:3" x14ac:dyDescent="0.25">
      <c r="A127" s="8" t="s">
        <v>326</v>
      </c>
      <c r="B127" s="8" t="s">
        <v>2208</v>
      </c>
      <c r="C127" s="8">
        <v>13</v>
      </c>
    </row>
    <row r="128" spans="1:3" x14ac:dyDescent="0.25">
      <c r="A128" s="8" t="s">
        <v>528</v>
      </c>
      <c r="B128" s="8" t="s">
        <v>2209</v>
      </c>
      <c r="C128" s="8">
        <v>13</v>
      </c>
    </row>
    <row r="129" spans="1:3" x14ac:dyDescent="0.25">
      <c r="A129" s="8" t="s">
        <v>516</v>
      </c>
      <c r="B129" s="8" t="s">
        <v>2210</v>
      </c>
      <c r="C129" s="8">
        <v>13</v>
      </c>
    </row>
    <row r="130" spans="1:3" x14ac:dyDescent="0.25">
      <c r="A130" s="8" t="s">
        <v>523</v>
      </c>
      <c r="B130" s="8" t="s">
        <v>2211</v>
      </c>
      <c r="C130" s="8">
        <v>13</v>
      </c>
    </row>
    <row r="131" spans="1:3" x14ac:dyDescent="0.25">
      <c r="A131" s="8" t="s">
        <v>526</v>
      </c>
      <c r="B131" s="8" t="s">
        <v>2212</v>
      </c>
      <c r="C131" s="8">
        <v>13</v>
      </c>
    </row>
    <row r="132" spans="1:3" x14ac:dyDescent="0.25">
      <c r="A132" s="8" t="s">
        <v>718</v>
      </c>
      <c r="B132" s="8" t="s">
        <v>2213</v>
      </c>
      <c r="C132" s="8">
        <v>13</v>
      </c>
    </row>
    <row r="133" spans="1:3" x14ac:dyDescent="0.25">
      <c r="A133" s="8" t="s">
        <v>548</v>
      </c>
      <c r="B133" s="8" t="s">
        <v>2139</v>
      </c>
      <c r="C133" s="8">
        <v>13</v>
      </c>
    </row>
    <row r="134" spans="1:3" x14ac:dyDescent="0.25">
      <c r="A134" s="8" t="s">
        <v>702</v>
      </c>
      <c r="B134" s="8" t="s">
        <v>2214</v>
      </c>
      <c r="C134" s="8">
        <v>13</v>
      </c>
    </row>
    <row r="135" spans="1:3" x14ac:dyDescent="0.25">
      <c r="A135" s="8" t="s">
        <v>2215</v>
      </c>
      <c r="B135" s="8" t="s">
        <v>2216</v>
      </c>
      <c r="C135" s="8">
        <v>13</v>
      </c>
    </row>
    <row r="136" spans="1:3" x14ac:dyDescent="0.25">
      <c r="A136" s="8" t="s">
        <v>705</v>
      </c>
      <c r="B136" s="8" t="s">
        <v>2217</v>
      </c>
      <c r="C136" s="8">
        <v>13</v>
      </c>
    </row>
    <row r="137" spans="1:3" x14ac:dyDescent="0.25">
      <c r="A137" s="8" t="s">
        <v>728</v>
      </c>
      <c r="B137" s="8" t="s">
        <v>2218</v>
      </c>
      <c r="C137" s="8">
        <v>13</v>
      </c>
    </row>
    <row r="138" spans="1:3" x14ac:dyDescent="0.25">
      <c r="A138" s="8" t="s">
        <v>739</v>
      </c>
      <c r="B138" s="8" t="s">
        <v>2219</v>
      </c>
      <c r="C138" s="8">
        <v>13</v>
      </c>
    </row>
    <row r="139" spans="1:3" x14ac:dyDescent="0.25">
      <c r="A139" s="8" t="s">
        <v>744</v>
      </c>
      <c r="B139" s="8" t="s">
        <v>2220</v>
      </c>
      <c r="C139" s="8">
        <v>13</v>
      </c>
    </row>
    <row r="140" spans="1:3" x14ac:dyDescent="0.25">
      <c r="A140" s="8" t="s">
        <v>746</v>
      </c>
      <c r="B140" s="8" t="s">
        <v>2221</v>
      </c>
      <c r="C140" s="8">
        <v>13</v>
      </c>
    </row>
    <row r="141" spans="1:3" x14ac:dyDescent="0.25">
      <c r="A141" s="8" t="s">
        <v>748</v>
      </c>
      <c r="B141" s="8" t="s">
        <v>2222</v>
      </c>
      <c r="C141" s="8">
        <v>13</v>
      </c>
    </row>
    <row r="142" spans="1:3" x14ac:dyDescent="0.25">
      <c r="A142" s="8" t="s">
        <v>750</v>
      </c>
      <c r="B142" s="8" t="s">
        <v>2223</v>
      </c>
      <c r="C142" s="8">
        <v>13</v>
      </c>
    </row>
    <row r="143" spans="1:3" x14ac:dyDescent="0.25">
      <c r="A143" s="8" t="s">
        <v>753</v>
      </c>
      <c r="B143" s="8" t="s">
        <v>2224</v>
      </c>
      <c r="C143" s="8">
        <v>13</v>
      </c>
    </row>
    <row r="144" spans="1:3" x14ac:dyDescent="0.25">
      <c r="A144" s="8" t="s">
        <v>758</v>
      </c>
      <c r="B144" s="8" t="s">
        <v>2225</v>
      </c>
      <c r="C144" s="8">
        <v>13</v>
      </c>
    </row>
    <row r="145" spans="1:3" x14ac:dyDescent="0.25">
      <c r="A145" s="8" t="s">
        <v>2226</v>
      </c>
      <c r="B145" s="8" t="s">
        <v>2227</v>
      </c>
      <c r="C145" s="8">
        <v>13</v>
      </c>
    </row>
    <row r="146" spans="1:3" x14ac:dyDescent="0.25">
      <c r="A146" s="8" t="s">
        <v>282</v>
      </c>
      <c r="B146" s="8" t="s">
        <v>2228</v>
      </c>
      <c r="C146" s="8">
        <v>14</v>
      </c>
    </row>
    <row r="147" spans="1:3" x14ac:dyDescent="0.25">
      <c r="A147" s="8" t="s">
        <v>288</v>
      </c>
      <c r="B147" s="8" t="s">
        <v>2229</v>
      </c>
      <c r="C147" s="8">
        <v>14</v>
      </c>
    </row>
    <row r="148" spans="1:3" x14ac:dyDescent="0.25">
      <c r="A148" s="8" t="s">
        <v>296</v>
      </c>
      <c r="B148" s="8" t="s">
        <v>2230</v>
      </c>
      <c r="C148" s="8">
        <v>14</v>
      </c>
    </row>
    <row r="149" spans="1:3" x14ac:dyDescent="0.25">
      <c r="A149" s="8" t="s">
        <v>481</v>
      </c>
      <c r="B149" s="8" t="s">
        <v>2231</v>
      </c>
      <c r="C149" s="8">
        <v>14</v>
      </c>
    </row>
    <row r="150" spans="1:3" x14ac:dyDescent="0.25">
      <c r="A150" s="8" t="s">
        <v>302</v>
      </c>
      <c r="B150" s="8" t="s">
        <v>2232</v>
      </c>
      <c r="C150" s="8">
        <v>14</v>
      </c>
    </row>
    <row r="151" spans="1:3" x14ac:dyDescent="0.25">
      <c r="A151" s="8" t="s">
        <v>300</v>
      </c>
      <c r="B151" s="8" t="s">
        <v>2233</v>
      </c>
      <c r="C151" s="8">
        <v>14</v>
      </c>
    </row>
    <row r="152" spans="1:3" x14ac:dyDescent="0.25">
      <c r="A152" s="8" t="s">
        <v>514</v>
      </c>
      <c r="B152" s="8" t="s">
        <v>2234</v>
      </c>
      <c r="C152" s="8">
        <v>14</v>
      </c>
    </row>
    <row r="153" spans="1:3" x14ac:dyDescent="0.25">
      <c r="A153" s="8" t="s">
        <v>520</v>
      </c>
      <c r="B153" s="8" t="s">
        <v>2235</v>
      </c>
      <c r="C153" s="8">
        <v>14</v>
      </c>
    </row>
    <row r="154" spans="1:3" x14ac:dyDescent="0.25">
      <c r="A154" s="8" t="s">
        <v>416</v>
      </c>
      <c r="B154" s="8" t="s">
        <v>2236</v>
      </c>
      <c r="C154" s="8">
        <v>14</v>
      </c>
    </row>
    <row r="155" spans="1:3" x14ac:dyDescent="0.25">
      <c r="A155" s="8" t="s">
        <v>431</v>
      </c>
      <c r="B155" s="8" t="s">
        <v>2237</v>
      </c>
      <c r="C155" s="8">
        <v>14</v>
      </c>
    </row>
    <row r="156" spans="1:3" x14ac:dyDescent="0.25">
      <c r="A156" s="8" t="s">
        <v>419</v>
      </c>
      <c r="B156" s="8" t="s">
        <v>2238</v>
      </c>
      <c r="C156" s="8">
        <v>14</v>
      </c>
    </row>
    <row r="157" spans="1:3" x14ac:dyDescent="0.25">
      <c r="A157" s="8" t="s">
        <v>425</v>
      </c>
      <c r="B157" s="8" t="s">
        <v>2239</v>
      </c>
      <c r="C157" s="8">
        <v>14</v>
      </c>
    </row>
    <row r="158" spans="1:3" x14ac:dyDescent="0.25">
      <c r="A158" s="8" t="s">
        <v>433</v>
      </c>
      <c r="B158" s="8" t="s">
        <v>2240</v>
      </c>
      <c r="C158" s="8">
        <v>14</v>
      </c>
    </row>
    <row r="159" spans="1:3" x14ac:dyDescent="0.25">
      <c r="A159" s="8" t="s">
        <v>452</v>
      </c>
      <c r="B159" s="8" t="s">
        <v>2241</v>
      </c>
      <c r="C159" s="8">
        <v>14</v>
      </c>
    </row>
    <row r="160" spans="1:3" x14ac:dyDescent="0.25">
      <c r="A160" s="8" t="s">
        <v>458</v>
      </c>
      <c r="B160" s="8" t="s">
        <v>2242</v>
      </c>
      <c r="C160" s="8">
        <v>14</v>
      </c>
    </row>
    <row r="161" spans="1:3" x14ac:dyDescent="0.25">
      <c r="A161" s="8" t="s">
        <v>464</v>
      </c>
      <c r="B161" s="8" t="s">
        <v>908</v>
      </c>
      <c r="C161" s="8">
        <v>14</v>
      </c>
    </row>
    <row r="162" spans="1:3" x14ac:dyDescent="0.25">
      <c r="A162" s="8" t="s">
        <v>554</v>
      </c>
      <c r="B162" s="8" t="s">
        <v>2243</v>
      </c>
      <c r="C162" s="8">
        <v>14</v>
      </c>
    </row>
    <row r="163" spans="1:3" x14ac:dyDescent="0.25">
      <c r="A163" s="8" t="s">
        <v>324</v>
      </c>
      <c r="B163" s="8" t="s">
        <v>2244</v>
      </c>
      <c r="C163" s="8">
        <v>14</v>
      </c>
    </row>
    <row r="164" spans="1:3" x14ac:dyDescent="0.25">
      <c r="A164" s="8" t="s">
        <v>326</v>
      </c>
      <c r="B164" s="8" t="s">
        <v>2245</v>
      </c>
      <c r="C164" s="8">
        <v>14</v>
      </c>
    </row>
    <row r="165" spans="1:3" x14ac:dyDescent="0.25">
      <c r="A165" s="8" t="s">
        <v>528</v>
      </c>
      <c r="B165" s="8" t="s">
        <v>2246</v>
      </c>
      <c r="C165" s="8">
        <v>14</v>
      </c>
    </row>
    <row r="166" spans="1:3" x14ac:dyDescent="0.25">
      <c r="A166" s="8" t="s">
        <v>516</v>
      </c>
      <c r="B166" s="8" t="s">
        <v>2247</v>
      </c>
      <c r="C166" s="8">
        <v>14</v>
      </c>
    </row>
    <row r="167" spans="1:3" x14ac:dyDescent="0.25">
      <c r="A167" s="8" t="s">
        <v>523</v>
      </c>
      <c r="B167" s="8" t="s">
        <v>2248</v>
      </c>
      <c r="C167" s="8">
        <v>14</v>
      </c>
    </row>
    <row r="168" spans="1:3" x14ac:dyDescent="0.25">
      <c r="A168" s="8" t="s">
        <v>526</v>
      </c>
      <c r="B168" s="8" t="s">
        <v>2249</v>
      </c>
      <c r="C168" s="8">
        <v>14</v>
      </c>
    </row>
    <row r="169" spans="1:3" x14ac:dyDescent="0.25">
      <c r="A169" s="8" t="s">
        <v>718</v>
      </c>
      <c r="B169" s="8" t="s">
        <v>2250</v>
      </c>
      <c r="C169" s="8">
        <v>14</v>
      </c>
    </row>
    <row r="170" spans="1:3" x14ac:dyDescent="0.25">
      <c r="A170" s="8" t="s">
        <v>548</v>
      </c>
      <c r="B170" s="8" t="s">
        <v>2251</v>
      </c>
      <c r="C170" s="8">
        <v>14</v>
      </c>
    </row>
    <row r="171" spans="1:3" x14ac:dyDescent="0.25">
      <c r="A171" s="8" t="s">
        <v>282</v>
      </c>
      <c r="B171" s="8" t="s">
        <v>2252</v>
      </c>
      <c r="C171" s="8">
        <v>15</v>
      </c>
    </row>
    <row r="172" spans="1:3" x14ac:dyDescent="0.25">
      <c r="A172" s="8" t="s">
        <v>288</v>
      </c>
      <c r="B172" s="8" t="s">
        <v>2253</v>
      </c>
      <c r="C172" s="8">
        <v>15</v>
      </c>
    </row>
    <row r="173" spans="1:3" x14ac:dyDescent="0.25">
      <c r="A173" s="8" t="s">
        <v>296</v>
      </c>
      <c r="B173" s="8" t="s">
        <v>2254</v>
      </c>
      <c r="C173" s="8">
        <v>15</v>
      </c>
    </row>
    <row r="174" spans="1:3" x14ac:dyDescent="0.25">
      <c r="A174" s="8" t="s">
        <v>481</v>
      </c>
      <c r="B174" s="8" t="s">
        <v>2255</v>
      </c>
      <c r="C174" s="8">
        <v>15</v>
      </c>
    </row>
    <row r="175" spans="1:3" x14ac:dyDescent="0.25">
      <c r="A175" s="8" t="s">
        <v>302</v>
      </c>
      <c r="B175" s="8" t="s">
        <v>2256</v>
      </c>
      <c r="C175" s="8">
        <v>15</v>
      </c>
    </row>
    <row r="176" spans="1:3" x14ac:dyDescent="0.25">
      <c r="A176" s="8" t="s">
        <v>300</v>
      </c>
      <c r="B176" s="8" t="s">
        <v>2257</v>
      </c>
      <c r="C176" s="8">
        <v>15</v>
      </c>
    </row>
    <row r="177" spans="1:3" x14ac:dyDescent="0.25">
      <c r="A177" s="8" t="s">
        <v>514</v>
      </c>
      <c r="B177" s="8" t="s">
        <v>2258</v>
      </c>
      <c r="C177" s="8">
        <v>15</v>
      </c>
    </row>
    <row r="178" spans="1:3" x14ac:dyDescent="0.25">
      <c r="A178" s="8" t="s">
        <v>520</v>
      </c>
      <c r="B178" s="8" t="s">
        <v>2259</v>
      </c>
      <c r="C178" s="8">
        <v>15</v>
      </c>
    </row>
    <row r="179" spans="1:3" x14ac:dyDescent="0.25">
      <c r="A179" s="8" t="s">
        <v>416</v>
      </c>
      <c r="B179" s="8" t="s">
        <v>2260</v>
      </c>
      <c r="C179" s="8">
        <v>15</v>
      </c>
    </row>
    <row r="180" spans="1:3" x14ac:dyDescent="0.25">
      <c r="A180" s="8" t="s">
        <v>326</v>
      </c>
      <c r="B180" s="8" t="s">
        <v>2261</v>
      </c>
      <c r="C180" s="8">
        <v>15</v>
      </c>
    </row>
    <row r="181" spans="1:3" x14ac:dyDescent="0.25">
      <c r="A181" s="8" t="s">
        <v>282</v>
      </c>
      <c r="B181" s="8" t="s">
        <v>2262</v>
      </c>
      <c r="C181" s="8">
        <v>16</v>
      </c>
    </row>
    <row r="182" spans="1:3" x14ac:dyDescent="0.25">
      <c r="A182" s="8" t="s">
        <v>288</v>
      </c>
      <c r="B182" s="8" t="s">
        <v>931</v>
      </c>
      <c r="C182" s="8">
        <v>16</v>
      </c>
    </row>
    <row r="183" spans="1:3" x14ac:dyDescent="0.25">
      <c r="A183" s="8" t="s">
        <v>282</v>
      </c>
      <c r="B183" s="8" t="s">
        <v>2263</v>
      </c>
      <c r="C183" s="8">
        <v>17</v>
      </c>
    </row>
    <row r="184" spans="1:3" x14ac:dyDescent="0.25">
      <c r="A184" s="8" t="s">
        <v>288</v>
      </c>
      <c r="B184" s="8" t="s">
        <v>2264</v>
      </c>
      <c r="C184" s="8">
        <v>17</v>
      </c>
    </row>
    <row r="185" spans="1:3" x14ac:dyDescent="0.25">
      <c r="A185" s="8" t="s">
        <v>296</v>
      </c>
      <c r="B185" s="8" t="s">
        <v>2265</v>
      </c>
      <c r="C185" s="8">
        <v>17</v>
      </c>
    </row>
    <row r="186" spans="1:3" x14ac:dyDescent="0.25">
      <c r="A186" s="8" t="s">
        <v>481</v>
      </c>
      <c r="B186" s="8" t="s">
        <v>2266</v>
      </c>
      <c r="C186" s="8">
        <v>17</v>
      </c>
    </row>
    <row r="187" spans="1:3" x14ac:dyDescent="0.25">
      <c r="A187" s="8" t="s">
        <v>302</v>
      </c>
      <c r="B187" s="8" t="s">
        <v>2267</v>
      </c>
      <c r="C187" s="8">
        <v>17</v>
      </c>
    </row>
    <row r="188" spans="1:3" x14ac:dyDescent="0.25">
      <c r="A188" s="8" t="s">
        <v>300</v>
      </c>
      <c r="B188" s="8" t="s">
        <v>2268</v>
      </c>
      <c r="C188" s="8">
        <v>17</v>
      </c>
    </row>
    <row r="189" spans="1:3" x14ac:dyDescent="0.25">
      <c r="A189" s="8" t="s">
        <v>514</v>
      </c>
      <c r="B189" s="8" t="s">
        <v>2269</v>
      </c>
      <c r="C189" s="8">
        <v>17</v>
      </c>
    </row>
    <row r="190" spans="1:3" x14ac:dyDescent="0.25">
      <c r="A190" s="8" t="s">
        <v>520</v>
      </c>
      <c r="B190" s="8" t="s">
        <v>2270</v>
      </c>
      <c r="C190" s="8">
        <v>17</v>
      </c>
    </row>
    <row r="191" spans="1:3" x14ac:dyDescent="0.25">
      <c r="A191" s="8" t="s">
        <v>416</v>
      </c>
      <c r="B191" s="8" t="s">
        <v>2271</v>
      </c>
      <c r="C191" s="8">
        <v>17</v>
      </c>
    </row>
    <row r="192" spans="1:3" x14ac:dyDescent="0.25">
      <c r="A192" s="8" t="s">
        <v>431</v>
      </c>
      <c r="B192" s="8" t="s">
        <v>2272</v>
      </c>
      <c r="C192" s="8">
        <v>17</v>
      </c>
    </row>
    <row r="193" spans="1:3" x14ac:dyDescent="0.25">
      <c r="A193" s="8" t="s">
        <v>419</v>
      </c>
      <c r="B193" s="8" t="s">
        <v>2273</v>
      </c>
      <c r="C193" s="8">
        <v>17</v>
      </c>
    </row>
    <row r="194" spans="1:3" x14ac:dyDescent="0.25">
      <c r="A194" s="8" t="s">
        <v>425</v>
      </c>
      <c r="B194" s="8" t="s">
        <v>2274</v>
      </c>
      <c r="C194" s="8">
        <v>17</v>
      </c>
    </row>
    <row r="195" spans="1:3" x14ac:dyDescent="0.25">
      <c r="A195" s="8" t="s">
        <v>433</v>
      </c>
      <c r="B195" s="8" t="s">
        <v>2275</v>
      </c>
      <c r="C195" s="8">
        <v>17</v>
      </c>
    </row>
    <row r="196" spans="1:3" x14ac:dyDescent="0.25">
      <c r="A196" s="8" t="s">
        <v>282</v>
      </c>
      <c r="B196" s="8" t="s">
        <v>2276</v>
      </c>
      <c r="C196" s="8">
        <v>18</v>
      </c>
    </row>
    <row r="197" spans="1:3" x14ac:dyDescent="0.25">
      <c r="A197" s="8" t="s">
        <v>288</v>
      </c>
      <c r="B197" s="8" t="s">
        <v>2277</v>
      </c>
      <c r="C197" s="8">
        <v>18</v>
      </c>
    </row>
    <row r="198" spans="1:3" x14ac:dyDescent="0.25">
      <c r="A198" s="8" t="s">
        <v>296</v>
      </c>
      <c r="B198" s="8" t="s">
        <v>2278</v>
      </c>
      <c r="C198" s="8">
        <v>18</v>
      </c>
    </row>
    <row r="199" spans="1:3" x14ac:dyDescent="0.25">
      <c r="A199" s="8" t="s">
        <v>481</v>
      </c>
      <c r="B199" s="8" t="s">
        <v>2279</v>
      </c>
      <c r="C199" s="8">
        <v>18</v>
      </c>
    </row>
    <row r="200" spans="1:3" x14ac:dyDescent="0.25">
      <c r="A200" s="8" t="s">
        <v>302</v>
      </c>
      <c r="B200" s="8" t="s">
        <v>2280</v>
      </c>
      <c r="C200" s="8">
        <v>18</v>
      </c>
    </row>
    <row r="201" spans="1:3" x14ac:dyDescent="0.25">
      <c r="A201" s="8" t="s">
        <v>300</v>
      </c>
      <c r="B201" s="8" t="s">
        <v>2281</v>
      </c>
      <c r="C201" s="8">
        <v>18</v>
      </c>
    </row>
    <row r="202" spans="1:3" x14ac:dyDescent="0.25">
      <c r="A202" s="8" t="s">
        <v>514</v>
      </c>
      <c r="B202" s="8" t="s">
        <v>2282</v>
      </c>
      <c r="C202" s="8">
        <v>18</v>
      </c>
    </row>
    <row r="203" spans="1:3" x14ac:dyDescent="0.25">
      <c r="A203" s="8" t="s">
        <v>520</v>
      </c>
      <c r="B203" s="8" t="s">
        <v>2283</v>
      </c>
      <c r="C203" s="8">
        <v>18</v>
      </c>
    </row>
    <row r="204" spans="1:3" x14ac:dyDescent="0.25">
      <c r="A204" s="8" t="s">
        <v>416</v>
      </c>
      <c r="B204" s="8" t="s">
        <v>2284</v>
      </c>
      <c r="C204" s="8">
        <v>18</v>
      </c>
    </row>
    <row r="205" spans="1:3" x14ac:dyDescent="0.25">
      <c r="A205" s="8" t="s">
        <v>431</v>
      </c>
      <c r="B205" s="8" t="s">
        <v>2285</v>
      </c>
      <c r="C205" s="8">
        <v>18</v>
      </c>
    </row>
    <row r="206" spans="1:3" x14ac:dyDescent="0.25">
      <c r="A206" s="8" t="s">
        <v>419</v>
      </c>
      <c r="B206" s="8" t="s">
        <v>2286</v>
      </c>
      <c r="C206" s="8">
        <v>18</v>
      </c>
    </row>
    <row r="207" spans="1:3" x14ac:dyDescent="0.25">
      <c r="A207" s="8" t="s">
        <v>425</v>
      </c>
      <c r="B207" s="8" t="s">
        <v>2287</v>
      </c>
      <c r="C207" s="8">
        <v>18</v>
      </c>
    </row>
    <row r="208" spans="1:3" x14ac:dyDescent="0.25">
      <c r="A208" s="8" t="s">
        <v>433</v>
      </c>
      <c r="B208" s="8" t="s">
        <v>2288</v>
      </c>
      <c r="C208" s="8">
        <v>18</v>
      </c>
    </row>
    <row r="209" spans="1:3" x14ac:dyDescent="0.25">
      <c r="A209" s="8" t="s">
        <v>300</v>
      </c>
      <c r="B209" s="8" t="s">
        <v>2289</v>
      </c>
      <c r="C209" s="8">
        <v>18</v>
      </c>
    </row>
    <row r="210" spans="1:3" x14ac:dyDescent="0.25">
      <c r="A210" s="8" t="s">
        <v>458</v>
      </c>
      <c r="B210" s="8" t="s">
        <v>2290</v>
      </c>
      <c r="C210" s="8">
        <v>18</v>
      </c>
    </row>
    <row r="211" spans="1:3" x14ac:dyDescent="0.25">
      <c r="A211" s="8" t="s">
        <v>464</v>
      </c>
      <c r="B211" s="8" t="s">
        <v>2291</v>
      </c>
      <c r="C211" s="8">
        <v>18</v>
      </c>
    </row>
    <row r="212" spans="1:3" x14ac:dyDescent="0.25">
      <c r="A212" s="8" t="s">
        <v>317</v>
      </c>
      <c r="B212" s="8" t="s">
        <v>2292</v>
      </c>
      <c r="C212" s="8">
        <v>18</v>
      </c>
    </row>
    <row r="213" spans="1:3" x14ac:dyDescent="0.25">
      <c r="A213" s="8" t="s">
        <v>326</v>
      </c>
      <c r="B213" s="8" t="s">
        <v>2293</v>
      </c>
      <c r="C213" s="8">
        <v>18</v>
      </c>
    </row>
    <row r="214" spans="1:3" x14ac:dyDescent="0.25">
      <c r="A214" s="8" t="s">
        <v>554</v>
      </c>
      <c r="B214" s="8" t="s">
        <v>2294</v>
      </c>
      <c r="C214" s="8">
        <v>18</v>
      </c>
    </row>
    <row r="215" spans="1:3" x14ac:dyDescent="0.25">
      <c r="A215" s="8" t="s">
        <v>324</v>
      </c>
      <c r="B215" s="8" t="s">
        <v>2295</v>
      </c>
      <c r="C215" s="8">
        <v>18</v>
      </c>
    </row>
    <row r="216" spans="1:3" x14ac:dyDescent="0.25">
      <c r="A216" s="8" t="s">
        <v>528</v>
      </c>
      <c r="B216" s="8" t="s">
        <v>2296</v>
      </c>
      <c r="C216" s="8">
        <v>18</v>
      </c>
    </row>
    <row r="217" spans="1:3" x14ac:dyDescent="0.25">
      <c r="A217" s="8" t="s">
        <v>516</v>
      </c>
      <c r="B217" s="8" t="s">
        <v>2297</v>
      </c>
      <c r="C217" s="8">
        <v>18</v>
      </c>
    </row>
    <row r="218" spans="1:3" x14ac:dyDescent="0.25">
      <c r="A218" s="8" t="s">
        <v>523</v>
      </c>
      <c r="B218" s="8" t="s">
        <v>2298</v>
      </c>
      <c r="C218" s="8">
        <v>18</v>
      </c>
    </row>
    <row r="219" spans="1:3" x14ac:dyDescent="0.25">
      <c r="A219" s="8" t="s">
        <v>526</v>
      </c>
      <c r="B219" s="8" t="s">
        <v>2299</v>
      </c>
      <c r="C219" s="8">
        <v>18</v>
      </c>
    </row>
    <row r="220" spans="1:3" x14ac:dyDescent="0.25">
      <c r="A220" s="8" t="s">
        <v>718</v>
      </c>
      <c r="B220" s="8" t="s">
        <v>2300</v>
      </c>
      <c r="C220" s="8">
        <v>18</v>
      </c>
    </row>
    <row r="221" spans="1:3" x14ac:dyDescent="0.25">
      <c r="A221" s="8" t="s">
        <v>548</v>
      </c>
      <c r="B221" s="8" t="s">
        <v>2301</v>
      </c>
      <c r="C221" s="8">
        <v>18</v>
      </c>
    </row>
    <row r="222" spans="1:3" x14ac:dyDescent="0.25">
      <c r="A222" s="8" t="s">
        <v>452</v>
      </c>
      <c r="B222" s="8" t="s">
        <v>2302</v>
      </c>
      <c r="C222" s="8">
        <v>18</v>
      </c>
    </row>
    <row r="223" spans="1:3" x14ac:dyDescent="0.25">
      <c r="A223" s="8" t="s">
        <v>702</v>
      </c>
      <c r="B223" s="8" t="s">
        <v>2303</v>
      </c>
      <c r="C223" s="8">
        <v>18</v>
      </c>
    </row>
    <row r="224" spans="1:3" x14ac:dyDescent="0.25">
      <c r="A224" s="8" t="s">
        <v>2215</v>
      </c>
      <c r="B224" s="8" t="s">
        <v>2304</v>
      </c>
      <c r="C224" s="8">
        <v>18</v>
      </c>
    </row>
    <row r="225" spans="1:3" x14ac:dyDescent="0.25">
      <c r="A225" s="8" t="s">
        <v>705</v>
      </c>
      <c r="B225" s="8" t="s">
        <v>2305</v>
      </c>
      <c r="C225" s="8">
        <v>18</v>
      </c>
    </row>
    <row r="226" spans="1:3" x14ac:dyDescent="0.25">
      <c r="A226" s="8" t="s">
        <v>728</v>
      </c>
      <c r="B226" s="8" t="s">
        <v>2288</v>
      </c>
      <c r="C226" s="8">
        <v>18</v>
      </c>
    </row>
    <row r="227" spans="1:3" x14ac:dyDescent="0.25">
      <c r="A227" s="8" t="s">
        <v>282</v>
      </c>
      <c r="B227" s="8" t="s">
        <v>2306</v>
      </c>
      <c r="C227" s="8">
        <v>19</v>
      </c>
    </row>
    <row r="228" spans="1:3" x14ac:dyDescent="0.25">
      <c r="A228" s="8" t="s">
        <v>288</v>
      </c>
      <c r="B228" s="8" t="s">
        <v>2307</v>
      </c>
      <c r="C228" s="8">
        <v>19</v>
      </c>
    </row>
    <row r="229" spans="1:3" x14ac:dyDescent="0.25">
      <c r="A229" s="8" t="s">
        <v>296</v>
      </c>
      <c r="B229" s="8" t="s">
        <v>2308</v>
      </c>
      <c r="C229" s="8">
        <v>19</v>
      </c>
    </row>
    <row r="230" spans="1:3" x14ac:dyDescent="0.25">
      <c r="A230" s="8" t="s">
        <v>481</v>
      </c>
      <c r="B230" s="8" t="s">
        <v>2164</v>
      </c>
      <c r="C230" s="8">
        <v>19</v>
      </c>
    </row>
    <row r="231" spans="1:3" x14ac:dyDescent="0.25">
      <c r="A231" s="8" t="s">
        <v>302</v>
      </c>
      <c r="B231" s="8" t="s">
        <v>2309</v>
      </c>
      <c r="C231" s="8">
        <v>19</v>
      </c>
    </row>
    <row r="232" spans="1:3" x14ac:dyDescent="0.25">
      <c r="A232" s="8" t="s">
        <v>300</v>
      </c>
      <c r="B232" s="8" t="s">
        <v>2310</v>
      </c>
      <c r="C232" s="8">
        <v>19</v>
      </c>
    </row>
    <row r="233" spans="1:3" x14ac:dyDescent="0.25">
      <c r="A233" s="8" t="s">
        <v>514</v>
      </c>
      <c r="B233" s="8" t="s">
        <v>2311</v>
      </c>
      <c r="C233" s="8">
        <v>19</v>
      </c>
    </row>
    <row r="234" spans="1:3" x14ac:dyDescent="0.25">
      <c r="A234" s="8" t="s">
        <v>520</v>
      </c>
      <c r="B234" s="8" t="s">
        <v>2312</v>
      </c>
      <c r="C234" s="8">
        <v>19</v>
      </c>
    </row>
    <row r="235" spans="1:3" x14ac:dyDescent="0.25">
      <c r="A235" s="8" t="s">
        <v>416</v>
      </c>
      <c r="B235" s="8" t="s">
        <v>2313</v>
      </c>
      <c r="C235" s="8">
        <v>19</v>
      </c>
    </row>
    <row r="236" spans="1:3" x14ac:dyDescent="0.25">
      <c r="A236" s="8" t="s">
        <v>431</v>
      </c>
      <c r="B236" s="8" t="s">
        <v>2314</v>
      </c>
      <c r="C236" s="8">
        <v>19</v>
      </c>
    </row>
    <row r="237" spans="1:3" x14ac:dyDescent="0.25">
      <c r="A237" s="8" t="s">
        <v>419</v>
      </c>
      <c r="B237" s="8" t="s">
        <v>2315</v>
      </c>
      <c r="C237" s="8">
        <v>19</v>
      </c>
    </row>
    <row r="238" spans="1:3" x14ac:dyDescent="0.25">
      <c r="A238" s="8" t="s">
        <v>425</v>
      </c>
      <c r="B238" s="8" t="s">
        <v>2316</v>
      </c>
      <c r="C238" s="8">
        <v>19</v>
      </c>
    </row>
    <row r="239" spans="1:3" x14ac:dyDescent="0.25">
      <c r="A239" s="8" t="s">
        <v>433</v>
      </c>
      <c r="B239" s="8" t="s">
        <v>2317</v>
      </c>
      <c r="C239" s="8">
        <v>19</v>
      </c>
    </row>
    <row r="240" spans="1:3" x14ac:dyDescent="0.25">
      <c r="A240" s="8" t="s">
        <v>452</v>
      </c>
      <c r="B240" s="8" t="s">
        <v>2318</v>
      </c>
      <c r="C240" s="8">
        <v>19</v>
      </c>
    </row>
    <row r="241" spans="1:3" x14ac:dyDescent="0.25">
      <c r="A241" s="8" t="s">
        <v>458</v>
      </c>
      <c r="B241" s="8" t="s">
        <v>2319</v>
      </c>
      <c r="C241" s="8">
        <v>19</v>
      </c>
    </row>
    <row r="242" spans="1:3" x14ac:dyDescent="0.25">
      <c r="A242" s="8" t="s">
        <v>464</v>
      </c>
      <c r="B242" s="8" t="s">
        <v>2320</v>
      </c>
      <c r="C242" s="8">
        <v>19</v>
      </c>
    </row>
    <row r="243" spans="1:3" x14ac:dyDescent="0.25">
      <c r="A243" s="8" t="s">
        <v>317</v>
      </c>
      <c r="B243" s="8" t="s">
        <v>2321</v>
      </c>
      <c r="C243" s="8">
        <v>19</v>
      </c>
    </row>
    <row r="244" spans="1:3" x14ac:dyDescent="0.25">
      <c r="A244" s="8" t="s">
        <v>554</v>
      </c>
      <c r="B244" s="8" t="s">
        <v>2322</v>
      </c>
      <c r="C244" s="8">
        <v>19</v>
      </c>
    </row>
    <row r="245" spans="1:3" x14ac:dyDescent="0.25">
      <c r="A245" s="8" t="s">
        <v>324</v>
      </c>
      <c r="B245" s="8" t="s">
        <v>2323</v>
      </c>
      <c r="C245" s="8">
        <v>19</v>
      </c>
    </row>
    <row r="246" spans="1:3" x14ac:dyDescent="0.25">
      <c r="A246" s="8" t="s">
        <v>326</v>
      </c>
      <c r="B246" s="8" t="s">
        <v>2324</v>
      </c>
      <c r="C246" s="8">
        <v>19</v>
      </c>
    </row>
    <row r="247" spans="1:3" x14ac:dyDescent="0.25">
      <c r="A247" s="8" t="s">
        <v>528</v>
      </c>
      <c r="B247" s="8" t="s">
        <v>2325</v>
      </c>
      <c r="C247" s="8">
        <v>19</v>
      </c>
    </row>
    <row r="248" spans="1:3" x14ac:dyDescent="0.25">
      <c r="A248" s="8" t="s">
        <v>516</v>
      </c>
      <c r="B248" s="8" t="s">
        <v>2326</v>
      </c>
      <c r="C248" s="8">
        <v>19</v>
      </c>
    </row>
    <row r="249" spans="1:3" x14ac:dyDescent="0.25">
      <c r="A249" s="8" t="s">
        <v>523</v>
      </c>
      <c r="B249" s="8" t="s">
        <v>1413</v>
      </c>
      <c r="C249" s="8">
        <v>19</v>
      </c>
    </row>
    <row r="250" spans="1:3" x14ac:dyDescent="0.25">
      <c r="A250" s="8" t="s">
        <v>526</v>
      </c>
      <c r="B250" s="8" t="s">
        <v>2327</v>
      </c>
      <c r="C250" s="8">
        <v>19</v>
      </c>
    </row>
    <row r="251" spans="1:3" x14ac:dyDescent="0.25">
      <c r="A251" s="8" t="s">
        <v>718</v>
      </c>
      <c r="B251" s="8" t="s">
        <v>2328</v>
      </c>
      <c r="C251" s="8">
        <v>19</v>
      </c>
    </row>
    <row r="252" spans="1:3" x14ac:dyDescent="0.25">
      <c r="A252" s="8" t="s">
        <v>548</v>
      </c>
      <c r="B252" s="8" t="s">
        <v>2329</v>
      </c>
      <c r="C252" s="8">
        <v>19</v>
      </c>
    </row>
    <row r="253" spans="1:3" x14ac:dyDescent="0.25">
      <c r="A253" s="8" t="s">
        <v>282</v>
      </c>
      <c r="B253" s="8" t="s">
        <v>2330</v>
      </c>
      <c r="C253" s="8">
        <v>20</v>
      </c>
    </row>
    <row r="254" spans="1:3" x14ac:dyDescent="0.25">
      <c r="A254" s="8" t="s">
        <v>288</v>
      </c>
      <c r="B254" s="8" t="s">
        <v>2331</v>
      </c>
      <c r="C254" s="8">
        <v>20</v>
      </c>
    </row>
    <row r="255" spans="1:3" x14ac:dyDescent="0.25">
      <c r="A255" s="8" t="s">
        <v>296</v>
      </c>
      <c r="B255" s="8" t="s">
        <v>2332</v>
      </c>
      <c r="C255" s="8">
        <v>20</v>
      </c>
    </row>
    <row r="256" spans="1:3" x14ac:dyDescent="0.25">
      <c r="A256" s="8" t="s">
        <v>481</v>
      </c>
      <c r="B256" s="8" t="s">
        <v>2333</v>
      </c>
      <c r="C256" s="8">
        <v>20</v>
      </c>
    </row>
    <row r="257" spans="1:3" x14ac:dyDescent="0.25">
      <c r="A257" s="8" t="s">
        <v>302</v>
      </c>
      <c r="B257" s="8" t="s">
        <v>1477</v>
      </c>
      <c r="C257" s="8">
        <v>20</v>
      </c>
    </row>
    <row r="258" spans="1:3" x14ac:dyDescent="0.25">
      <c r="A258" s="8" t="s">
        <v>300</v>
      </c>
      <c r="B258" s="8" t="s">
        <v>2334</v>
      </c>
      <c r="C258" s="8">
        <v>20</v>
      </c>
    </row>
    <row r="259" spans="1:3" x14ac:dyDescent="0.25">
      <c r="A259" s="8" t="s">
        <v>458</v>
      </c>
      <c r="B259" s="8" t="s">
        <v>2335</v>
      </c>
      <c r="C259" s="8">
        <v>21</v>
      </c>
    </row>
    <row r="260" spans="1:3" x14ac:dyDescent="0.25">
      <c r="A260" s="8" t="s">
        <v>296</v>
      </c>
      <c r="B260" s="8" t="s">
        <v>2336</v>
      </c>
      <c r="C260" s="8">
        <v>21</v>
      </c>
    </row>
    <row r="261" spans="1:3" x14ac:dyDescent="0.25">
      <c r="A261" s="8" t="s">
        <v>425</v>
      </c>
      <c r="B261" s="8" t="s">
        <v>2337</v>
      </c>
      <c r="C261" s="8">
        <v>21</v>
      </c>
    </row>
    <row r="262" spans="1:3" x14ac:dyDescent="0.25">
      <c r="A262" s="8" t="s">
        <v>282</v>
      </c>
      <c r="B262" s="8" t="s">
        <v>2338</v>
      </c>
      <c r="C262" s="8">
        <v>21</v>
      </c>
    </row>
    <row r="263" spans="1:3" x14ac:dyDescent="0.25">
      <c r="A263" s="8" t="s">
        <v>324</v>
      </c>
      <c r="B263" s="8" t="s">
        <v>2339</v>
      </c>
      <c r="C263" s="8">
        <v>22</v>
      </c>
    </row>
    <row r="264" spans="1:3" x14ac:dyDescent="0.25">
      <c r="A264" s="8" t="s">
        <v>433</v>
      </c>
      <c r="B264" s="8" t="s">
        <v>2340</v>
      </c>
      <c r="C264" s="8">
        <v>22</v>
      </c>
    </row>
    <row r="265" spans="1:3" x14ac:dyDescent="0.25">
      <c r="A265" s="8" t="s">
        <v>326</v>
      </c>
      <c r="B265" s="8" t="s">
        <v>2341</v>
      </c>
      <c r="C265" s="8">
        <v>22</v>
      </c>
    </row>
    <row r="266" spans="1:3" x14ac:dyDescent="0.25">
      <c r="A266" s="8" t="s">
        <v>282</v>
      </c>
      <c r="B266" s="8" t="s">
        <v>2342</v>
      </c>
      <c r="C266" s="8">
        <v>22</v>
      </c>
    </row>
    <row r="267" spans="1:3" x14ac:dyDescent="0.25">
      <c r="A267" s="8" t="s">
        <v>288</v>
      </c>
      <c r="B267" s="8" t="s">
        <v>2343</v>
      </c>
      <c r="C267" s="8">
        <v>22</v>
      </c>
    </row>
    <row r="268" spans="1:3" x14ac:dyDescent="0.25">
      <c r="A268" s="8" t="s">
        <v>282</v>
      </c>
      <c r="B268" s="8" t="s">
        <v>2344</v>
      </c>
      <c r="C268" s="8">
        <v>23</v>
      </c>
    </row>
    <row r="269" spans="1:3" x14ac:dyDescent="0.25">
      <c r="A269" s="8" t="s">
        <v>288</v>
      </c>
      <c r="B269" s="8" t="s">
        <v>2345</v>
      </c>
      <c r="C269" s="8">
        <v>23</v>
      </c>
    </row>
    <row r="270" spans="1:3" x14ac:dyDescent="0.25">
      <c r="A270" s="8" t="s">
        <v>296</v>
      </c>
      <c r="B270" s="8" t="s">
        <v>2346</v>
      </c>
      <c r="C270" s="8">
        <v>23</v>
      </c>
    </row>
    <row r="271" spans="1:3" x14ac:dyDescent="0.25">
      <c r="A271" s="8" t="s">
        <v>481</v>
      </c>
      <c r="B271" s="8" t="s">
        <v>2347</v>
      </c>
      <c r="C271" s="8">
        <v>23</v>
      </c>
    </row>
    <row r="272" spans="1:3" x14ac:dyDescent="0.25">
      <c r="A272" s="8" t="s">
        <v>302</v>
      </c>
      <c r="B272" s="8" t="s">
        <v>2348</v>
      </c>
      <c r="C272" s="8">
        <v>23</v>
      </c>
    </row>
    <row r="273" spans="1:3" x14ac:dyDescent="0.25">
      <c r="A273" s="8" t="s">
        <v>282</v>
      </c>
      <c r="B273" s="8" t="s">
        <v>2349</v>
      </c>
      <c r="C273" s="8">
        <v>24</v>
      </c>
    </row>
    <row r="274" spans="1:3" x14ac:dyDescent="0.25">
      <c r="A274" s="8" t="s">
        <v>288</v>
      </c>
      <c r="B274" s="8" t="s">
        <v>2350</v>
      </c>
      <c r="C274" s="8">
        <v>24</v>
      </c>
    </row>
    <row r="275" spans="1:3" x14ac:dyDescent="0.25">
      <c r="A275" s="8" t="s">
        <v>296</v>
      </c>
      <c r="B275" s="8" t="s">
        <v>2351</v>
      </c>
      <c r="C275" s="8">
        <v>24</v>
      </c>
    </row>
    <row r="276" spans="1:3" x14ac:dyDescent="0.25">
      <c r="A276" s="8" t="s">
        <v>481</v>
      </c>
      <c r="B276" s="8" t="s">
        <v>2352</v>
      </c>
      <c r="C276" s="8">
        <v>24</v>
      </c>
    </row>
    <row r="277" spans="1:3" x14ac:dyDescent="0.25">
      <c r="A277" s="8" t="s">
        <v>302</v>
      </c>
      <c r="B277" s="8" t="s">
        <v>2353</v>
      </c>
      <c r="C277" s="8">
        <v>24</v>
      </c>
    </row>
    <row r="278" spans="1:3" x14ac:dyDescent="0.25">
      <c r="A278" s="8" t="s">
        <v>300</v>
      </c>
      <c r="B278" s="8" t="s">
        <v>2354</v>
      </c>
      <c r="C278" s="8">
        <v>24</v>
      </c>
    </row>
    <row r="279" spans="1:3" x14ac:dyDescent="0.25">
      <c r="A279" s="8" t="s">
        <v>514</v>
      </c>
      <c r="B279" s="8" t="s">
        <v>2355</v>
      </c>
      <c r="C279" s="8">
        <v>24</v>
      </c>
    </row>
    <row r="280" spans="1:3" x14ac:dyDescent="0.25">
      <c r="A280" s="8" t="s">
        <v>520</v>
      </c>
      <c r="B280" s="8" t="s">
        <v>2356</v>
      </c>
      <c r="C280" s="8">
        <v>24</v>
      </c>
    </row>
    <row r="281" spans="1:3" x14ac:dyDescent="0.25">
      <c r="A281" s="8" t="s">
        <v>416</v>
      </c>
      <c r="B281" s="8" t="s">
        <v>2357</v>
      </c>
      <c r="C281" s="8">
        <v>24</v>
      </c>
    </row>
    <row r="282" spans="1:3" x14ac:dyDescent="0.25">
      <c r="A282" s="8" t="s">
        <v>431</v>
      </c>
      <c r="B282" s="8" t="s">
        <v>2358</v>
      </c>
      <c r="C282" s="8">
        <v>24</v>
      </c>
    </row>
    <row r="283" spans="1:3" x14ac:dyDescent="0.25">
      <c r="A283" s="8" t="s">
        <v>419</v>
      </c>
      <c r="B283" s="8" t="s">
        <v>2359</v>
      </c>
      <c r="C283" s="8">
        <v>24</v>
      </c>
    </row>
    <row r="284" spans="1:3" x14ac:dyDescent="0.25">
      <c r="A284" s="8" t="s">
        <v>425</v>
      </c>
      <c r="B284" s="8" t="s">
        <v>2360</v>
      </c>
      <c r="C284" s="8">
        <v>24</v>
      </c>
    </row>
    <row r="285" spans="1:3" x14ac:dyDescent="0.25">
      <c r="A285" s="8" t="s">
        <v>433</v>
      </c>
      <c r="B285" s="8" t="s">
        <v>2361</v>
      </c>
      <c r="C285" s="8">
        <v>24</v>
      </c>
    </row>
    <row r="286" spans="1:3" x14ac:dyDescent="0.25">
      <c r="A286" s="8" t="s">
        <v>452</v>
      </c>
      <c r="B286" s="8" t="s">
        <v>2362</v>
      </c>
      <c r="C286" s="8">
        <v>24</v>
      </c>
    </row>
    <row r="287" spans="1:3" x14ac:dyDescent="0.25">
      <c r="A287" s="8" t="s">
        <v>458</v>
      </c>
      <c r="B287" s="8" t="s">
        <v>2363</v>
      </c>
      <c r="C287" s="8">
        <v>24</v>
      </c>
    </row>
    <row r="288" spans="1:3" x14ac:dyDescent="0.25">
      <c r="A288" s="8" t="s">
        <v>464</v>
      </c>
      <c r="B288" s="8" t="s">
        <v>2198</v>
      </c>
      <c r="C288" s="8">
        <v>24</v>
      </c>
    </row>
    <row r="289" spans="1:3" x14ac:dyDescent="0.25">
      <c r="A289" s="8" t="s">
        <v>317</v>
      </c>
      <c r="B289" s="8" t="s">
        <v>2364</v>
      </c>
      <c r="C289" s="8">
        <v>24</v>
      </c>
    </row>
    <row r="290" spans="1:3" x14ac:dyDescent="0.25">
      <c r="A290" s="8" t="s">
        <v>554</v>
      </c>
      <c r="B290" s="8" t="s">
        <v>2365</v>
      </c>
      <c r="C290" s="8">
        <v>24</v>
      </c>
    </row>
    <row r="291" spans="1:3" x14ac:dyDescent="0.25">
      <c r="A291" s="8" t="s">
        <v>324</v>
      </c>
      <c r="B291" s="8" t="s">
        <v>2366</v>
      </c>
      <c r="C291" s="8">
        <v>24</v>
      </c>
    </row>
    <row r="292" spans="1:3" x14ac:dyDescent="0.25">
      <c r="A292" s="8" t="s">
        <v>326</v>
      </c>
      <c r="B292" s="8" t="s">
        <v>2367</v>
      </c>
      <c r="C292" s="8">
        <v>24</v>
      </c>
    </row>
    <row r="293" spans="1:3" x14ac:dyDescent="0.25">
      <c r="A293" s="8" t="s">
        <v>528</v>
      </c>
      <c r="B293" s="8" t="s">
        <v>2368</v>
      </c>
      <c r="C293" s="8">
        <v>24</v>
      </c>
    </row>
    <row r="294" spans="1:3" x14ac:dyDescent="0.25">
      <c r="A294" s="8" t="s">
        <v>516</v>
      </c>
      <c r="B294" s="8" t="s">
        <v>2369</v>
      </c>
      <c r="C294" s="8">
        <v>24</v>
      </c>
    </row>
    <row r="295" spans="1:3" x14ac:dyDescent="0.25">
      <c r="A295" s="8" t="s">
        <v>523</v>
      </c>
      <c r="B295" s="8" t="s">
        <v>2370</v>
      </c>
      <c r="C295" s="8">
        <v>24</v>
      </c>
    </row>
    <row r="296" spans="1:3" x14ac:dyDescent="0.25">
      <c r="A296" s="8" t="s">
        <v>526</v>
      </c>
      <c r="B296" s="8" t="s">
        <v>2371</v>
      </c>
      <c r="C296" s="8">
        <v>24</v>
      </c>
    </row>
    <row r="297" spans="1:3" x14ac:dyDescent="0.25">
      <c r="A297" s="8" t="s">
        <v>718</v>
      </c>
      <c r="B297" s="8" t="s">
        <v>2372</v>
      </c>
      <c r="C297" s="8">
        <v>24</v>
      </c>
    </row>
    <row r="298" spans="1:3" x14ac:dyDescent="0.25">
      <c r="A298" s="8" t="s">
        <v>548</v>
      </c>
      <c r="B298" s="8" t="s">
        <v>2373</v>
      </c>
      <c r="C298" s="8">
        <v>24</v>
      </c>
    </row>
    <row r="299" spans="1:3" x14ac:dyDescent="0.25">
      <c r="A299" s="8" t="s">
        <v>702</v>
      </c>
      <c r="B299" s="8" t="s">
        <v>2374</v>
      </c>
      <c r="C299" s="8">
        <v>24</v>
      </c>
    </row>
    <row r="300" spans="1:3" x14ac:dyDescent="0.25">
      <c r="A300" s="8" t="s">
        <v>2215</v>
      </c>
      <c r="B300" s="8" t="s">
        <v>2375</v>
      </c>
      <c r="C300" s="8">
        <v>24</v>
      </c>
    </row>
    <row r="301" spans="1:3" x14ac:dyDescent="0.25">
      <c r="A301" s="8" t="s">
        <v>705</v>
      </c>
      <c r="B301" s="8" t="s">
        <v>2376</v>
      </c>
      <c r="C301" s="8">
        <v>24</v>
      </c>
    </row>
    <row r="302" spans="1:3" x14ac:dyDescent="0.25">
      <c r="A302" s="8" t="s">
        <v>282</v>
      </c>
      <c r="B302" s="8" t="s">
        <v>2377</v>
      </c>
      <c r="C302" s="8">
        <v>25</v>
      </c>
    </row>
    <row r="303" spans="1:3" x14ac:dyDescent="0.25">
      <c r="A303" s="8" t="s">
        <v>288</v>
      </c>
      <c r="B303" s="8" t="s">
        <v>2378</v>
      </c>
      <c r="C303" s="8">
        <v>25</v>
      </c>
    </row>
    <row r="304" spans="1:3" x14ac:dyDescent="0.25">
      <c r="A304" s="8" t="s">
        <v>296</v>
      </c>
      <c r="B304" s="8" t="s">
        <v>2379</v>
      </c>
      <c r="C304" s="8">
        <v>25</v>
      </c>
    </row>
    <row r="305" spans="1:3" x14ac:dyDescent="0.25">
      <c r="A305" s="8" t="s">
        <v>481</v>
      </c>
      <c r="B305" s="8" t="s">
        <v>2380</v>
      </c>
      <c r="C305" s="8">
        <v>25</v>
      </c>
    </row>
    <row r="306" spans="1:3" x14ac:dyDescent="0.25">
      <c r="A306" s="8" t="s">
        <v>302</v>
      </c>
      <c r="B306" s="8" t="s">
        <v>2047</v>
      </c>
      <c r="C306" s="8">
        <v>25</v>
      </c>
    </row>
    <row r="307" spans="1:3" x14ac:dyDescent="0.25">
      <c r="A307" s="8" t="s">
        <v>300</v>
      </c>
      <c r="B307" s="8" t="s">
        <v>2381</v>
      </c>
      <c r="C307" s="8">
        <v>25</v>
      </c>
    </row>
    <row r="308" spans="1:3" x14ac:dyDescent="0.25">
      <c r="A308" s="8" t="s">
        <v>514</v>
      </c>
      <c r="B308" s="8" t="s">
        <v>2049</v>
      </c>
      <c r="C308" s="8">
        <v>25</v>
      </c>
    </row>
    <row r="309" spans="1:3" x14ac:dyDescent="0.25">
      <c r="A309" s="8" t="s">
        <v>416</v>
      </c>
      <c r="B309" s="8" t="s">
        <v>2382</v>
      </c>
      <c r="C309" s="8">
        <v>25</v>
      </c>
    </row>
    <row r="310" spans="1:3" x14ac:dyDescent="0.25">
      <c r="A310" s="8" t="s">
        <v>431</v>
      </c>
      <c r="B310" s="8" t="s">
        <v>2383</v>
      </c>
      <c r="C310" s="8">
        <v>25</v>
      </c>
    </row>
    <row r="311" spans="1:3" x14ac:dyDescent="0.25">
      <c r="A311" s="8" t="s">
        <v>419</v>
      </c>
      <c r="B311" s="8" t="s">
        <v>2384</v>
      </c>
      <c r="C311" s="8">
        <v>25</v>
      </c>
    </row>
    <row r="312" spans="1:3" x14ac:dyDescent="0.25">
      <c r="A312" s="8" t="s">
        <v>554</v>
      </c>
      <c r="B312" s="8" t="s">
        <v>2105</v>
      </c>
      <c r="C312" s="8">
        <v>26</v>
      </c>
    </row>
    <row r="313" spans="1:3" x14ac:dyDescent="0.25">
      <c r="A313" s="8" t="s">
        <v>416</v>
      </c>
      <c r="B313" s="8" t="s">
        <v>2106</v>
      </c>
      <c r="C313" s="8">
        <v>26</v>
      </c>
    </row>
    <row r="314" spans="1:3" x14ac:dyDescent="0.25">
      <c r="A314" s="8" t="s">
        <v>288</v>
      </c>
      <c r="B314" s="8" t="s">
        <v>2385</v>
      </c>
      <c r="C314" s="8">
        <v>26</v>
      </c>
    </row>
    <row r="315" spans="1:3" x14ac:dyDescent="0.25">
      <c r="A315" s="8" t="s">
        <v>523</v>
      </c>
      <c r="B315" s="8" t="s">
        <v>2386</v>
      </c>
      <c r="C315" s="8">
        <v>26</v>
      </c>
    </row>
    <row r="316" spans="1:3" x14ac:dyDescent="0.25">
      <c r="A316" s="8" t="s">
        <v>282</v>
      </c>
      <c r="B316" s="8" t="s">
        <v>2387</v>
      </c>
      <c r="C316" s="8">
        <v>27</v>
      </c>
    </row>
    <row r="317" spans="1:3" x14ac:dyDescent="0.25">
      <c r="A317" s="8" t="s">
        <v>288</v>
      </c>
      <c r="B317" s="8" t="s">
        <v>2388</v>
      </c>
      <c r="C317" s="8">
        <v>27</v>
      </c>
    </row>
    <row r="318" spans="1:3" x14ac:dyDescent="0.25">
      <c r="A318" s="8" t="s">
        <v>296</v>
      </c>
      <c r="B318" s="8" t="s">
        <v>2389</v>
      </c>
      <c r="C318" s="8">
        <v>27</v>
      </c>
    </row>
    <row r="319" spans="1:3" x14ac:dyDescent="0.25">
      <c r="A319" s="8" t="s">
        <v>481</v>
      </c>
      <c r="B319" s="8" t="s">
        <v>2390</v>
      </c>
      <c r="C319" s="8">
        <v>27</v>
      </c>
    </row>
    <row r="320" spans="1:3" x14ac:dyDescent="0.25">
      <c r="A320" s="8" t="s">
        <v>302</v>
      </c>
      <c r="B320" s="8" t="s">
        <v>2391</v>
      </c>
      <c r="C320" s="8">
        <v>27</v>
      </c>
    </row>
    <row r="321" spans="1:3" x14ac:dyDescent="0.25">
      <c r="A321" s="8" t="s">
        <v>300</v>
      </c>
      <c r="B321" s="8" t="s">
        <v>2392</v>
      </c>
      <c r="C321" s="8">
        <v>27</v>
      </c>
    </row>
    <row r="322" spans="1:3" x14ac:dyDescent="0.25">
      <c r="A322" s="8" t="s">
        <v>514</v>
      </c>
      <c r="B322" s="8" t="s">
        <v>2393</v>
      </c>
      <c r="C322" s="8">
        <v>27</v>
      </c>
    </row>
    <row r="323" spans="1:3" x14ac:dyDescent="0.25">
      <c r="A323" s="8" t="s">
        <v>520</v>
      </c>
      <c r="B323" s="8" t="s">
        <v>2394</v>
      </c>
      <c r="C323" s="8">
        <v>27</v>
      </c>
    </row>
    <row r="324" spans="1:3" x14ac:dyDescent="0.25">
      <c r="A324" s="8" t="s">
        <v>416</v>
      </c>
      <c r="B324" s="8" t="s">
        <v>2395</v>
      </c>
      <c r="C324" s="8">
        <v>27</v>
      </c>
    </row>
    <row r="325" spans="1:3" x14ac:dyDescent="0.25">
      <c r="A325" s="8" t="s">
        <v>282</v>
      </c>
      <c r="B325" s="8" t="s">
        <v>2396</v>
      </c>
      <c r="C325" s="8">
        <v>28</v>
      </c>
    </row>
    <row r="326" spans="1:3" x14ac:dyDescent="0.25">
      <c r="A326" s="8" t="s">
        <v>288</v>
      </c>
      <c r="B326" s="8" t="s">
        <v>2397</v>
      </c>
      <c r="C326" s="8">
        <v>28</v>
      </c>
    </row>
    <row r="327" spans="1:3" x14ac:dyDescent="0.25">
      <c r="A327" s="8" t="s">
        <v>296</v>
      </c>
      <c r="B327" s="8" t="s">
        <v>2398</v>
      </c>
      <c r="C327" s="8">
        <v>28</v>
      </c>
    </row>
    <row r="328" spans="1:3" x14ac:dyDescent="0.25">
      <c r="A328" s="8" t="s">
        <v>481</v>
      </c>
      <c r="B328" s="8" t="s">
        <v>2399</v>
      </c>
      <c r="C328" s="8">
        <v>28</v>
      </c>
    </row>
    <row r="329" spans="1:3" x14ac:dyDescent="0.25">
      <c r="A329" s="8" t="s">
        <v>302</v>
      </c>
      <c r="B329" s="8" t="s">
        <v>2400</v>
      </c>
      <c r="C329" s="8">
        <v>28</v>
      </c>
    </row>
    <row r="330" spans="1:3" x14ac:dyDescent="0.25">
      <c r="A330" s="8" t="s">
        <v>300</v>
      </c>
      <c r="B330" s="8" t="s">
        <v>2401</v>
      </c>
      <c r="C330" s="8">
        <v>28</v>
      </c>
    </row>
    <row r="331" spans="1:3" x14ac:dyDescent="0.25">
      <c r="A331" s="8" t="s">
        <v>514</v>
      </c>
      <c r="B331" s="8" t="s">
        <v>2402</v>
      </c>
      <c r="C331" s="8">
        <v>28</v>
      </c>
    </row>
    <row r="332" spans="1:3" x14ac:dyDescent="0.25">
      <c r="A332" s="8" t="s">
        <v>520</v>
      </c>
      <c r="B332" s="8" t="s">
        <v>2403</v>
      </c>
      <c r="C332" s="8">
        <v>28</v>
      </c>
    </row>
    <row r="333" spans="1:3" x14ac:dyDescent="0.25">
      <c r="A333" s="8" t="s">
        <v>416</v>
      </c>
      <c r="B333" s="8" t="s">
        <v>2404</v>
      </c>
      <c r="C333" s="8">
        <v>28</v>
      </c>
    </row>
    <row r="334" spans="1:3" x14ac:dyDescent="0.25">
      <c r="A334" s="8" t="s">
        <v>431</v>
      </c>
      <c r="B334" s="8" t="s">
        <v>2405</v>
      </c>
      <c r="C334" s="8">
        <v>28</v>
      </c>
    </row>
    <row r="335" spans="1:3" x14ac:dyDescent="0.25">
      <c r="A335" s="8" t="s">
        <v>419</v>
      </c>
      <c r="B335" s="8" t="s">
        <v>2406</v>
      </c>
      <c r="C335" s="8">
        <v>28</v>
      </c>
    </row>
    <row r="336" spans="1:3" x14ac:dyDescent="0.25">
      <c r="A336" s="8" t="s">
        <v>425</v>
      </c>
      <c r="B336" s="8" t="s">
        <v>2407</v>
      </c>
      <c r="C336" s="8">
        <v>28</v>
      </c>
    </row>
    <row r="337" spans="1:3" x14ac:dyDescent="0.25">
      <c r="A337" s="8" t="s">
        <v>433</v>
      </c>
      <c r="B337" s="8" t="s">
        <v>2408</v>
      </c>
      <c r="C337" s="8">
        <v>28</v>
      </c>
    </row>
    <row r="338" spans="1:3" x14ac:dyDescent="0.25">
      <c r="A338" s="8" t="s">
        <v>452</v>
      </c>
      <c r="B338" s="8" t="s">
        <v>2409</v>
      </c>
      <c r="C338" s="8">
        <v>28</v>
      </c>
    </row>
    <row r="339" spans="1:3" x14ac:dyDescent="0.25">
      <c r="A339" s="8" t="s">
        <v>458</v>
      </c>
      <c r="B339" s="8" t="s">
        <v>2405</v>
      </c>
      <c r="C339" s="8">
        <v>28</v>
      </c>
    </row>
    <row r="340" spans="1:3" x14ac:dyDescent="0.25">
      <c r="A340" s="8" t="s">
        <v>464</v>
      </c>
      <c r="B340" s="8" t="s">
        <v>2410</v>
      </c>
      <c r="C340" s="8">
        <v>28</v>
      </c>
    </row>
    <row r="341" spans="1:3" x14ac:dyDescent="0.25">
      <c r="A341" s="8" t="s">
        <v>317</v>
      </c>
      <c r="B341" s="8" t="s">
        <v>2411</v>
      </c>
      <c r="C341" s="8">
        <v>28</v>
      </c>
    </row>
  </sheetData>
  <autoFilter ref="A1:D324" xr:uid="{7BE343FF-EE5D-4A73-8B13-A58F034A562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40"/>
  <sheetViews>
    <sheetView topLeftCell="A274" workbookViewId="0">
      <selection activeCell="E336" sqref="E336"/>
    </sheetView>
  </sheetViews>
  <sheetFormatPr defaultColWidth="9.140625" defaultRowHeight="15" x14ac:dyDescent="0.25"/>
  <cols>
    <col min="1" max="1" width="11.140625" style="8" bestFit="1" customWidth="1"/>
    <col min="2" max="2" width="38.5703125" style="8" bestFit="1" customWidth="1"/>
    <col min="3" max="4" width="16.85546875" style="8" bestFit="1" customWidth="1"/>
    <col min="5" max="16384" width="9.140625" style="8"/>
  </cols>
  <sheetData>
    <row r="1" spans="1:3" x14ac:dyDescent="0.25">
      <c r="A1" s="1" t="s">
        <v>2412</v>
      </c>
      <c r="B1" s="1" t="s">
        <v>2413</v>
      </c>
      <c r="C1" s="1" t="s">
        <v>60</v>
      </c>
    </row>
    <row r="2" spans="1:3" x14ac:dyDescent="0.25">
      <c r="A2" s="8" t="s">
        <v>2414</v>
      </c>
      <c r="B2" s="8" t="s">
        <v>2415</v>
      </c>
      <c r="C2" s="8">
        <v>1</v>
      </c>
    </row>
    <row r="3" spans="1:3" x14ac:dyDescent="0.25">
      <c r="A3" s="8" t="s">
        <v>2416</v>
      </c>
      <c r="B3" s="8" t="s">
        <v>2417</v>
      </c>
      <c r="C3" s="8">
        <v>1</v>
      </c>
    </row>
    <row r="4" spans="1:3" x14ac:dyDescent="0.25">
      <c r="A4" s="8" t="s">
        <v>2418</v>
      </c>
      <c r="B4" s="8" t="s">
        <v>2419</v>
      </c>
      <c r="C4" s="8">
        <v>3</v>
      </c>
    </row>
    <row r="5" spans="1:3" x14ac:dyDescent="0.25">
      <c r="A5" s="8" t="s">
        <v>2420</v>
      </c>
      <c r="B5" s="8" t="s">
        <v>2421</v>
      </c>
      <c r="C5" s="8">
        <v>3</v>
      </c>
    </row>
    <row r="6" spans="1:3" x14ac:dyDescent="0.25">
      <c r="A6" s="8" t="s">
        <v>2422</v>
      </c>
      <c r="B6" s="8" t="s">
        <v>2423</v>
      </c>
      <c r="C6" s="8">
        <v>3</v>
      </c>
    </row>
    <row r="7" spans="1:3" x14ac:dyDescent="0.25">
      <c r="A7" s="8" t="s">
        <v>2424</v>
      </c>
      <c r="B7" s="8" t="s">
        <v>2425</v>
      </c>
      <c r="C7" s="8">
        <v>3</v>
      </c>
    </row>
    <row r="8" spans="1:3" x14ac:dyDescent="0.25">
      <c r="A8" s="8" t="s">
        <v>2426</v>
      </c>
      <c r="B8" s="8" t="s">
        <v>2427</v>
      </c>
      <c r="C8" s="8">
        <v>3</v>
      </c>
    </row>
    <row r="9" spans="1:3" x14ac:dyDescent="0.25">
      <c r="A9" s="8" t="s">
        <v>2428</v>
      </c>
      <c r="B9" s="8" t="s">
        <v>2429</v>
      </c>
      <c r="C9" s="8">
        <v>3</v>
      </c>
    </row>
    <row r="10" spans="1:3" x14ac:dyDescent="0.25">
      <c r="A10" s="8" t="s">
        <v>2430</v>
      </c>
      <c r="B10" s="8" t="s">
        <v>2431</v>
      </c>
      <c r="C10" s="8">
        <v>3</v>
      </c>
    </row>
    <row r="11" spans="1:3" x14ac:dyDescent="0.25">
      <c r="A11" s="8" t="s">
        <v>2432</v>
      </c>
      <c r="B11" s="8" t="s">
        <v>2433</v>
      </c>
      <c r="C11" s="8">
        <v>3</v>
      </c>
    </row>
    <row r="12" spans="1:3" x14ac:dyDescent="0.25">
      <c r="A12" s="8" t="s">
        <v>2428</v>
      </c>
      <c r="B12" s="8" t="s">
        <v>2429</v>
      </c>
      <c r="C12" s="8">
        <v>4</v>
      </c>
    </row>
    <row r="13" spans="1:3" x14ac:dyDescent="0.25">
      <c r="A13" s="8" t="s">
        <v>2414</v>
      </c>
      <c r="B13" s="8" t="s">
        <v>2434</v>
      </c>
      <c r="C13" s="8">
        <v>4</v>
      </c>
    </row>
    <row r="14" spans="1:3" x14ac:dyDescent="0.25">
      <c r="A14" s="8" t="s">
        <v>2435</v>
      </c>
      <c r="B14" s="8" t="s">
        <v>2436</v>
      </c>
      <c r="C14" s="8">
        <v>4</v>
      </c>
    </row>
    <row r="15" spans="1:3" x14ac:dyDescent="0.25">
      <c r="A15" s="8" t="s">
        <v>2422</v>
      </c>
      <c r="B15" s="8" t="s">
        <v>2437</v>
      </c>
      <c r="C15" s="8">
        <v>4</v>
      </c>
    </row>
    <row r="16" spans="1:3" x14ac:dyDescent="0.25">
      <c r="A16" s="8" t="s">
        <v>2438</v>
      </c>
      <c r="B16" s="8" t="s">
        <v>2439</v>
      </c>
      <c r="C16" s="8">
        <v>4</v>
      </c>
    </row>
    <row r="17" spans="1:3" x14ac:dyDescent="0.25">
      <c r="A17" s="8" t="s">
        <v>2440</v>
      </c>
      <c r="B17" s="8" t="s">
        <v>2441</v>
      </c>
      <c r="C17" s="8">
        <v>4</v>
      </c>
    </row>
    <row r="18" spans="1:3" x14ac:dyDescent="0.25">
      <c r="A18" s="8" t="s">
        <v>2442</v>
      </c>
      <c r="B18" s="8" t="s">
        <v>2443</v>
      </c>
      <c r="C18" s="8">
        <v>4</v>
      </c>
    </row>
    <row r="19" spans="1:3" x14ac:dyDescent="0.25">
      <c r="A19" s="8" t="s">
        <v>2444</v>
      </c>
      <c r="B19" s="8" t="s">
        <v>2445</v>
      </c>
      <c r="C19" s="8">
        <v>4</v>
      </c>
    </row>
    <row r="20" spans="1:3" x14ac:dyDescent="0.25">
      <c r="A20" s="8" t="s">
        <v>2446</v>
      </c>
      <c r="B20" s="8" t="s">
        <v>2447</v>
      </c>
      <c r="C20" s="8">
        <v>5</v>
      </c>
    </row>
    <row r="21" spans="1:3" x14ac:dyDescent="0.25">
      <c r="A21" s="8" t="s">
        <v>2422</v>
      </c>
      <c r="B21" s="8" t="s">
        <v>2448</v>
      </c>
      <c r="C21" s="8">
        <v>5</v>
      </c>
    </row>
    <row r="22" spans="1:3" x14ac:dyDescent="0.25">
      <c r="A22" s="8" t="s">
        <v>2449</v>
      </c>
      <c r="B22" s="8" t="s">
        <v>2450</v>
      </c>
      <c r="C22" s="8">
        <v>5</v>
      </c>
    </row>
    <row r="23" spans="1:3" x14ac:dyDescent="0.25">
      <c r="A23" s="8" t="s">
        <v>2451</v>
      </c>
      <c r="B23" s="8" t="s">
        <v>2452</v>
      </c>
      <c r="C23" s="8">
        <v>5</v>
      </c>
    </row>
    <row r="24" spans="1:3" x14ac:dyDescent="0.25">
      <c r="A24" s="8" t="s">
        <v>2453</v>
      </c>
      <c r="B24" s="8" t="s">
        <v>2454</v>
      </c>
      <c r="C24" s="8">
        <v>5</v>
      </c>
    </row>
    <row r="25" spans="1:3" x14ac:dyDescent="0.25">
      <c r="A25" s="8" t="s">
        <v>2428</v>
      </c>
      <c r="B25" s="8" t="s">
        <v>2429</v>
      </c>
      <c r="C25" s="8">
        <v>5</v>
      </c>
    </row>
    <row r="26" spans="1:3" x14ac:dyDescent="0.25">
      <c r="A26" s="8" t="s">
        <v>2455</v>
      </c>
      <c r="B26" s="8" t="s">
        <v>2456</v>
      </c>
      <c r="C26" s="8">
        <v>5</v>
      </c>
    </row>
    <row r="27" spans="1:3" x14ac:dyDescent="0.25">
      <c r="A27" s="8" t="s">
        <v>2457</v>
      </c>
      <c r="B27" s="8" t="s">
        <v>2458</v>
      </c>
      <c r="C27" s="8">
        <v>5</v>
      </c>
    </row>
    <row r="28" spans="1:3" x14ac:dyDescent="0.25">
      <c r="A28" s="8" t="s">
        <v>2459</v>
      </c>
      <c r="B28" s="8" t="s">
        <v>2460</v>
      </c>
      <c r="C28" s="8">
        <v>5</v>
      </c>
    </row>
    <row r="29" spans="1:3" x14ac:dyDescent="0.25">
      <c r="A29" s="8" t="s">
        <v>2461</v>
      </c>
      <c r="B29" s="8" t="s">
        <v>2462</v>
      </c>
      <c r="C29" s="8">
        <v>5</v>
      </c>
    </row>
    <row r="30" spans="1:3" x14ac:dyDescent="0.25">
      <c r="A30" s="8" t="s">
        <v>66</v>
      </c>
      <c r="B30" s="8" t="s">
        <v>2463</v>
      </c>
      <c r="C30" s="8">
        <v>5</v>
      </c>
    </row>
    <row r="31" spans="1:3" x14ac:dyDescent="0.25">
      <c r="A31" s="8" t="s">
        <v>2464</v>
      </c>
      <c r="B31" s="8" t="s">
        <v>2465</v>
      </c>
      <c r="C31" s="8">
        <v>5</v>
      </c>
    </row>
    <row r="32" spans="1:3" x14ac:dyDescent="0.25">
      <c r="A32" s="8" t="s">
        <v>2466</v>
      </c>
      <c r="B32" s="8" t="s">
        <v>2467</v>
      </c>
      <c r="C32" s="8">
        <v>6</v>
      </c>
    </row>
    <row r="33" spans="1:3" x14ac:dyDescent="0.25">
      <c r="A33" s="8" t="s">
        <v>2468</v>
      </c>
      <c r="B33" s="8" t="s">
        <v>2469</v>
      </c>
      <c r="C33" s="8">
        <v>6</v>
      </c>
    </row>
    <row r="34" spans="1:3" x14ac:dyDescent="0.25">
      <c r="A34" s="8" t="s">
        <v>2470</v>
      </c>
      <c r="B34" s="8" t="s">
        <v>2471</v>
      </c>
      <c r="C34" s="8">
        <v>6</v>
      </c>
    </row>
    <row r="35" spans="1:3" x14ac:dyDescent="0.25">
      <c r="A35" s="8" t="s">
        <v>2472</v>
      </c>
      <c r="B35" s="8" t="s">
        <v>2473</v>
      </c>
      <c r="C35" s="8">
        <v>6</v>
      </c>
    </row>
    <row r="36" spans="1:3" x14ac:dyDescent="0.25">
      <c r="A36" s="8" t="s">
        <v>2474</v>
      </c>
      <c r="B36" s="8" t="s">
        <v>2475</v>
      </c>
      <c r="C36" s="8">
        <v>6</v>
      </c>
    </row>
    <row r="37" spans="1:3" x14ac:dyDescent="0.25">
      <c r="A37" s="8" t="s">
        <v>2476</v>
      </c>
      <c r="B37" s="8" t="s">
        <v>2477</v>
      </c>
      <c r="C37" s="8">
        <v>6</v>
      </c>
    </row>
    <row r="38" spans="1:3" x14ac:dyDescent="0.25">
      <c r="A38" s="8" t="s">
        <v>2478</v>
      </c>
      <c r="B38" s="8" t="s">
        <v>2479</v>
      </c>
      <c r="C38" s="8">
        <v>6</v>
      </c>
    </row>
    <row r="39" spans="1:3" x14ac:dyDescent="0.25">
      <c r="A39" s="8" t="s">
        <v>2480</v>
      </c>
      <c r="B39" s="8" t="s">
        <v>2481</v>
      </c>
      <c r="C39" s="8">
        <v>6</v>
      </c>
    </row>
    <row r="40" spans="1:3" x14ac:dyDescent="0.25">
      <c r="A40" s="8" t="s">
        <v>2482</v>
      </c>
      <c r="B40" s="8" t="s">
        <v>2483</v>
      </c>
      <c r="C40" s="8">
        <v>7</v>
      </c>
    </row>
    <row r="41" spans="1:3" x14ac:dyDescent="0.25">
      <c r="A41" s="8" t="s">
        <v>2484</v>
      </c>
      <c r="B41" s="8" t="s">
        <v>2485</v>
      </c>
      <c r="C41" s="8">
        <v>7</v>
      </c>
    </row>
    <row r="42" spans="1:3" x14ac:dyDescent="0.25">
      <c r="A42" s="8" t="s">
        <v>2430</v>
      </c>
      <c r="B42" s="8" t="s">
        <v>2431</v>
      </c>
      <c r="C42" s="8">
        <v>7</v>
      </c>
    </row>
    <row r="43" spans="1:3" x14ac:dyDescent="0.25">
      <c r="A43" s="8" t="s">
        <v>66</v>
      </c>
      <c r="B43" s="8" t="s">
        <v>66</v>
      </c>
      <c r="C43" s="8">
        <v>8</v>
      </c>
    </row>
    <row r="44" spans="1:3" x14ac:dyDescent="0.25">
      <c r="A44" s="8" t="s">
        <v>2486</v>
      </c>
      <c r="B44" s="8" t="s">
        <v>2487</v>
      </c>
      <c r="C44" s="8">
        <v>8</v>
      </c>
    </row>
    <row r="45" spans="1:3" x14ac:dyDescent="0.25">
      <c r="A45" s="8" t="s">
        <v>2414</v>
      </c>
      <c r="B45" s="8" t="s">
        <v>2434</v>
      </c>
      <c r="C45" s="8">
        <v>8</v>
      </c>
    </row>
    <row r="46" spans="1:3" x14ac:dyDescent="0.25">
      <c r="A46" s="8" t="s">
        <v>2488</v>
      </c>
      <c r="B46" s="8" t="s">
        <v>2489</v>
      </c>
      <c r="C46" s="8">
        <v>8</v>
      </c>
    </row>
    <row r="47" spans="1:3" x14ac:dyDescent="0.25">
      <c r="A47" s="8" t="s">
        <v>2490</v>
      </c>
      <c r="B47" s="8" t="s">
        <v>2445</v>
      </c>
      <c r="C47" s="8">
        <v>8</v>
      </c>
    </row>
    <row r="48" spans="1:3" x14ac:dyDescent="0.25">
      <c r="A48" s="8" t="s">
        <v>2422</v>
      </c>
      <c r="B48" s="8" t="s">
        <v>2437</v>
      </c>
      <c r="C48" s="8">
        <v>8</v>
      </c>
    </row>
    <row r="49" spans="1:3" x14ac:dyDescent="0.25">
      <c r="A49" s="8" t="s">
        <v>2491</v>
      </c>
      <c r="B49" s="8" t="s">
        <v>2492</v>
      </c>
      <c r="C49" s="8">
        <v>8</v>
      </c>
    </row>
    <row r="50" spans="1:3" x14ac:dyDescent="0.25">
      <c r="A50" s="8" t="s">
        <v>2493</v>
      </c>
      <c r="B50" s="8" t="s">
        <v>2431</v>
      </c>
      <c r="C50" s="8">
        <v>8</v>
      </c>
    </row>
    <row r="51" spans="1:3" x14ac:dyDescent="0.25">
      <c r="A51" s="8" t="s">
        <v>728</v>
      </c>
      <c r="B51" s="8" t="s">
        <v>2494</v>
      </c>
      <c r="C51" s="8">
        <v>8</v>
      </c>
    </row>
    <row r="52" spans="1:3" x14ac:dyDescent="0.25">
      <c r="A52" s="8" t="s">
        <v>2426</v>
      </c>
      <c r="B52" s="8" t="s">
        <v>2495</v>
      </c>
      <c r="C52" s="8">
        <v>8</v>
      </c>
    </row>
    <row r="53" spans="1:3" x14ac:dyDescent="0.25">
      <c r="A53" s="8" t="s">
        <v>66</v>
      </c>
      <c r="B53" s="8" t="s">
        <v>2496</v>
      </c>
      <c r="C53" s="8">
        <v>9</v>
      </c>
    </row>
    <row r="54" spans="1:3" x14ac:dyDescent="0.25">
      <c r="A54" s="8" t="s">
        <v>2497</v>
      </c>
      <c r="B54" s="8" t="s">
        <v>2498</v>
      </c>
      <c r="C54" s="8">
        <v>9</v>
      </c>
    </row>
    <row r="55" spans="1:3" x14ac:dyDescent="0.25">
      <c r="A55" s="8" t="s">
        <v>2414</v>
      </c>
      <c r="B55" s="8" t="s">
        <v>2434</v>
      </c>
      <c r="C55" s="8">
        <v>9</v>
      </c>
    </row>
    <row r="56" spans="1:3" x14ac:dyDescent="0.25">
      <c r="A56" s="8" t="s">
        <v>2438</v>
      </c>
      <c r="B56" s="8" t="s">
        <v>2499</v>
      </c>
      <c r="C56" s="8">
        <v>9</v>
      </c>
    </row>
    <row r="57" spans="1:3" x14ac:dyDescent="0.25">
      <c r="A57" s="8" t="s">
        <v>2490</v>
      </c>
      <c r="B57" s="8" t="s">
        <v>2445</v>
      </c>
      <c r="C57" s="8">
        <v>9</v>
      </c>
    </row>
    <row r="58" spans="1:3" x14ac:dyDescent="0.25">
      <c r="A58" s="8" t="s">
        <v>2422</v>
      </c>
      <c r="B58" s="8" t="s">
        <v>2437</v>
      </c>
      <c r="C58" s="8">
        <v>9</v>
      </c>
    </row>
    <row r="59" spans="1:3" x14ac:dyDescent="0.25">
      <c r="A59" s="8" t="s">
        <v>2500</v>
      </c>
      <c r="B59" s="8" t="s">
        <v>2501</v>
      </c>
      <c r="C59" s="8">
        <v>9</v>
      </c>
    </row>
    <row r="60" spans="1:3" x14ac:dyDescent="0.25">
      <c r="A60" s="8" t="s">
        <v>2502</v>
      </c>
      <c r="B60" s="8" t="s">
        <v>2503</v>
      </c>
      <c r="C60" s="8">
        <v>9</v>
      </c>
    </row>
    <row r="61" spans="1:3" x14ac:dyDescent="0.25">
      <c r="A61" s="8" t="s">
        <v>2428</v>
      </c>
      <c r="B61" s="8" t="s">
        <v>2429</v>
      </c>
      <c r="C61" s="8">
        <v>9</v>
      </c>
    </row>
    <row r="62" spans="1:3" x14ac:dyDescent="0.25">
      <c r="A62" s="8" t="s">
        <v>2486</v>
      </c>
      <c r="B62" s="8" t="s">
        <v>2487</v>
      </c>
      <c r="C62" s="8">
        <v>9</v>
      </c>
    </row>
    <row r="63" spans="1:3" x14ac:dyDescent="0.25">
      <c r="A63" s="8" t="s">
        <v>2504</v>
      </c>
      <c r="B63" s="8" t="s">
        <v>2505</v>
      </c>
      <c r="C63" s="8">
        <v>9</v>
      </c>
    </row>
    <row r="64" spans="1:3" x14ac:dyDescent="0.25">
      <c r="A64" s="8" t="s">
        <v>2430</v>
      </c>
      <c r="B64" s="8" t="s">
        <v>2431</v>
      </c>
      <c r="C64" s="8">
        <v>9</v>
      </c>
    </row>
    <row r="65" spans="1:3" x14ac:dyDescent="0.25">
      <c r="A65" s="8" t="s">
        <v>66</v>
      </c>
      <c r="B65" s="8" t="s">
        <v>2496</v>
      </c>
      <c r="C65" s="8">
        <v>10</v>
      </c>
    </row>
    <row r="66" spans="1:3" x14ac:dyDescent="0.25">
      <c r="A66" s="8" t="s">
        <v>2506</v>
      </c>
      <c r="B66" s="8" t="s">
        <v>2507</v>
      </c>
      <c r="C66" s="8">
        <v>10</v>
      </c>
    </row>
    <row r="67" spans="1:3" x14ac:dyDescent="0.25">
      <c r="A67" s="8" t="s">
        <v>2215</v>
      </c>
      <c r="B67" s="8" t="s">
        <v>2508</v>
      </c>
      <c r="C67" s="8">
        <v>10</v>
      </c>
    </row>
    <row r="68" spans="1:3" x14ac:dyDescent="0.25">
      <c r="A68" s="8" t="s">
        <v>2509</v>
      </c>
      <c r="B68" s="8" t="s">
        <v>2510</v>
      </c>
      <c r="C68" s="8">
        <v>10</v>
      </c>
    </row>
    <row r="69" spans="1:3" x14ac:dyDescent="0.25">
      <c r="A69" s="8" t="s">
        <v>2511</v>
      </c>
      <c r="B69" s="8" t="s">
        <v>2512</v>
      </c>
      <c r="C69" s="8">
        <v>10</v>
      </c>
    </row>
    <row r="70" spans="1:3" x14ac:dyDescent="0.25">
      <c r="A70" s="8" t="s">
        <v>2513</v>
      </c>
      <c r="B70" s="8" t="s">
        <v>2514</v>
      </c>
      <c r="C70" s="8">
        <v>10</v>
      </c>
    </row>
    <row r="71" spans="1:3" x14ac:dyDescent="0.25">
      <c r="A71" s="8" t="s">
        <v>2515</v>
      </c>
      <c r="B71" s="8" t="s">
        <v>2516</v>
      </c>
      <c r="C71" s="8">
        <v>10</v>
      </c>
    </row>
    <row r="72" spans="1:3" x14ac:dyDescent="0.25">
      <c r="A72" s="8" t="s">
        <v>2517</v>
      </c>
      <c r="B72" s="8" t="s">
        <v>2518</v>
      </c>
      <c r="C72" s="8">
        <v>10</v>
      </c>
    </row>
    <row r="73" spans="1:3" x14ac:dyDescent="0.25">
      <c r="A73" s="8" t="s">
        <v>2519</v>
      </c>
      <c r="B73" s="8" t="s">
        <v>2520</v>
      </c>
      <c r="C73" s="8">
        <v>10</v>
      </c>
    </row>
    <row r="74" spans="1:3" x14ac:dyDescent="0.25">
      <c r="A74" s="8" t="s">
        <v>2521</v>
      </c>
      <c r="B74" s="8" t="s">
        <v>2522</v>
      </c>
      <c r="C74" s="8">
        <v>10</v>
      </c>
    </row>
    <row r="75" spans="1:3" x14ac:dyDescent="0.25">
      <c r="A75" s="8" t="s">
        <v>2430</v>
      </c>
      <c r="B75" s="8" t="s">
        <v>2431</v>
      </c>
      <c r="C75" s="8">
        <v>10</v>
      </c>
    </row>
    <row r="76" spans="1:3" x14ac:dyDescent="0.25">
      <c r="A76" s="8" t="s">
        <v>2523</v>
      </c>
      <c r="B76" s="8" t="s">
        <v>2524</v>
      </c>
      <c r="C76" s="8">
        <v>11</v>
      </c>
    </row>
    <row r="77" spans="1:3" x14ac:dyDescent="0.25">
      <c r="A77" s="8" t="s">
        <v>2525</v>
      </c>
      <c r="B77" s="8" t="s">
        <v>2526</v>
      </c>
      <c r="C77" s="8">
        <v>11</v>
      </c>
    </row>
    <row r="78" spans="1:3" x14ac:dyDescent="0.25">
      <c r="A78" s="8" t="s">
        <v>2527</v>
      </c>
      <c r="B78" s="8" t="s">
        <v>2528</v>
      </c>
      <c r="C78" s="8">
        <v>11</v>
      </c>
    </row>
    <row r="79" spans="1:3" x14ac:dyDescent="0.25">
      <c r="A79" s="8" t="s">
        <v>2428</v>
      </c>
      <c r="B79" s="8" t="s">
        <v>2429</v>
      </c>
      <c r="C79" s="8">
        <v>11</v>
      </c>
    </row>
    <row r="80" spans="1:3" x14ac:dyDescent="0.25">
      <c r="A80" s="8" t="s">
        <v>2426</v>
      </c>
      <c r="B80" s="8" t="s">
        <v>2529</v>
      </c>
      <c r="C80" s="8">
        <v>11</v>
      </c>
    </row>
    <row r="81" spans="1:3" x14ac:dyDescent="0.25">
      <c r="A81" s="8" t="s">
        <v>2530</v>
      </c>
      <c r="B81" s="8" t="s">
        <v>2531</v>
      </c>
      <c r="C81" s="8">
        <v>11</v>
      </c>
    </row>
    <row r="82" spans="1:3" x14ac:dyDescent="0.25">
      <c r="A82" s="8" t="s">
        <v>739</v>
      </c>
      <c r="B82" s="8" t="s">
        <v>2532</v>
      </c>
      <c r="C82" s="8">
        <v>11</v>
      </c>
    </row>
    <row r="83" spans="1:3" x14ac:dyDescent="0.25">
      <c r="A83" s="8" t="s">
        <v>2418</v>
      </c>
      <c r="B83" s="8" t="s">
        <v>2533</v>
      </c>
      <c r="C83" s="8">
        <v>11</v>
      </c>
    </row>
    <row r="84" spans="1:3" x14ac:dyDescent="0.25">
      <c r="A84" s="8" t="s">
        <v>2534</v>
      </c>
      <c r="B84" s="8" t="s">
        <v>2535</v>
      </c>
      <c r="C84" s="8">
        <v>11</v>
      </c>
    </row>
    <row r="85" spans="1:3" x14ac:dyDescent="0.25">
      <c r="A85" s="8" t="s">
        <v>2536</v>
      </c>
      <c r="B85" s="8" t="s">
        <v>2537</v>
      </c>
      <c r="C85" s="8">
        <v>11</v>
      </c>
    </row>
    <row r="86" spans="1:3" x14ac:dyDescent="0.25">
      <c r="A86" s="8" t="s">
        <v>2538</v>
      </c>
      <c r="B86" s="8" t="s">
        <v>2539</v>
      </c>
      <c r="C86" s="8">
        <v>11</v>
      </c>
    </row>
    <row r="87" spans="1:3" x14ac:dyDescent="0.25">
      <c r="A87" s="8" t="s">
        <v>2540</v>
      </c>
      <c r="B87" s="8" t="s">
        <v>2541</v>
      </c>
      <c r="C87" s="8">
        <v>11</v>
      </c>
    </row>
    <row r="88" spans="1:3" x14ac:dyDescent="0.25">
      <c r="A88" s="8" t="s">
        <v>2542</v>
      </c>
      <c r="B88" s="8" t="s">
        <v>2543</v>
      </c>
      <c r="C88" s="8">
        <v>11</v>
      </c>
    </row>
    <row r="89" spans="1:3" x14ac:dyDescent="0.25">
      <c r="A89" s="8" t="s">
        <v>2544</v>
      </c>
      <c r="B89" s="8" t="s">
        <v>2545</v>
      </c>
      <c r="C89" s="8">
        <v>11</v>
      </c>
    </row>
    <row r="90" spans="1:3" x14ac:dyDescent="0.25">
      <c r="A90" s="8" t="s">
        <v>2546</v>
      </c>
      <c r="B90" s="8" t="s">
        <v>2547</v>
      </c>
      <c r="C90" s="8">
        <v>11</v>
      </c>
    </row>
    <row r="91" spans="1:3" x14ac:dyDescent="0.25">
      <c r="A91" s="8" t="s">
        <v>66</v>
      </c>
      <c r="B91" s="8" t="s">
        <v>2496</v>
      </c>
      <c r="C91" s="8">
        <v>11</v>
      </c>
    </row>
    <row r="92" spans="1:3" x14ac:dyDescent="0.25">
      <c r="A92" s="8" t="s">
        <v>739</v>
      </c>
      <c r="B92" s="8" t="s">
        <v>2548</v>
      </c>
      <c r="C92" s="8">
        <v>11</v>
      </c>
    </row>
    <row r="93" spans="1:3" x14ac:dyDescent="0.25">
      <c r="A93" s="8" t="s">
        <v>2549</v>
      </c>
      <c r="B93" s="8" t="s">
        <v>2549</v>
      </c>
      <c r="C93" s="8">
        <v>11</v>
      </c>
    </row>
    <row r="94" spans="1:3" x14ac:dyDescent="0.25">
      <c r="A94" s="8" t="s">
        <v>2550</v>
      </c>
      <c r="B94" s="8" t="s">
        <v>2551</v>
      </c>
      <c r="C94" s="8">
        <v>11</v>
      </c>
    </row>
    <row r="95" spans="1:3" x14ac:dyDescent="0.25">
      <c r="A95" s="8" t="s">
        <v>2552</v>
      </c>
      <c r="B95" s="8" t="s">
        <v>2553</v>
      </c>
      <c r="C95" s="8">
        <v>11</v>
      </c>
    </row>
    <row r="96" spans="1:3" x14ac:dyDescent="0.25">
      <c r="A96" s="8" t="s">
        <v>2554</v>
      </c>
      <c r="B96" s="8" t="s">
        <v>2555</v>
      </c>
      <c r="C96" s="8">
        <v>12</v>
      </c>
    </row>
    <row r="97" spans="1:3" x14ac:dyDescent="0.25">
      <c r="A97" s="8" t="s">
        <v>2554</v>
      </c>
      <c r="B97" s="8" t="s">
        <v>2555</v>
      </c>
      <c r="C97" s="8">
        <v>12</v>
      </c>
    </row>
    <row r="98" spans="1:3" x14ac:dyDescent="0.25">
      <c r="A98" s="8" t="s">
        <v>2556</v>
      </c>
      <c r="B98" s="8" t="s">
        <v>2557</v>
      </c>
      <c r="C98" s="8">
        <v>12</v>
      </c>
    </row>
    <row r="99" spans="1:3" x14ac:dyDescent="0.25">
      <c r="A99" s="8" t="s">
        <v>2558</v>
      </c>
      <c r="B99" s="8" t="s">
        <v>2559</v>
      </c>
      <c r="C99" s="8">
        <v>12</v>
      </c>
    </row>
    <row r="100" spans="1:3" x14ac:dyDescent="0.25">
      <c r="A100" s="8" t="s">
        <v>2560</v>
      </c>
      <c r="B100" s="8" t="s">
        <v>2561</v>
      </c>
      <c r="C100" s="8">
        <v>12</v>
      </c>
    </row>
    <row r="101" spans="1:3" x14ac:dyDescent="0.25">
      <c r="A101" s="8" t="s">
        <v>728</v>
      </c>
      <c r="B101" s="8" t="s">
        <v>2562</v>
      </c>
      <c r="C101" s="8">
        <v>12</v>
      </c>
    </row>
    <row r="102" spans="1:3" x14ac:dyDescent="0.25">
      <c r="A102" s="8" t="s">
        <v>2563</v>
      </c>
      <c r="B102" s="8" t="s">
        <v>2564</v>
      </c>
      <c r="C102" s="8">
        <v>12</v>
      </c>
    </row>
    <row r="103" spans="1:3" x14ac:dyDescent="0.25">
      <c r="A103" s="8" t="s">
        <v>2486</v>
      </c>
      <c r="B103" s="8" t="s">
        <v>2487</v>
      </c>
      <c r="C103" s="8">
        <v>12</v>
      </c>
    </row>
    <row r="104" spans="1:3" x14ac:dyDescent="0.25">
      <c r="A104" s="8" t="s">
        <v>2565</v>
      </c>
      <c r="B104" s="8" t="s">
        <v>2566</v>
      </c>
      <c r="C104" s="8">
        <v>12</v>
      </c>
    </row>
    <row r="105" spans="1:3" x14ac:dyDescent="0.25">
      <c r="A105" s="8" t="s">
        <v>2420</v>
      </c>
      <c r="B105" s="8" t="s">
        <v>2567</v>
      </c>
      <c r="C105" s="8">
        <v>12</v>
      </c>
    </row>
    <row r="106" spans="1:3" x14ac:dyDescent="0.25">
      <c r="A106" s="8" t="s">
        <v>66</v>
      </c>
      <c r="B106" s="8" t="s">
        <v>66</v>
      </c>
      <c r="C106" s="8">
        <v>13</v>
      </c>
    </row>
    <row r="107" spans="1:3" x14ac:dyDescent="0.25">
      <c r="A107" s="8" t="s">
        <v>2568</v>
      </c>
      <c r="B107" s="8" t="s">
        <v>2569</v>
      </c>
      <c r="C107" s="8">
        <v>13</v>
      </c>
    </row>
    <row r="108" spans="1:3" x14ac:dyDescent="0.25">
      <c r="A108" s="8" t="s">
        <v>2430</v>
      </c>
      <c r="B108" s="8" t="s">
        <v>2570</v>
      </c>
      <c r="C108" s="8">
        <v>13</v>
      </c>
    </row>
    <row r="109" spans="1:3" x14ac:dyDescent="0.25">
      <c r="A109" s="8" t="s">
        <v>2571</v>
      </c>
      <c r="B109" s="8" t="s">
        <v>2431</v>
      </c>
      <c r="C109" s="8">
        <v>13</v>
      </c>
    </row>
    <row r="110" spans="1:3" x14ac:dyDescent="0.25">
      <c r="A110" s="8" t="s">
        <v>2451</v>
      </c>
      <c r="B110" s="8" t="s">
        <v>2572</v>
      </c>
      <c r="C110" s="8">
        <v>13</v>
      </c>
    </row>
    <row r="111" spans="1:3" x14ac:dyDescent="0.25">
      <c r="A111" s="8" t="s">
        <v>2573</v>
      </c>
      <c r="B111" s="8" t="s">
        <v>2574</v>
      </c>
      <c r="C111" s="8">
        <v>13</v>
      </c>
    </row>
    <row r="112" spans="1:3" x14ac:dyDescent="0.25">
      <c r="A112" s="8" t="s">
        <v>2506</v>
      </c>
      <c r="B112" s="8" t="s">
        <v>2575</v>
      </c>
      <c r="C112" s="8">
        <v>13</v>
      </c>
    </row>
    <row r="113" spans="1:3" x14ac:dyDescent="0.25">
      <c r="A113" s="8" t="s">
        <v>2491</v>
      </c>
      <c r="B113" s="8" t="s">
        <v>39</v>
      </c>
      <c r="C113" s="8">
        <v>13</v>
      </c>
    </row>
    <row r="114" spans="1:3" x14ac:dyDescent="0.25">
      <c r="A114" s="8" t="s">
        <v>2422</v>
      </c>
      <c r="B114" s="8" t="s">
        <v>2576</v>
      </c>
      <c r="C114" s="8">
        <v>13</v>
      </c>
    </row>
    <row r="115" spans="1:3" x14ac:dyDescent="0.25">
      <c r="A115" s="8" t="s">
        <v>2577</v>
      </c>
      <c r="B115" s="8" t="s">
        <v>2578</v>
      </c>
      <c r="C115" s="8">
        <v>13</v>
      </c>
    </row>
    <row r="116" spans="1:3" x14ac:dyDescent="0.25">
      <c r="A116" s="8" t="s">
        <v>2579</v>
      </c>
      <c r="B116" s="8" t="s">
        <v>2580</v>
      </c>
      <c r="C116" s="8">
        <v>13</v>
      </c>
    </row>
    <row r="117" spans="1:3" x14ac:dyDescent="0.25">
      <c r="A117" s="8" t="s">
        <v>2581</v>
      </c>
      <c r="B117" s="8" t="s">
        <v>2582</v>
      </c>
      <c r="C117" s="8">
        <v>13</v>
      </c>
    </row>
    <row r="118" spans="1:3" x14ac:dyDescent="0.25">
      <c r="A118" s="8" t="s">
        <v>2583</v>
      </c>
      <c r="B118" s="8" t="s">
        <v>2584</v>
      </c>
      <c r="C118" s="8">
        <v>13</v>
      </c>
    </row>
    <row r="119" spans="1:3" x14ac:dyDescent="0.25">
      <c r="A119" s="8" t="s">
        <v>2215</v>
      </c>
      <c r="B119" s="8" t="s">
        <v>2508</v>
      </c>
      <c r="C119" s="8">
        <v>13</v>
      </c>
    </row>
    <row r="120" spans="1:3" x14ac:dyDescent="0.25">
      <c r="A120" s="8" t="s">
        <v>2585</v>
      </c>
      <c r="B120" s="8" t="s">
        <v>2586</v>
      </c>
      <c r="C120" s="8">
        <v>13</v>
      </c>
    </row>
    <row r="121" spans="1:3" x14ac:dyDescent="0.25">
      <c r="A121" s="8" t="s">
        <v>2525</v>
      </c>
      <c r="B121" s="8" t="s">
        <v>2587</v>
      </c>
      <c r="C121" s="8">
        <v>13</v>
      </c>
    </row>
    <row r="122" spans="1:3" x14ac:dyDescent="0.25">
      <c r="A122" s="8" t="s">
        <v>2588</v>
      </c>
      <c r="B122" s="8" t="s">
        <v>2589</v>
      </c>
      <c r="C122" s="8">
        <v>13</v>
      </c>
    </row>
    <row r="123" spans="1:3" x14ac:dyDescent="0.25">
      <c r="A123" s="8" t="s">
        <v>2590</v>
      </c>
      <c r="B123" s="8" t="s">
        <v>2591</v>
      </c>
      <c r="C123" s="8">
        <v>13</v>
      </c>
    </row>
    <row r="124" spans="1:3" x14ac:dyDescent="0.25">
      <c r="A124" s="8" t="s">
        <v>2428</v>
      </c>
      <c r="B124" s="8" t="s">
        <v>2429</v>
      </c>
      <c r="C124" s="8">
        <v>13</v>
      </c>
    </row>
    <row r="125" spans="1:3" x14ac:dyDescent="0.25">
      <c r="A125" s="8" t="s">
        <v>2592</v>
      </c>
      <c r="B125" s="8" t="s">
        <v>2593</v>
      </c>
      <c r="C125" s="8">
        <v>13</v>
      </c>
    </row>
    <row r="126" spans="1:3" x14ac:dyDescent="0.25">
      <c r="A126" s="8" t="s">
        <v>2420</v>
      </c>
      <c r="B126" s="8" t="s">
        <v>2567</v>
      </c>
      <c r="C126" s="8">
        <v>13</v>
      </c>
    </row>
    <row r="127" spans="1:3" x14ac:dyDescent="0.25">
      <c r="A127" s="8" t="s">
        <v>2594</v>
      </c>
      <c r="B127" s="8" t="s">
        <v>2595</v>
      </c>
      <c r="C127" s="8">
        <v>13</v>
      </c>
    </row>
    <row r="128" spans="1:3" x14ac:dyDescent="0.25">
      <c r="A128" s="8" t="s">
        <v>2416</v>
      </c>
      <c r="B128" s="8" t="s">
        <v>2596</v>
      </c>
      <c r="C128" s="8">
        <v>13</v>
      </c>
    </row>
    <row r="129" spans="1:3" x14ac:dyDescent="0.25">
      <c r="A129" s="8" t="s">
        <v>2430</v>
      </c>
      <c r="B129" s="8" t="s">
        <v>2431</v>
      </c>
      <c r="C129" s="8">
        <v>13</v>
      </c>
    </row>
    <row r="130" spans="1:3" x14ac:dyDescent="0.25">
      <c r="A130" s="8" t="s">
        <v>2597</v>
      </c>
      <c r="B130" s="8" t="s">
        <v>2598</v>
      </c>
      <c r="C130" s="8">
        <v>13</v>
      </c>
    </row>
    <row r="131" spans="1:3" x14ac:dyDescent="0.25">
      <c r="A131" s="8" t="s">
        <v>2599</v>
      </c>
      <c r="B131" s="8" t="s">
        <v>2600</v>
      </c>
      <c r="C131" s="8">
        <v>13</v>
      </c>
    </row>
    <row r="132" spans="1:3" x14ac:dyDescent="0.25">
      <c r="A132" s="8" t="s">
        <v>2601</v>
      </c>
      <c r="B132" s="8" t="s">
        <v>2602</v>
      </c>
      <c r="C132" s="8">
        <v>13</v>
      </c>
    </row>
    <row r="133" spans="1:3" x14ac:dyDescent="0.25">
      <c r="A133" s="8" t="s">
        <v>705</v>
      </c>
      <c r="B133" s="8" t="s">
        <v>2603</v>
      </c>
      <c r="C133" s="8">
        <v>13</v>
      </c>
    </row>
    <row r="134" spans="1:3" x14ac:dyDescent="0.25">
      <c r="A134" s="8" t="s">
        <v>2418</v>
      </c>
      <c r="B134" s="8" t="s">
        <v>2604</v>
      </c>
      <c r="C134" s="8">
        <v>13</v>
      </c>
    </row>
    <row r="135" spans="1:3" x14ac:dyDescent="0.25">
      <c r="A135" s="8" t="s">
        <v>2147</v>
      </c>
      <c r="B135" s="8" t="s">
        <v>2605</v>
      </c>
      <c r="C135" s="8">
        <v>13</v>
      </c>
    </row>
    <row r="136" spans="1:3" x14ac:dyDescent="0.25">
      <c r="A136" s="8" t="s">
        <v>2606</v>
      </c>
      <c r="B136" s="8" t="s">
        <v>2607</v>
      </c>
      <c r="C136" s="8">
        <v>13</v>
      </c>
    </row>
    <row r="137" spans="1:3" x14ac:dyDescent="0.25">
      <c r="A137" s="8" t="s">
        <v>2583</v>
      </c>
      <c r="B137" s="8" t="s">
        <v>2608</v>
      </c>
      <c r="C137" s="8">
        <v>13</v>
      </c>
    </row>
    <row r="138" spans="1:3" x14ac:dyDescent="0.25">
      <c r="A138" s="8" t="s">
        <v>2577</v>
      </c>
      <c r="B138" s="8" t="s">
        <v>2434</v>
      </c>
      <c r="C138" s="8">
        <v>13</v>
      </c>
    </row>
    <row r="139" spans="1:3" x14ac:dyDescent="0.25">
      <c r="A139" s="8" t="s">
        <v>2565</v>
      </c>
      <c r="B139" s="8" t="s">
        <v>2566</v>
      </c>
      <c r="C139" s="8">
        <v>13</v>
      </c>
    </row>
    <row r="140" spans="1:3" x14ac:dyDescent="0.25">
      <c r="A140" s="8" t="s">
        <v>2609</v>
      </c>
      <c r="B140" s="8" t="s">
        <v>2610</v>
      </c>
      <c r="C140" s="8">
        <v>13</v>
      </c>
    </row>
    <row r="141" spans="1:3" x14ac:dyDescent="0.25">
      <c r="A141" s="8" t="s">
        <v>2611</v>
      </c>
      <c r="B141" s="8" t="s">
        <v>2612</v>
      </c>
      <c r="C141" s="8">
        <v>13</v>
      </c>
    </row>
    <row r="142" spans="1:3" x14ac:dyDescent="0.25">
      <c r="A142" s="8" t="s">
        <v>2480</v>
      </c>
      <c r="B142" s="8" t="s">
        <v>2481</v>
      </c>
      <c r="C142" s="8">
        <v>14</v>
      </c>
    </row>
    <row r="143" spans="1:3" x14ac:dyDescent="0.25">
      <c r="A143" s="8" t="s">
        <v>2491</v>
      </c>
      <c r="B143" s="8" t="s">
        <v>2613</v>
      </c>
      <c r="C143" s="8">
        <v>14</v>
      </c>
    </row>
    <row r="144" spans="1:3" x14ac:dyDescent="0.25">
      <c r="A144" s="8" t="s">
        <v>2614</v>
      </c>
      <c r="B144" s="8" t="s">
        <v>2615</v>
      </c>
      <c r="C144" s="8">
        <v>14</v>
      </c>
    </row>
    <row r="145" spans="1:3" x14ac:dyDescent="0.25">
      <c r="A145" s="8" t="s">
        <v>2583</v>
      </c>
      <c r="B145" s="8" t="s">
        <v>2616</v>
      </c>
      <c r="C145" s="8">
        <v>14</v>
      </c>
    </row>
    <row r="146" spans="1:3" x14ac:dyDescent="0.25">
      <c r="A146" s="8" t="s">
        <v>2428</v>
      </c>
      <c r="B146" s="8" t="s">
        <v>2429</v>
      </c>
      <c r="C146" s="8">
        <v>14</v>
      </c>
    </row>
    <row r="147" spans="1:3" x14ac:dyDescent="0.25">
      <c r="A147" s="8" t="s">
        <v>2592</v>
      </c>
      <c r="B147" s="8" t="s">
        <v>2592</v>
      </c>
      <c r="C147" s="8">
        <v>14</v>
      </c>
    </row>
    <row r="148" spans="1:3" x14ac:dyDescent="0.25">
      <c r="A148" s="8" t="s">
        <v>2617</v>
      </c>
      <c r="B148" s="8" t="s">
        <v>2337</v>
      </c>
      <c r="C148" s="8">
        <v>14</v>
      </c>
    </row>
    <row r="149" spans="1:3" x14ac:dyDescent="0.25">
      <c r="A149" s="8" t="s">
        <v>2618</v>
      </c>
      <c r="B149" s="8" t="s">
        <v>2619</v>
      </c>
      <c r="C149" s="8">
        <v>14</v>
      </c>
    </row>
    <row r="150" spans="1:3" x14ac:dyDescent="0.25">
      <c r="A150" s="8" t="s">
        <v>2468</v>
      </c>
      <c r="B150" s="8" t="s">
        <v>2620</v>
      </c>
      <c r="C150" s="8">
        <v>14</v>
      </c>
    </row>
    <row r="151" spans="1:3" x14ac:dyDescent="0.25">
      <c r="A151" s="8" t="s">
        <v>2621</v>
      </c>
      <c r="B151" s="8" t="s">
        <v>2622</v>
      </c>
      <c r="C151" s="8">
        <v>14</v>
      </c>
    </row>
    <row r="152" spans="1:3" x14ac:dyDescent="0.25">
      <c r="A152" s="8" t="s">
        <v>2623</v>
      </c>
      <c r="B152" s="8" t="s">
        <v>2624</v>
      </c>
      <c r="C152" s="8">
        <v>14</v>
      </c>
    </row>
    <row r="153" spans="1:3" x14ac:dyDescent="0.25">
      <c r="A153" s="8" t="s">
        <v>2457</v>
      </c>
      <c r="B153" s="8" t="s">
        <v>2625</v>
      </c>
      <c r="C153" s="8">
        <v>14</v>
      </c>
    </row>
    <row r="154" spans="1:3" x14ac:dyDescent="0.25">
      <c r="A154" s="8" t="s">
        <v>2626</v>
      </c>
      <c r="B154" s="8" t="s">
        <v>2627</v>
      </c>
      <c r="C154" s="8">
        <v>14</v>
      </c>
    </row>
    <row r="155" spans="1:3" x14ac:dyDescent="0.25">
      <c r="A155" s="8" t="s">
        <v>2628</v>
      </c>
      <c r="B155" s="8" t="s">
        <v>2629</v>
      </c>
      <c r="C155" s="8">
        <v>14</v>
      </c>
    </row>
    <row r="156" spans="1:3" x14ac:dyDescent="0.25">
      <c r="A156" s="8" t="s">
        <v>2630</v>
      </c>
      <c r="B156" s="8" t="s">
        <v>2631</v>
      </c>
      <c r="C156" s="8">
        <v>14</v>
      </c>
    </row>
    <row r="157" spans="1:3" x14ac:dyDescent="0.25">
      <c r="A157" s="8" t="s">
        <v>2632</v>
      </c>
      <c r="B157" s="8" t="s">
        <v>2448</v>
      </c>
      <c r="C157" s="8">
        <v>14</v>
      </c>
    </row>
    <row r="158" spans="1:3" x14ac:dyDescent="0.25">
      <c r="A158" s="8" t="s">
        <v>2633</v>
      </c>
      <c r="B158" s="8" t="s">
        <v>2634</v>
      </c>
      <c r="C158" s="8">
        <v>14</v>
      </c>
    </row>
    <row r="159" spans="1:3" x14ac:dyDescent="0.25">
      <c r="A159" s="8" t="s">
        <v>2635</v>
      </c>
      <c r="B159" s="8" t="s">
        <v>2636</v>
      </c>
      <c r="C159" s="8">
        <v>14</v>
      </c>
    </row>
    <row r="160" spans="1:3" x14ac:dyDescent="0.25">
      <c r="A160" s="8" t="s">
        <v>2637</v>
      </c>
      <c r="B160" s="8" t="s">
        <v>2638</v>
      </c>
      <c r="C160" s="8">
        <v>14</v>
      </c>
    </row>
    <row r="161" spans="1:3" x14ac:dyDescent="0.25">
      <c r="A161" s="8" t="s">
        <v>2639</v>
      </c>
      <c r="B161" s="8" t="s">
        <v>2640</v>
      </c>
      <c r="C161" s="8">
        <v>14</v>
      </c>
    </row>
    <row r="162" spans="1:3" x14ac:dyDescent="0.25">
      <c r="A162" s="8" t="s">
        <v>2606</v>
      </c>
      <c r="B162" s="8" t="s">
        <v>2641</v>
      </c>
      <c r="C162" s="8">
        <v>14</v>
      </c>
    </row>
    <row r="163" spans="1:3" x14ac:dyDescent="0.25">
      <c r="A163" s="8" t="s">
        <v>2642</v>
      </c>
      <c r="B163" s="8" t="s">
        <v>2643</v>
      </c>
      <c r="C163" s="8">
        <v>14</v>
      </c>
    </row>
    <row r="164" spans="1:3" x14ac:dyDescent="0.25">
      <c r="A164" s="8" t="s">
        <v>2573</v>
      </c>
      <c r="B164" s="8" t="s">
        <v>2644</v>
      </c>
      <c r="C164" s="8">
        <v>14</v>
      </c>
    </row>
    <row r="165" spans="1:3" x14ac:dyDescent="0.25">
      <c r="A165" s="8" t="s">
        <v>2645</v>
      </c>
      <c r="B165" s="8" t="s">
        <v>2646</v>
      </c>
      <c r="C165" s="8">
        <v>14</v>
      </c>
    </row>
    <row r="166" spans="1:3" x14ac:dyDescent="0.25">
      <c r="A166" s="8" t="s">
        <v>2486</v>
      </c>
      <c r="B166" s="8" t="s">
        <v>2647</v>
      </c>
      <c r="C166" s="8">
        <v>14</v>
      </c>
    </row>
    <row r="167" spans="1:3" x14ac:dyDescent="0.25">
      <c r="A167" s="8" t="s">
        <v>2648</v>
      </c>
      <c r="B167" s="8" t="s">
        <v>2649</v>
      </c>
      <c r="C167" s="8">
        <v>14</v>
      </c>
    </row>
    <row r="168" spans="1:3" x14ac:dyDescent="0.25">
      <c r="A168" s="8" t="s">
        <v>66</v>
      </c>
      <c r="B168" s="8" t="s">
        <v>2496</v>
      </c>
      <c r="C168" s="8">
        <v>14</v>
      </c>
    </row>
    <row r="169" spans="1:3" x14ac:dyDescent="0.25">
      <c r="A169" s="8" t="s">
        <v>2650</v>
      </c>
      <c r="B169" s="8" t="s">
        <v>2651</v>
      </c>
      <c r="C169" s="8">
        <v>14</v>
      </c>
    </row>
    <row r="170" spans="1:3" x14ac:dyDescent="0.25">
      <c r="A170" s="8" t="s">
        <v>2652</v>
      </c>
      <c r="B170" s="8" t="s">
        <v>2653</v>
      </c>
      <c r="C170" s="8">
        <v>14</v>
      </c>
    </row>
    <row r="171" spans="1:3" x14ac:dyDescent="0.25">
      <c r="A171" s="8" t="s">
        <v>2654</v>
      </c>
      <c r="B171" s="8" t="s">
        <v>2655</v>
      </c>
      <c r="C171" s="8">
        <v>14</v>
      </c>
    </row>
    <row r="172" spans="1:3" x14ac:dyDescent="0.25">
      <c r="A172" s="8" t="s">
        <v>2430</v>
      </c>
      <c r="B172" s="8" t="s">
        <v>2431</v>
      </c>
      <c r="C172" s="8">
        <v>14</v>
      </c>
    </row>
    <row r="173" spans="1:3" x14ac:dyDescent="0.25">
      <c r="A173" s="8" t="s">
        <v>2565</v>
      </c>
      <c r="B173" s="8" t="s">
        <v>2656</v>
      </c>
      <c r="C173" s="8">
        <v>15</v>
      </c>
    </row>
    <row r="174" spans="1:3" x14ac:dyDescent="0.25">
      <c r="A174" s="8" t="s">
        <v>2606</v>
      </c>
      <c r="B174" s="8" t="s">
        <v>2657</v>
      </c>
      <c r="C174" s="8">
        <v>15</v>
      </c>
    </row>
    <row r="175" spans="1:3" x14ac:dyDescent="0.25">
      <c r="A175" s="8" t="s">
        <v>2438</v>
      </c>
      <c r="B175" s="8" t="s">
        <v>2658</v>
      </c>
      <c r="C175" s="8">
        <v>15</v>
      </c>
    </row>
    <row r="176" spans="1:3" x14ac:dyDescent="0.25">
      <c r="A176" s="8" t="s">
        <v>2659</v>
      </c>
      <c r="B176" s="8" t="s">
        <v>2660</v>
      </c>
      <c r="C176" s="8">
        <v>15</v>
      </c>
    </row>
    <row r="177" spans="1:3" x14ac:dyDescent="0.25">
      <c r="A177" s="8" t="s">
        <v>2581</v>
      </c>
      <c r="B177" s="8" t="s">
        <v>2661</v>
      </c>
      <c r="C177" s="8">
        <v>15</v>
      </c>
    </row>
    <row r="178" spans="1:3" x14ac:dyDescent="0.25">
      <c r="A178" s="8" t="s">
        <v>2662</v>
      </c>
      <c r="B178" s="8" t="s">
        <v>2663</v>
      </c>
      <c r="C178" s="8">
        <v>15</v>
      </c>
    </row>
    <row r="179" spans="1:3" x14ac:dyDescent="0.25">
      <c r="A179" s="8" t="s">
        <v>2536</v>
      </c>
      <c r="B179" s="8" t="s">
        <v>2664</v>
      </c>
      <c r="C179" s="8">
        <v>15</v>
      </c>
    </row>
    <row r="180" spans="1:3" x14ac:dyDescent="0.25">
      <c r="A180" s="8" t="s">
        <v>2556</v>
      </c>
      <c r="B180" s="8" t="s">
        <v>2665</v>
      </c>
      <c r="C180" s="8">
        <v>15</v>
      </c>
    </row>
    <row r="181" spans="1:3" x14ac:dyDescent="0.25">
      <c r="A181" s="8" t="s">
        <v>66</v>
      </c>
      <c r="B181" s="8" t="s">
        <v>2666</v>
      </c>
      <c r="C181" s="8">
        <v>15</v>
      </c>
    </row>
    <row r="182" spans="1:3" x14ac:dyDescent="0.25">
      <c r="A182" s="8" t="s">
        <v>2667</v>
      </c>
      <c r="B182" s="8" t="s">
        <v>2668</v>
      </c>
      <c r="C182" s="8">
        <v>15</v>
      </c>
    </row>
    <row r="183" spans="1:3" x14ac:dyDescent="0.25">
      <c r="A183" s="8" t="s">
        <v>2525</v>
      </c>
      <c r="B183" s="8" t="s">
        <v>2669</v>
      </c>
      <c r="C183" s="8">
        <v>15</v>
      </c>
    </row>
    <row r="184" spans="1:3" x14ac:dyDescent="0.25">
      <c r="A184" s="8" t="s">
        <v>2670</v>
      </c>
      <c r="B184" s="8" t="s">
        <v>2671</v>
      </c>
      <c r="C184" s="8">
        <v>15</v>
      </c>
    </row>
    <row r="185" spans="1:3" x14ac:dyDescent="0.25">
      <c r="A185" s="8" t="s">
        <v>2672</v>
      </c>
      <c r="B185" s="8" t="s">
        <v>2673</v>
      </c>
      <c r="C185" s="8">
        <v>15</v>
      </c>
    </row>
    <row r="186" spans="1:3" x14ac:dyDescent="0.25">
      <c r="A186" s="8" t="s">
        <v>2513</v>
      </c>
      <c r="B186" s="8" t="s">
        <v>2514</v>
      </c>
      <c r="C186" s="8">
        <v>15</v>
      </c>
    </row>
    <row r="187" spans="1:3" x14ac:dyDescent="0.25">
      <c r="A187" s="8" t="s">
        <v>2674</v>
      </c>
      <c r="B187" s="8" t="s">
        <v>2675</v>
      </c>
      <c r="C187" s="8">
        <v>15</v>
      </c>
    </row>
    <row r="188" spans="1:3" x14ac:dyDescent="0.25">
      <c r="A188" s="8" t="s">
        <v>2676</v>
      </c>
      <c r="B188" s="8" t="s">
        <v>2677</v>
      </c>
      <c r="C188" s="8">
        <v>15</v>
      </c>
    </row>
    <row r="189" spans="1:3" x14ac:dyDescent="0.25">
      <c r="A189" s="8" t="s">
        <v>2678</v>
      </c>
      <c r="B189" s="8" t="s">
        <v>2679</v>
      </c>
      <c r="C189" s="8">
        <v>15</v>
      </c>
    </row>
    <row r="190" spans="1:3" x14ac:dyDescent="0.25">
      <c r="A190" s="8" t="s">
        <v>2680</v>
      </c>
      <c r="B190" s="8" t="s">
        <v>2681</v>
      </c>
      <c r="C190" s="8">
        <v>15</v>
      </c>
    </row>
    <row r="191" spans="1:3" x14ac:dyDescent="0.25">
      <c r="A191" s="8" t="s">
        <v>2614</v>
      </c>
      <c r="B191" s="8" t="s">
        <v>2682</v>
      </c>
      <c r="C191" s="8">
        <v>15</v>
      </c>
    </row>
    <row r="192" spans="1:3" x14ac:dyDescent="0.25">
      <c r="A192" s="8" t="s">
        <v>2583</v>
      </c>
      <c r="B192" s="8" t="s">
        <v>2683</v>
      </c>
      <c r="C192" s="8">
        <v>15</v>
      </c>
    </row>
    <row r="193" spans="1:3" x14ac:dyDescent="0.25">
      <c r="A193" s="8" t="s">
        <v>2519</v>
      </c>
      <c r="B193" s="8" t="s">
        <v>2559</v>
      </c>
      <c r="C193" s="8">
        <v>15</v>
      </c>
    </row>
    <row r="194" spans="1:3" x14ac:dyDescent="0.25">
      <c r="A194" s="8" t="s">
        <v>2680</v>
      </c>
      <c r="B194" s="8" t="s">
        <v>2684</v>
      </c>
      <c r="C194" s="8">
        <v>15</v>
      </c>
    </row>
    <row r="195" spans="1:3" x14ac:dyDescent="0.25">
      <c r="A195" s="8" t="s">
        <v>2432</v>
      </c>
      <c r="B195" s="8" t="s">
        <v>2685</v>
      </c>
      <c r="C195" s="8">
        <v>15</v>
      </c>
    </row>
    <row r="196" spans="1:3" x14ac:dyDescent="0.25">
      <c r="A196" s="8" t="s">
        <v>2635</v>
      </c>
      <c r="B196" s="8" t="s">
        <v>2686</v>
      </c>
      <c r="C196" s="8">
        <v>15</v>
      </c>
    </row>
    <row r="197" spans="1:3" x14ac:dyDescent="0.25">
      <c r="A197" s="8" t="s">
        <v>2687</v>
      </c>
      <c r="B197" s="8" t="s">
        <v>2688</v>
      </c>
      <c r="C197" s="8">
        <v>15</v>
      </c>
    </row>
    <row r="198" spans="1:3" x14ac:dyDescent="0.25">
      <c r="A198" s="8" t="s">
        <v>2635</v>
      </c>
      <c r="B198" s="8" t="s">
        <v>2636</v>
      </c>
      <c r="C198" s="8">
        <v>15</v>
      </c>
    </row>
    <row r="199" spans="1:3" x14ac:dyDescent="0.25">
      <c r="A199" s="8" t="s">
        <v>2426</v>
      </c>
      <c r="B199" s="8" t="s">
        <v>2689</v>
      </c>
      <c r="C199" s="8">
        <v>15</v>
      </c>
    </row>
    <row r="200" spans="1:3" x14ac:dyDescent="0.25">
      <c r="A200" s="8" t="s">
        <v>2430</v>
      </c>
      <c r="B200" s="8" t="s">
        <v>2431</v>
      </c>
      <c r="C200" s="8">
        <v>15</v>
      </c>
    </row>
    <row r="201" spans="1:3" x14ac:dyDescent="0.25">
      <c r="A201" s="8" t="s">
        <v>2690</v>
      </c>
      <c r="B201" s="8" t="s">
        <v>2691</v>
      </c>
      <c r="C201" s="8">
        <v>15</v>
      </c>
    </row>
    <row r="202" spans="1:3" x14ac:dyDescent="0.25">
      <c r="A202" s="8" t="s">
        <v>2459</v>
      </c>
      <c r="B202" s="8" t="s">
        <v>2692</v>
      </c>
      <c r="C202" s="8">
        <v>15</v>
      </c>
    </row>
    <row r="203" spans="1:3" x14ac:dyDescent="0.25">
      <c r="A203" s="8" t="s">
        <v>2536</v>
      </c>
      <c r="B203" s="8" t="s">
        <v>2693</v>
      </c>
      <c r="C203" s="8">
        <v>15</v>
      </c>
    </row>
    <row r="204" spans="1:3" x14ac:dyDescent="0.25">
      <c r="A204" s="8" t="s">
        <v>66</v>
      </c>
      <c r="B204" s="8" t="s">
        <v>2694</v>
      </c>
      <c r="C204" s="8">
        <v>15</v>
      </c>
    </row>
    <row r="205" spans="1:3" x14ac:dyDescent="0.25">
      <c r="A205" s="8" t="s">
        <v>2695</v>
      </c>
      <c r="B205" s="8" t="s">
        <v>2696</v>
      </c>
      <c r="C205" s="8">
        <v>16</v>
      </c>
    </row>
    <row r="206" spans="1:3" x14ac:dyDescent="0.25">
      <c r="A206" s="8" t="s">
        <v>2697</v>
      </c>
      <c r="B206" s="8" t="s">
        <v>2698</v>
      </c>
      <c r="C206" s="8">
        <v>16</v>
      </c>
    </row>
    <row r="207" spans="1:3" x14ac:dyDescent="0.25">
      <c r="A207" s="8" t="s">
        <v>2573</v>
      </c>
      <c r="B207" s="8" t="s">
        <v>2699</v>
      </c>
      <c r="C207" s="8">
        <v>16</v>
      </c>
    </row>
    <row r="208" spans="1:3" x14ac:dyDescent="0.25">
      <c r="A208" s="8" t="s">
        <v>2588</v>
      </c>
      <c r="B208" s="8" t="s">
        <v>2589</v>
      </c>
      <c r="C208" s="8">
        <v>17</v>
      </c>
    </row>
    <row r="209" spans="1:3" x14ac:dyDescent="0.25">
      <c r="A209" s="8" t="s">
        <v>2633</v>
      </c>
      <c r="B209" s="8" t="s">
        <v>2700</v>
      </c>
      <c r="C209" s="8">
        <v>17</v>
      </c>
    </row>
    <row r="210" spans="1:3" x14ac:dyDescent="0.25">
      <c r="A210" s="8" t="s">
        <v>2701</v>
      </c>
      <c r="B210" s="8" t="s">
        <v>2702</v>
      </c>
      <c r="C210" s="8">
        <v>17</v>
      </c>
    </row>
    <row r="211" spans="1:3" x14ac:dyDescent="0.25">
      <c r="A211" s="8" t="s">
        <v>2703</v>
      </c>
      <c r="B211" s="8" t="s">
        <v>2704</v>
      </c>
      <c r="C211" s="8">
        <v>17</v>
      </c>
    </row>
    <row r="212" spans="1:3" x14ac:dyDescent="0.25">
      <c r="A212" s="8" t="s">
        <v>2490</v>
      </c>
      <c r="B212" s="8" t="s">
        <v>2705</v>
      </c>
      <c r="C212" s="8">
        <v>17</v>
      </c>
    </row>
    <row r="213" spans="1:3" x14ac:dyDescent="0.25">
      <c r="A213" s="8" t="s">
        <v>2554</v>
      </c>
      <c r="B213" s="8" t="s">
        <v>2706</v>
      </c>
      <c r="C213" s="8">
        <v>17</v>
      </c>
    </row>
    <row r="214" spans="1:3" x14ac:dyDescent="0.25">
      <c r="A214" s="8" t="s">
        <v>2707</v>
      </c>
      <c r="B214" s="8" t="s">
        <v>2708</v>
      </c>
      <c r="C214" s="8">
        <v>17</v>
      </c>
    </row>
    <row r="215" spans="1:3" x14ac:dyDescent="0.25">
      <c r="A215" s="8" t="s">
        <v>2709</v>
      </c>
      <c r="B215" s="8" t="s">
        <v>2710</v>
      </c>
      <c r="C215" s="8">
        <v>17</v>
      </c>
    </row>
    <row r="216" spans="1:3" x14ac:dyDescent="0.25">
      <c r="A216" s="8" t="s">
        <v>2428</v>
      </c>
      <c r="B216" s="8" t="s">
        <v>2429</v>
      </c>
      <c r="C216" s="8">
        <v>17</v>
      </c>
    </row>
    <row r="217" spans="1:3" x14ac:dyDescent="0.25">
      <c r="A217" s="8" t="s">
        <v>2711</v>
      </c>
      <c r="B217" s="8" t="s">
        <v>2712</v>
      </c>
      <c r="C217" s="8">
        <v>17</v>
      </c>
    </row>
    <row r="218" spans="1:3" x14ac:dyDescent="0.25">
      <c r="A218" s="8" t="s">
        <v>2711</v>
      </c>
      <c r="B218" s="8" t="s">
        <v>2713</v>
      </c>
      <c r="C218" s="8">
        <v>17</v>
      </c>
    </row>
    <row r="219" spans="1:3" x14ac:dyDescent="0.25">
      <c r="A219" s="8" t="s">
        <v>2459</v>
      </c>
      <c r="B219" s="8" t="s">
        <v>2714</v>
      </c>
      <c r="C219" s="8">
        <v>18</v>
      </c>
    </row>
    <row r="220" spans="1:3" x14ac:dyDescent="0.25">
      <c r="A220" s="8" t="s">
        <v>2426</v>
      </c>
      <c r="B220" s="8" t="s">
        <v>2715</v>
      </c>
      <c r="C220" s="8">
        <v>18</v>
      </c>
    </row>
    <row r="221" spans="1:3" x14ac:dyDescent="0.25">
      <c r="A221" s="8" t="s">
        <v>2573</v>
      </c>
      <c r="B221" s="8" t="s">
        <v>2716</v>
      </c>
      <c r="C221" s="8">
        <v>18</v>
      </c>
    </row>
    <row r="222" spans="1:3" x14ac:dyDescent="0.25">
      <c r="A222" s="8" t="s">
        <v>2687</v>
      </c>
      <c r="B222" s="8" t="s">
        <v>2717</v>
      </c>
      <c r="C222" s="8">
        <v>18</v>
      </c>
    </row>
    <row r="223" spans="1:3" x14ac:dyDescent="0.25">
      <c r="A223" s="8" t="s">
        <v>2226</v>
      </c>
      <c r="B223" s="8" t="s">
        <v>2718</v>
      </c>
      <c r="C223" s="8">
        <v>18</v>
      </c>
    </row>
    <row r="224" spans="1:3" x14ac:dyDescent="0.25">
      <c r="A224" s="8" t="s">
        <v>2428</v>
      </c>
      <c r="B224" s="8" t="s">
        <v>2429</v>
      </c>
      <c r="C224" s="8">
        <v>18</v>
      </c>
    </row>
    <row r="225" spans="1:3" x14ac:dyDescent="0.25">
      <c r="A225" s="8" t="s">
        <v>2490</v>
      </c>
      <c r="B225" s="8" t="s">
        <v>2719</v>
      </c>
      <c r="C225" s="8">
        <v>18</v>
      </c>
    </row>
    <row r="226" spans="1:3" x14ac:dyDescent="0.25">
      <c r="A226" s="8" t="s">
        <v>2466</v>
      </c>
      <c r="B226" s="8" t="s">
        <v>2720</v>
      </c>
      <c r="C226" s="8">
        <v>18</v>
      </c>
    </row>
    <row r="227" spans="1:3" x14ac:dyDescent="0.25">
      <c r="A227" s="8" t="s">
        <v>2680</v>
      </c>
      <c r="B227" s="8" t="s">
        <v>2721</v>
      </c>
      <c r="C227" s="8">
        <v>18</v>
      </c>
    </row>
    <row r="228" spans="1:3" x14ac:dyDescent="0.25">
      <c r="A228" s="8" t="s">
        <v>2722</v>
      </c>
      <c r="B228" s="8" t="s">
        <v>2723</v>
      </c>
      <c r="C228" s="8">
        <v>18</v>
      </c>
    </row>
    <row r="229" spans="1:3" x14ac:dyDescent="0.25">
      <c r="A229" s="8" t="s">
        <v>2724</v>
      </c>
      <c r="B229" s="8" t="s">
        <v>2725</v>
      </c>
      <c r="C229" s="8">
        <v>18</v>
      </c>
    </row>
    <row r="230" spans="1:3" x14ac:dyDescent="0.25">
      <c r="A230" s="8" t="s">
        <v>2581</v>
      </c>
      <c r="B230" s="8" t="s">
        <v>2726</v>
      </c>
      <c r="C230" s="8">
        <v>18</v>
      </c>
    </row>
    <row r="231" spans="1:3" x14ac:dyDescent="0.25">
      <c r="A231" s="8" t="s">
        <v>2727</v>
      </c>
      <c r="B231" s="8" t="s">
        <v>2728</v>
      </c>
      <c r="C231" s="8">
        <v>18</v>
      </c>
    </row>
    <row r="232" spans="1:3" x14ac:dyDescent="0.25">
      <c r="A232" s="8" t="s">
        <v>66</v>
      </c>
      <c r="B232" s="8" t="s">
        <v>2729</v>
      </c>
      <c r="C232" s="8">
        <v>18</v>
      </c>
    </row>
    <row r="233" spans="1:3" x14ac:dyDescent="0.25">
      <c r="A233" s="8" t="s">
        <v>2583</v>
      </c>
      <c r="B233" s="8" t="s">
        <v>2730</v>
      </c>
      <c r="C233" s="8">
        <v>18</v>
      </c>
    </row>
    <row r="234" spans="1:3" x14ac:dyDescent="0.25">
      <c r="A234" s="8" t="s">
        <v>2588</v>
      </c>
      <c r="B234" s="8" t="s">
        <v>2589</v>
      </c>
      <c r="C234" s="8">
        <v>18</v>
      </c>
    </row>
    <row r="235" spans="1:3" x14ac:dyDescent="0.25">
      <c r="A235" s="8" t="s">
        <v>2497</v>
      </c>
      <c r="B235" s="8" t="s">
        <v>2720</v>
      </c>
      <c r="C235" s="8">
        <v>18</v>
      </c>
    </row>
    <row r="236" spans="1:3" x14ac:dyDescent="0.25">
      <c r="A236" s="8" t="s">
        <v>2709</v>
      </c>
      <c r="B236" s="8" t="s">
        <v>2731</v>
      </c>
      <c r="C236" s="8">
        <v>19</v>
      </c>
    </row>
    <row r="237" spans="1:3" x14ac:dyDescent="0.25">
      <c r="A237" s="8" t="s">
        <v>2426</v>
      </c>
      <c r="B237" s="8" t="s">
        <v>2529</v>
      </c>
      <c r="C237" s="8">
        <v>19</v>
      </c>
    </row>
    <row r="238" spans="1:3" x14ac:dyDescent="0.25">
      <c r="A238" s="8" t="s">
        <v>2428</v>
      </c>
      <c r="B238" s="8" t="s">
        <v>2429</v>
      </c>
      <c r="C238" s="8">
        <v>19</v>
      </c>
    </row>
    <row r="239" spans="1:3" x14ac:dyDescent="0.25">
      <c r="A239" s="8" t="s">
        <v>2732</v>
      </c>
      <c r="B239" s="8" t="s">
        <v>2733</v>
      </c>
      <c r="C239" s="8">
        <v>19</v>
      </c>
    </row>
    <row r="240" spans="1:3" x14ac:dyDescent="0.25">
      <c r="A240" s="8" t="s">
        <v>2734</v>
      </c>
      <c r="B240" s="8" t="s">
        <v>2469</v>
      </c>
      <c r="C240" s="8">
        <v>19</v>
      </c>
    </row>
    <row r="241" spans="1:3" x14ac:dyDescent="0.25">
      <c r="A241" s="8" t="s">
        <v>2451</v>
      </c>
      <c r="B241" s="8" t="s">
        <v>2735</v>
      </c>
      <c r="C241" s="8">
        <v>19</v>
      </c>
    </row>
    <row r="242" spans="1:3" x14ac:dyDescent="0.25">
      <c r="A242" s="8" t="s">
        <v>2459</v>
      </c>
      <c r="B242" s="8" t="s">
        <v>2714</v>
      </c>
      <c r="C242" s="8">
        <v>19</v>
      </c>
    </row>
    <row r="243" spans="1:3" x14ac:dyDescent="0.25">
      <c r="A243" s="8" t="s">
        <v>2736</v>
      </c>
      <c r="B243" s="8" t="s">
        <v>2737</v>
      </c>
      <c r="C243" s="8">
        <v>19</v>
      </c>
    </row>
    <row r="244" spans="1:3" x14ac:dyDescent="0.25">
      <c r="A244" s="8" t="s">
        <v>2468</v>
      </c>
      <c r="B244" s="8" t="s">
        <v>2738</v>
      </c>
      <c r="C244" s="8">
        <v>19</v>
      </c>
    </row>
    <row r="245" spans="1:3" x14ac:dyDescent="0.25">
      <c r="A245" s="8" t="s">
        <v>2546</v>
      </c>
      <c r="B245" s="8" t="s">
        <v>2739</v>
      </c>
      <c r="C245" s="8">
        <v>19</v>
      </c>
    </row>
    <row r="246" spans="1:3" x14ac:dyDescent="0.25">
      <c r="A246" s="8" t="s">
        <v>2544</v>
      </c>
      <c r="B246" s="8" t="s">
        <v>2545</v>
      </c>
      <c r="C246" s="8">
        <v>19</v>
      </c>
    </row>
    <row r="247" spans="1:3" x14ac:dyDescent="0.25">
      <c r="A247" s="8" t="s">
        <v>2740</v>
      </c>
      <c r="B247" s="8" t="s">
        <v>2741</v>
      </c>
      <c r="C247" s="8">
        <v>19</v>
      </c>
    </row>
    <row r="248" spans="1:3" x14ac:dyDescent="0.25">
      <c r="A248" s="8" t="s">
        <v>2504</v>
      </c>
      <c r="B248" s="8" t="s">
        <v>2742</v>
      </c>
      <c r="C248" s="8">
        <v>19</v>
      </c>
    </row>
    <row r="249" spans="1:3" x14ac:dyDescent="0.25">
      <c r="A249" s="8" t="s">
        <v>2565</v>
      </c>
      <c r="B249" s="8" t="s">
        <v>2743</v>
      </c>
      <c r="C249" s="8">
        <v>19</v>
      </c>
    </row>
    <row r="250" spans="1:3" x14ac:dyDescent="0.25">
      <c r="A250" s="8" t="s">
        <v>2744</v>
      </c>
      <c r="B250" s="8" t="s">
        <v>66</v>
      </c>
      <c r="C250" s="8">
        <v>20</v>
      </c>
    </row>
    <row r="251" spans="1:3" x14ac:dyDescent="0.25">
      <c r="A251" s="8" t="s">
        <v>705</v>
      </c>
      <c r="B251" s="8" t="s">
        <v>2745</v>
      </c>
      <c r="C251" s="8">
        <v>20</v>
      </c>
    </row>
    <row r="252" spans="1:3" x14ac:dyDescent="0.25">
      <c r="A252" s="8" t="s">
        <v>728</v>
      </c>
      <c r="B252" s="8" t="s">
        <v>2746</v>
      </c>
      <c r="C252" s="8">
        <v>20</v>
      </c>
    </row>
    <row r="253" spans="1:3" x14ac:dyDescent="0.25">
      <c r="A253" s="8" t="s">
        <v>739</v>
      </c>
      <c r="B253" s="8" t="s">
        <v>2747</v>
      </c>
      <c r="C253" s="8">
        <v>20</v>
      </c>
    </row>
    <row r="254" spans="1:3" x14ac:dyDescent="0.25">
      <c r="A254" s="8" t="s">
        <v>744</v>
      </c>
      <c r="B254" s="8" t="s">
        <v>2748</v>
      </c>
      <c r="C254" s="8">
        <v>20</v>
      </c>
    </row>
    <row r="255" spans="1:3" x14ac:dyDescent="0.25">
      <c r="A255" s="8" t="s">
        <v>746</v>
      </c>
      <c r="B255" s="8" t="s">
        <v>2749</v>
      </c>
      <c r="C255" s="8">
        <v>20</v>
      </c>
    </row>
    <row r="256" spans="1:3" x14ac:dyDescent="0.25">
      <c r="A256" s="8" t="s">
        <v>750</v>
      </c>
      <c r="B256" s="8" t="s">
        <v>2750</v>
      </c>
      <c r="C256" s="8">
        <v>20</v>
      </c>
    </row>
    <row r="257" spans="1:3" x14ac:dyDescent="0.25">
      <c r="A257" s="8" t="s">
        <v>2751</v>
      </c>
      <c r="B257" s="8" t="s">
        <v>2752</v>
      </c>
      <c r="C257" s="8">
        <v>20</v>
      </c>
    </row>
    <row r="258" spans="1:3" x14ac:dyDescent="0.25">
      <c r="A258" s="8" t="s">
        <v>2635</v>
      </c>
      <c r="B258" s="8" t="s">
        <v>844</v>
      </c>
      <c r="C258" s="8">
        <v>20</v>
      </c>
    </row>
    <row r="259" spans="1:3" x14ac:dyDescent="0.25">
      <c r="A259" s="8" t="s">
        <v>2753</v>
      </c>
      <c r="B259" s="8" t="s">
        <v>2754</v>
      </c>
      <c r="C259" s="8">
        <v>20</v>
      </c>
    </row>
    <row r="260" spans="1:3" x14ac:dyDescent="0.25">
      <c r="A260" s="8" t="s">
        <v>2626</v>
      </c>
      <c r="B260" s="8" t="s">
        <v>2755</v>
      </c>
      <c r="C260" s="8">
        <v>20</v>
      </c>
    </row>
    <row r="261" spans="1:3" x14ac:dyDescent="0.25">
      <c r="A261" s="8" t="s">
        <v>2756</v>
      </c>
      <c r="B261" s="8" t="s">
        <v>2757</v>
      </c>
      <c r="C261" s="8">
        <v>20</v>
      </c>
    </row>
    <row r="262" spans="1:3" x14ac:dyDescent="0.25">
      <c r="A262" s="8" t="s">
        <v>2758</v>
      </c>
      <c r="B262" s="8" t="s">
        <v>2759</v>
      </c>
      <c r="C262" s="8">
        <v>20</v>
      </c>
    </row>
    <row r="263" spans="1:3" x14ac:dyDescent="0.25">
      <c r="A263" s="8" t="s">
        <v>2760</v>
      </c>
      <c r="B263" s="8" t="s">
        <v>2761</v>
      </c>
      <c r="C263" s="8">
        <v>20</v>
      </c>
    </row>
    <row r="264" spans="1:3" x14ac:dyDescent="0.25">
      <c r="A264" s="8" t="s">
        <v>2530</v>
      </c>
      <c r="B264" s="8" t="s">
        <v>2762</v>
      </c>
      <c r="C264" s="8">
        <v>20</v>
      </c>
    </row>
    <row r="265" spans="1:3" x14ac:dyDescent="0.25">
      <c r="A265" s="8" t="s">
        <v>2763</v>
      </c>
      <c r="B265" s="8" t="s">
        <v>2764</v>
      </c>
      <c r="C265" s="8">
        <v>20</v>
      </c>
    </row>
    <row r="266" spans="1:3" x14ac:dyDescent="0.25">
      <c r="A266" s="8" t="s">
        <v>2765</v>
      </c>
      <c r="B266" s="8" t="s">
        <v>2766</v>
      </c>
      <c r="C266" s="8">
        <v>20</v>
      </c>
    </row>
    <row r="267" spans="1:3" x14ac:dyDescent="0.25">
      <c r="A267" s="8" t="s">
        <v>2767</v>
      </c>
      <c r="B267" s="8" t="s">
        <v>66</v>
      </c>
      <c r="C267" s="8">
        <v>21</v>
      </c>
    </row>
    <row r="268" spans="1:3" x14ac:dyDescent="0.25">
      <c r="A268" s="8" t="s">
        <v>2768</v>
      </c>
      <c r="B268" s="8" t="s">
        <v>2769</v>
      </c>
      <c r="C268" s="8">
        <v>21</v>
      </c>
    </row>
    <row r="269" spans="1:3" x14ac:dyDescent="0.25">
      <c r="A269" s="8" t="s">
        <v>2770</v>
      </c>
      <c r="B269" s="8" t="s">
        <v>2771</v>
      </c>
      <c r="C269" s="8">
        <v>21</v>
      </c>
    </row>
    <row r="270" spans="1:3" x14ac:dyDescent="0.25">
      <c r="A270" s="8" t="s">
        <v>2772</v>
      </c>
      <c r="B270" s="8" t="s">
        <v>2773</v>
      </c>
      <c r="C270" s="8">
        <v>21</v>
      </c>
    </row>
    <row r="271" spans="1:3" x14ac:dyDescent="0.25">
      <c r="A271" s="8" t="s">
        <v>2774</v>
      </c>
      <c r="B271" s="8" t="s">
        <v>2775</v>
      </c>
      <c r="C271" s="8">
        <v>21</v>
      </c>
    </row>
    <row r="272" spans="1:3" x14ac:dyDescent="0.25">
      <c r="A272" s="8" t="s">
        <v>2776</v>
      </c>
      <c r="B272" s="8" t="s">
        <v>2777</v>
      </c>
      <c r="C272" s="8">
        <v>21</v>
      </c>
    </row>
    <row r="273" spans="1:3" x14ac:dyDescent="0.25">
      <c r="A273" s="8" t="s">
        <v>2778</v>
      </c>
      <c r="B273" s="8" t="s">
        <v>2779</v>
      </c>
      <c r="C273" s="8">
        <v>21</v>
      </c>
    </row>
    <row r="274" spans="1:3" x14ac:dyDescent="0.25">
      <c r="A274" s="8" t="s">
        <v>66</v>
      </c>
      <c r="B274" s="8" t="s">
        <v>66</v>
      </c>
      <c r="C274" s="8">
        <v>22</v>
      </c>
    </row>
    <row r="275" spans="1:3" x14ac:dyDescent="0.25">
      <c r="A275" s="8" t="s">
        <v>2703</v>
      </c>
      <c r="B275" s="8" t="s">
        <v>2780</v>
      </c>
      <c r="C275" s="8">
        <v>22</v>
      </c>
    </row>
    <row r="276" spans="1:3" x14ac:dyDescent="0.25">
      <c r="A276" s="8" t="s">
        <v>2781</v>
      </c>
      <c r="B276" s="8" t="s">
        <v>2782</v>
      </c>
      <c r="C276" s="8">
        <v>22</v>
      </c>
    </row>
    <row r="277" spans="1:3" x14ac:dyDescent="0.25">
      <c r="A277" s="8" t="s">
        <v>2783</v>
      </c>
      <c r="B277" s="8" t="s">
        <v>2784</v>
      </c>
      <c r="C277" s="8">
        <v>22</v>
      </c>
    </row>
    <row r="278" spans="1:3" x14ac:dyDescent="0.25">
      <c r="A278" s="8" t="s">
        <v>2614</v>
      </c>
      <c r="B278" s="8" t="s">
        <v>2785</v>
      </c>
      <c r="C278" s="8">
        <v>22</v>
      </c>
    </row>
    <row r="279" spans="1:3" x14ac:dyDescent="0.25">
      <c r="A279" s="8" t="s">
        <v>2428</v>
      </c>
      <c r="B279" s="8" t="s">
        <v>2786</v>
      </c>
      <c r="C279" s="8">
        <v>22</v>
      </c>
    </row>
    <row r="280" spans="1:3" x14ac:dyDescent="0.25">
      <c r="A280" s="8" t="s">
        <v>2457</v>
      </c>
      <c r="B280" s="8" t="s">
        <v>2787</v>
      </c>
      <c r="C280" s="8">
        <v>22</v>
      </c>
    </row>
    <row r="281" spans="1:3" x14ac:dyDescent="0.25">
      <c r="A281" s="8" t="s">
        <v>2424</v>
      </c>
      <c r="B281" s="8" t="s">
        <v>2788</v>
      </c>
      <c r="C281" s="8">
        <v>22</v>
      </c>
    </row>
    <row r="282" spans="1:3" x14ac:dyDescent="0.25">
      <c r="A282" s="8" t="s">
        <v>2789</v>
      </c>
      <c r="B282" s="8" t="s">
        <v>66</v>
      </c>
      <c r="C282" s="8">
        <v>23</v>
      </c>
    </row>
    <row r="283" spans="1:3" x14ac:dyDescent="0.25">
      <c r="A283" s="8" t="s">
        <v>2420</v>
      </c>
      <c r="B283" s="8" t="s">
        <v>2421</v>
      </c>
      <c r="C283" s="8">
        <v>24</v>
      </c>
    </row>
    <row r="284" spans="1:3" x14ac:dyDescent="0.25">
      <c r="A284" s="8" t="s">
        <v>2573</v>
      </c>
      <c r="B284" s="8" t="s">
        <v>2716</v>
      </c>
      <c r="C284" s="8">
        <v>24</v>
      </c>
    </row>
    <row r="285" spans="1:3" x14ac:dyDescent="0.25">
      <c r="A285" s="8" t="s">
        <v>2438</v>
      </c>
      <c r="B285" s="8" t="s">
        <v>2790</v>
      </c>
      <c r="C285" s="8">
        <v>24</v>
      </c>
    </row>
    <row r="286" spans="1:3" x14ac:dyDescent="0.25">
      <c r="A286" s="8" t="s">
        <v>2687</v>
      </c>
      <c r="B286" s="8" t="s">
        <v>2791</v>
      </c>
      <c r="C286" s="8">
        <v>24</v>
      </c>
    </row>
    <row r="287" spans="1:3" x14ac:dyDescent="0.25">
      <c r="A287" s="8" t="s">
        <v>2588</v>
      </c>
      <c r="B287" s="8" t="s">
        <v>2589</v>
      </c>
      <c r="C287" s="8">
        <v>24</v>
      </c>
    </row>
    <row r="288" spans="1:3" x14ac:dyDescent="0.25">
      <c r="A288" s="8" t="s">
        <v>2792</v>
      </c>
      <c r="B288" s="8" t="s">
        <v>2793</v>
      </c>
      <c r="C288" s="8">
        <v>24</v>
      </c>
    </row>
    <row r="289" spans="1:3" x14ac:dyDescent="0.25">
      <c r="A289" s="8" t="s">
        <v>739</v>
      </c>
      <c r="B289" s="8" t="s">
        <v>2794</v>
      </c>
      <c r="C289" s="8">
        <v>24</v>
      </c>
    </row>
    <row r="290" spans="1:3" x14ac:dyDescent="0.25">
      <c r="A290" s="8" t="s">
        <v>2422</v>
      </c>
      <c r="B290" s="8" t="s">
        <v>2795</v>
      </c>
      <c r="C290" s="8">
        <v>24</v>
      </c>
    </row>
    <row r="291" spans="1:3" x14ac:dyDescent="0.25">
      <c r="A291" s="8" t="s">
        <v>2601</v>
      </c>
      <c r="B291" s="8" t="s">
        <v>2796</v>
      </c>
      <c r="C291" s="8">
        <v>24</v>
      </c>
    </row>
    <row r="292" spans="1:3" x14ac:dyDescent="0.25">
      <c r="A292" s="8" t="s">
        <v>2797</v>
      </c>
      <c r="B292" s="8" t="s">
        <v>2798</v>
      </c>
      <c r="C292" s="8">
        <v>24</v>
      </c>
    </row>
    <row r="293" spans="1:3" x14ac:dyDescent="0.25">
      <c r="A293" s="8" t="s">
        <v>2519</v>
      </c>
      <c r="B293" s="8" t="s">
        <v>2799</v>
      </c>
      <c r="C293" s="8">
        <v>24</v>
      </c>
    </row>
    <row r="294" spans="1:3" x14ac:dyDescent="0.25">
      <c r="A294" s="8" t="s">
        <v>2800</v>
      </c>
      <c r="B294" s="8" t="s">
        <v>2801</v>
      </c>
      <c r="C294" s="8">
        <v>24</v>
      </c>
    </row>
    <row r="295" spans="1:3" x14ac:dyDescent="0.25">
      <c r="A295" s="8" t="s">
        <v>2504</v>
      </c>
      <c r="B295" s="8" t="s">
        <v>2802</v>
      </c>
      <c r="C295" s="8">
        <v>24</v>
      </c>
    </row>
    <row r="296" spans="1:3" x14ac:dyDescent="0.25">
      <c r="A296" s="8" t="s">
        <v>2459</v>
      </c>
      <c r="B296" s="8" t="s">
        <v>2692</v>
      </c>
      <c r="C296" s="8">
        <v>24</v>
      </c>
    </row>
    <row r="297" spans="1:3" x14ac:dyDescent="0.25">
      <c r="A297" s="8" t="s">
        <v>2803</v>
      </c>
      <c r="B297" s="8" t="s">
        <v>2804</v>
      </c>
      <c r="C297" s="8">
        <v>24</v>
      </c>
    </row>
    <row r="298" spans="1:3" x14ac:dyDescent="0.25">
      <c r="A298" s="8" t="s">
        <v>2805</v>
      </c>
      <c r="B298" s="8" t="s">
        <v>2806</v>
      </c>
      <c r="C298" s="8">
        <v>24</v>
      </c>
    </row>
    <row r="299" spans="1:3" x14ac:dyDescent="0.25">
      <c r="A299" s="8" t="s">
        <v>2807</v>
      </c>
      <c r="B299" s="8" t="s">
        <v>2808</v>
      </c>
      <c r="C299" s="8">
        <v>24</v>
      </c>
    </row>
    <row r="300" spans="1:3" x14ac:dyDescent="0.25">
      <c r="A300" s="8" t="s">
        <v>2809</v>
      </c>
      <c r="B300" s="8" t="s">
        <v>2810</v>
      </c>
      <c r="C300" s="8">
        <v>24</v>
      </c>
    </row>
    <row r="301" spans="1:3" x14ac:dyDescent="0.25">
      <c r="A301" s="8" t="s">
        <v>2502</v>
      </c>
      <c r="B301" s="8" t="s">
        <v>2811</v>
      </c>
      <c r="C301" s="8">
        <v>24</v>
      </c>
    </row>
    <row r="302" spans="1:3" x14ac:dyDescent="0.25">
      <c r="A302" s="8" t="s">
        <v>2444</v>
      </c>
      <c r="B302" s="8" t="s">
        <v>2812</v>
      </c>
      <c r="C302" s="8">
        <v>24</v>
      </c>
    </row>
    <row r="303" spans="1:3" x14ac:dyDescent="0.25">
      <c r="A303" s="8" t="s">
        <v>2813</v>
      </c>
      <c r="B303" s="8" t="s">
        <v>2814</v>
      </c>
      <c r="C303" s="8">
        <v>24</v>
      </c>
    </row>
    <row r="304" spans="1:3" x14ac:dyDescent="0.25">
      <c r="A304" s="8" t="s">
        <v>2632</v>
      </c>
      <c r="B304" s="8" t="s">
        <v>2448</v>
      </c>
      <c r="C304" s="8">
        <v>24</v>
      </c>
    </row>
    <row r="305" spans="1:3" x14ac:dyDescent="0.25">
      <c r="A305" s="8" t="s">
        <v>2635</v>
      </c>
      <c r="B305" s="8" t="s">
        <v>2815</v>
      </c>
      <c r="C305" s="8">
        <v>24</v>
      </c>
    </row>
    <row r="306" spans="1:3" x14ac:dyDescent="0.25">
      <c r="A306" s="8" t="s">
        <v>2497</v>
      </c>
      <c r="B306" s="8" t="s">
        <v>2720</v>
      </c>
      <c r="C306" s="8">
        <v>24</v>
      </c>
    </row>
    <row r="307" spans="1:3" x14ac:dyDescent="0.25">
      <c r="A307" s="8" t="s">
        <v>2652</v>
      </c>
      <c r="B307" s="8" t="s">
        <v>2816</v>
      </c>
      <c r="C307" s="8">
        <v>24</v>
      </c>
    </row>
    <row r="308" spans="1:3" x14ac:dyDescent="0.25">
      <c r="A308" s="8" t="s">
        <v>2484</v>
      </c>
      <c r="B308" s="8" t="s">
        <v>2817</v>
      </c>
      <c r="C308" s="8">
        <v>24</v>
      </c>
    </row>
    <row r="309" spans="1:3" x14ac:dyDescent="0.25">
      <c r="A309" s="8" t="s">
        <v>2430</v>
      </c>
      <c r="B309" s="8" t="s">
        <v>2431</v>
      </c>
      <c r="C309" s="8">
        <v>24</v>
      </c>
    </row>
    <row r="310" spans="1:3" x14ac:dyDescent="0.25">
      <c r="A310" s="8" t="s">
        <v>2818</v>
      </c>
      <c r="B310" s="8" t="s">
        <v>2819</v>
      </c>
      <c r="C310" s="8">
        <v>24</v>
      </c>
    </row>
    <row r="311" spans="1:3" x14ac:dyDescent="0.25">
      <c r="A311" s="8" t="s">
        <v>2585</v>
      </c>
      <c r="B311" s="8" t="s">
        <v>2586</v>
      </c>
      <c r="C311" s="8">
        <v>24</v>
      </c>
    </row>
    <row r="312" spans="1:3" x14ac:dyDescent="0.25">
      <c r="A312" s="8" t="s">
        <v>2490</v>
      </c>
      <c r="B312" s="8" t="s">
        <v>2820</v>
      </c>
      <c r="C312" s="8">
        <v>24</v>
      </c>
    </row>
    <row r="313" spans="1:3" x14ac:dyDescent="0.25">
      <c r="A313" s="8" t="s">
        <v>2446</v>
      </c>
      <c r="B313" s="8" t="s">
        <v>2821</v>
      </c>
      <c r="C313" s="8">
        <v>24</v>
      </c>
    </row>
    <row r="314" spans="1:3" x14ac:dyDescent="0.25">
      <c r="A314" s="8" t="s">
        <v>2592</v>
      </c>
      <c r="B314" s="8" t="s">
        <v>2822</v>
      </c>
      <c r="C314" s="8">
        <v>24</v>
      </c>
    </row>
    <row r="315" spans="1:3" x14ac:dyDescent="0.25">
      <c r="A315" s="8" t="s">
        <v>2577</v>
      </c>
      <c r="B315" s="8" t="s">
        <v>2415</v>
      </c>
      <c r="C315" s="8">
        <v>24</v>
      </c>
    </row>
    <row r="316" spans="1:3" x14ac:dyDescent="0.25">
      <c r="A316" s="8" t="s">
        <v>2823</v>
      </c>
      <c r="B316" s="8" t="s">
        <v>2824</v>
      </c>
      <c r="C316" s="8">
        <v>24</v>
      </c>
    </row>
    <row r="317" spans="1:3" x14ac:dyDescent="0.25">
      <c r="B317" s="8" t="s">
        <v>2467</v>
      </c>
      <c r="C317" s="8">
        <v>24</v>
      </c>
    </row>
    <row r="318" spans="1:3" x14ac:dyDescent="0.25">
      <c r="A318" s="8" t="s">
        <v>2825</v>
      </c>
      <c r="B318" s="8" t="s">
        <v>2826</v>
      </c>
      <c r="C318" s="8">
        <v>24</v>
      </c>
    </row>
    <row r="319" spans="1:3" x14ac:dyDescent="0.25">
      <c r="A319" s="8" t="s">
        <v>2583</v>
      </c>
      <c r="B319" s="8" t="s">
        <v>2827</v>
      </c>
      <c r="C319" s="8">
        <v>24</v>
      </c>
    </row>
    <row r="320" spans="1:3" x14ac:dyDescent="0.25">
      <c r="A320" s="8" t="s">
        <v>66</v>
      </c>
      <c r="B320" s="8" t="s">
        <v>66</v>
      </c>
      <c r="C320" s="8">
        <v>25</v>
      </c>
    </row>
    <row r="321" spans="1:3" x14ac:dyDescent="0.25">
      <c r="A321" s="8" t="s">
        <v>2525</v>
      </c>
      <c r="B321" s="8" t="s">
        <v>2828</v>
      </c>
      <c r="C321" s="8">
        <v>25</v>
      </c>
    </row>
    <row r="322" spans="1:3" x14ac:dyDescent="0.25">
      <c r="A322" s="8" t="s">
        <v>2829</v>
      </c>
      <c r="B322" s="8" t="s">
        <v>2830</v>
      </c>
      <c r="C322" s="8">
        <v>25</v>
      </c>
    </row>
    <row r="323" spans="1:3" x14ac:dyDescent="0.25">
      <c r="A323" s="8" t="s">
        <v>2486</v>
      </c>
      <c r="B323" s="8" t="s">
        <v>2831</v>
      </c>
      <c r="C323" s="8">
        <v>25</v>
      </c>
    </row>
    <row r="324" spans="1:3" x14ac:dyDescent="0.25">
      <c r="A324" s="8" t="s">
        <v>66</v>
      </c>
      <c r="B324" s="8" t="s">
        <v>66</v>
      </c>
      <c r="C324" s="8">
        <v>26</v>
      </c>
    </row>
    <row r="325" spans="1:3" x14ac:dyDescent="0.25">
      <c r="A325" s="8" t="s">
        <v>2832</v>
      </c>
      <c r="B325" s="8" t="s">
        <v>2492</v>
      </c>
      <c r="C325" s="8">
        <v>26</v>
      </c>
    </row>
    <row r="326" spans="1:3" x14ac:dyDescent="0.25">
      <c r="A326" s="8" t="s">
        <v>739</v>
      </c>
      <c r="B326" s="8" t="s">
        <v>2833</v>
      </c>
      <c r="C326" s="8">
        <v>26</v>
      </c>
    </row>
    <row r="327" spans="1:3" x14ac:dyDescent="0.25">
      <c r="A327" s="8" t="s">
        <v>2418</v>
      </c>
      <c r="B327" s="8" t="s">
        <v>2834</v>
      </c>
      <c r="C327" s="8">
        <v>26</v>
      </c>
    </row>
    <row r="328" spans="1:3" x14ac:dyDescent="0.25">
      <c r="A328" s="8" t="s">
        <v>2428</v>
      </c>
      <c r="B328" s="8" t="s">
        <v>2429</v>
      </c>
      <c r="C328" s="8">
        <v>26</v>
      </c>
    </row>
    <row r="329" spans="1:3" x14ac:dyDescent="0.25">
      <c r="B329" s="8" t="s">
        <v>66</v>
      </c>
      <c r="C329" s="8">
        <v>27</v>
      </c>
    </row>
    <row r="330" spans="1:3" x14ac:dyDescent="0.25">
      <c r="A330" s="8" t="s">
        <v>2740</v>
      </c>
      <c r="B330" s="8" t="s">
        <v>2835</v>
      </c>
      <c r="C330" s="8">
        <v>27</v>
      </c>
    </row>
    <row r="331" spans="1:3" x14ac:dyDescent="0.25">
      <c r="A331" s="8" t="s">
        <v>2836</v>
      </c>
      <c r="B331" s="8" t="s">
        <v>2837</v>
      </c>
      <c r="C331" s="8">
        <v>27</v>
      </c>
    </row>
    <row r="332" spans="1:3" x14ac:dyDescent="0.25">
      <c r="A332" s="8" t="s">
        <v>2455</v>
      </c>
      <c r="B332" s="8" t="s">
        <v>2838</v>
      </c>
      <c r="C332" s="8">
        <v>27</v>
      </c>
    </row>
    <row r="333" spans="1:3" x14ac:dyDescent="0.25">
      <c r="A333" s="8" t="s">
        <v>2428</v>
      </c>
      <c r="B333" s="8" t="s">
        <v>2429</v>
      </c>
      <c r="C333" s="8">
        <v>27</v>
      </c>
    </row>
    <row r="334" spans="1:3" x14ac:dyDescent="0.25">
      <c r="A334" s="8" t="s">
        <v>2839</v>
      </c>
      <c r="B334" s="8" t="s">
        <v>2840</v>
      </c>
      <c r="C334" s="8">
        <v>27</v>
      </c>
    </row>
    <row r="335" spans="1:3" x14ac:dyDescent="0.25">
      <c r="A335" s="8" t="s">
        <v>66</v>
      </c>
      <c r="B335" s="8" t="s">
        <v>66</v>
      </c>
      <c r="C335" s="8">
        <v>28</v>
      </c>
    </row>
    <row r="336" spans="1:3" x14ac:dyDescent="0.25">
      <c r="A336" s="8" t="s">
        <v>2428</v>
      </c>
      <c r="B336" s="8" t="s">
        <v>2429</v>
      </c>
      <c r="C336" s="8">
        <v>28</v>
      </c>
    </row>
    <row r="337" spans="1:3" x14ac:dyDescent="0.25">
      <c r="A337" s="8" t="s">
        <v>2226</v>
      </c>
      <c r="B337" s="8" t="s">
        <v>2841</v>
      </c>
      <c r="C337" s="8">
        <v>28</v>
      </c>
    </row>
    <row r="338" spans="1:3" x14ac:dyDescent="0.25">
      <c r="A338" s="8" t="s">
        <v>2842</v>
      </c>
      <c r="B338" s="8" t="s">
        <v>2843</v>
      </c>
      <c r="C338" s="8">
        <v>28</v>
      </c>
    </row>
    <row r="339" spans="1:3" x14ac:dyDescent="0.25">
      <c r="A339" s="8" t="s">
        <v>2732</v>
      </c>
      <c r="B339" s="8" t="s">
        <v>2844</v>
      </c>
      <c r="C339" s="8">
        <v>28</v>
      </c>
    </row>
    <row r="340" spans="1:3" x14ac:dyDescent="0.25">
      <c r="A340" s="8" t="s">
        <v>2583</v>
      </c>
      <c r="B340" s="8" t="s">
        <v>2845</v>
      </c>
      <c r="C340" s="8">
        <v>28</v>
      </c>
    </row>
  </sheetData>
  <autoFilter ref="A1:D334" xr:uid="{8FF606BE-92C2-49D3-888E-E66CA7B71E1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0"/>
  <sheetViews>
    <sheetView topLeftCell="A43" workbookViewId="0">
      <selection activeCell="A2" sqref="A2:A310"/>
    </sheetView>
  </sheetViews>
  <sheetFormatPr defaultColWidth="9.140625" defaultRowHeight="15" x14ac:dyDescent="0.25"/>
  <cols>
    <col min="1" max="1" width="9.140625" style="8"/>
    <col min="2" max="2" width="19.85546875" style="8" bestFit="1" customWidth="1"/>
    <col min="3" max="3" width="74" style="8" bestFit="1" customWidth="1"/>
    <col min="4" max="4" width="16.85546875" style="8" bestFit="1" customWidth="1"/>
    <col min="5" max="16384" width="9.140625" style="8"/>
  </cols>
  <sheetData>
    <row r="1" spans="1:4" x14ac:dyDescent="0.25">
      <c r="A1" s="1" t="s">
        <v>2846</v>
      </c>
      <c r="B1" s="1" t="s">
        <v>7616</v>
      </c>
      <c r="C1" s="1" t="s">
        <v>2847</v>
      </c>
      <c r="D1" s="1" t="s">
        <v>60</v>
      </c>
    </row>
    <row r="2" spans="1:4" x14ac:dyDescent="0.25">
      <c r="A2" s="8" t="str">
        <f>TEXT(B2,"000")</f>
        <v>001</v>
      </c>
      <c r="B2" s="8" t="s">
        <v>262</v>
      </c>
      <c r="C2" s="8" t="s">
        <v>2848</v>
      </c>
      <c r="D2" s="8">
        <v>1</v>
      </c>
    </row>
    <row r="3" spans="1:4" x14ac:dyDescent="0.25">
      <c r="A3" s="8" t="str">
        <f t="shared" ref="A3:A66" si="0">TEXT(B3,"000")</f>
        <v>002</v>
      </c>
      <c r="B3" s="8" t="s">
        <v>264</v>
      </c>
      <c r="C3" s="8" t="s">
        <v>2849</v>
      </c>
      <c r="D3" s="8">
        <v>1</v>
      </c>
    </row>
    <row r="4" spans="1:4" x14ac:dyDescent="0.25">
      <c r="A4" s="8" t="str">
        <f t="shared" si="0"/>
        <v>000</v>
      </c>
      <c r="B4" s="8" t="s">
        <v>65</v>
      </c>
      <c r="C4" s="8" t="s">
        <v>66</v>
      </c>
      <c r="D4" s="8">
        <v>3</v>
      </c>
    </row>
    <row r="5" spans="1:4" x14ac:dyDescent="0.25">
      <c r="A5" s="8" t="str">
        <f t="shared" si="0"/>
        <v>001</v>
      </c>
      <c r="B5" s="8" t="s">
        <v>262</v>
      </c>
      <c r="C5" s="8" t="s">
        <v>2850</v>
      </c>
      <c r="D5" s="8">
        <v>3</v>
      </c>
    </row>
    <row r="6" spans="1:4" x14ac:dyDescent="0.25">
      <c r="A6" s="8" t="str">
        <f t="shared" si="0"/>
        <v>002</v>
      </c>
      <c r="B6" s="8" t="s">
        <v>264</v>
      </c>
      <c r="C6" s="8" t="s">
        <v>2851</v>
      </c>
      <c r="D6" s="8">
        <v>3</v>
      </c>
    </row>
    <row r="7" spans="1:4" x14ac:dyDescent="0.25">
      <c r="A7" s="8" t="str">
        <f t="shared" si="0"/>
        <v>003</v>
      </c>
      <c r="B7" s="8" t="s">
        <v>67</v>
      </c>
      <c r="C7" s="8" t="s">
        <v>2852</v>
      </c>
      <c r="D7" s="8">
        <v>3</v>
      </c>
    </row>
    <row r="8" spans="1:4" x14ac:dyDescent="0.25">
      <c r="A8" s="8" t="str">
        <f t="shared" si="0"/>
        <v>004</v>
      </c>
      <c r="B8" s="8" t="s">
        <v>69</v>
      </c>
      <c r="C8" s="8" t="s">
        <v>2853</v>
      </c>
      <c r="D8" s="8">
        <v>3</v>
      </c>
    </row>
    <row r="9" spans="1:4" x14ac:dyDescent="0.25">
      <c r="A9" s="8" t="str">
        <f t="shared" si="0"/>
        <v>005</v>
      </c>
      <c r="B9" s="8" t="s">
        <v>78</v>
      </c>
      <c r="C9" s="8" t="s">
        <v>2854</v>
      </c>
      <c r="D9" s="8">
        <v>3</v>
      </c>
    </row>
    <row r="10" spans="1:4" x14ac:dyDescent="0.25">
      <c r="A10" s="8" t="str">
        <f t="shared" si="0"/>
        <v>006</v>
      </c>
      <c r="B10" s="8" t="s">
        <v>80</v>
      </c>
      <c r="C10" s="8" t="s">
        <v>2855</v>
      </c>
      <c r="D10" s="8">
        <v>3</v>
      </c>
    </row>
    <row r="11" spans="1:4" x14ac:dyDescent="0.25">
      <c r="A11" s="8" t="str">
        <f t="shared" si="0"/>
        <v>007</v>
      </c>
      <c r="B11" s="8" t="s">
        <v>71</v>
      </c>
      <c r="C11" s="8" t="s">
        <v>2856</v>
      </c>
      <c r="D11" s="8">
        <v>3</v>
      </c>
    </row>
    <row r="12" spans="1:4" x14ac:dyDescent="0.25">
      <c r="A12" s="8" t="str">
        <f t="shared" si="0"/>
        <v>008</v>
      </c>
      <c r="B12" s="8" t="s">
        <v>271</v>
      </c>
      <c r="C12" s="8" t="s">
        <v>2857</v>
      </c>
      <c r="D12" s="8">
        <v>3</v>
      </c>
    </row>
    <row r="13" spans="1:4" x14ac:dyDescent="0.25">
      <c r="A13" s="8" t="str">
        <f t="shared" si="0"/>
        <v>001</v>
      </c>
      <c r="B13" s="8" t="s">
        <v>262</v>
      </c>
      <c r="C13" s="8" t="s">
        <v>2858</v>
      </c>
      <c r="D13" s="8">
        <v>4</v>
      </c>
    </row>
    <row r="14" spans="1:4" x14ac:dyDescent="0.25">
      <c r="A14" s="8" t="str">
        <f t="shared" si="0"/>
        <v>002</v>
      </c>
      <c r="B14" s="8" t="s">
        <v>264</v>
      </c>
      <c r="C14" s="8" t="s">
        <v>2859</v>
      </c>
      <c r="D14" s="8">
        <v>4</v>
      </c>
    </row>
    <row r="15" spans="1:4" x14ac:dyDescent="0.25">
      <c r="A15" s="8" t="str">
        <f t="shared" si="0"/>
        <v>003</v>
      </c>
      <c r="B15" s="8" t="s">
        <v>67</v>
      </c>
      <c r="C15" s="8" t="s">
        <v>2860</v>
      </c>
      <c r="D15" s="8">
        <v>4</v>
      </c>
    </row>
    <row r="16" spans="1:4" x14ac:dyDescent="0.25">
      <c r="A16" s="8" t="str">
        <f t="shared" si="0"/>
        <v>004</v>
      </c>
      <c r="B16" s="8" t="s">
        <v>69</v>
      </c>
      <c r="C16" s="8" t="s">
        <v>2861</v>
      </c>
      <c r="D16" s="8">
        <v>4</v>
      </c>
    </row>
    <row r="17" spans="1:4" x14ac:dyDescent="0.25">
      <c r="A17" s="8" t="str">
        <f t="shared" si="0"/>
        <v>005</v>
      </c>
      <c r="B17" s="8" t="s">
        <v>78</v>
      </c>
      <c r="C17" s="8" t="s">
        <v>2862</v>
      </c>
      <c r="D17" s="8">
        <v>4</v>
      </c>
    </row>
    <row r="18" spans="1:4" x14ac:dyDescent="0.25">
      <c r="A18" s="8" t="str">
        <f t="shared" si="0"/>
        <v>006</v>
      </c>
      <c r="B18" s="8" t="s">
        <v>80</v>
      </c>
      <c r="C18" s="8" t="s">
        <v>2863</v>
      </c>
      <c r="D18" s="8">
        <v>4</v>
      </c>
    </row>
    <row r="19" spans="1:4" x14ac:dyDescent="0.25">
      <c r="A19" s="8" t="str">
        <f t="shared" si="0"/>
        <v>007</v>
      </c>
      <c r="B19" s="8" t="s">
        <v>71</v>
      </c>
      <c r="C19" s="8" t="s">
        <v>2864</v>
      </c>
      <c r="D19" s="8">
        <v>4</v>
      </c>
    </row>
    <row r="20" spans="1:4" x14ac:dyDescent="0.25">
      <c r="A20" s="8" t="str">
        <f t="shared" si="0"/>
        <v>008</v>
      </c>
      <c r="B20" s="8" t="s">
        <v>271</v>
      </c>
      <c r="C20" s="8" t="s">
        <v>2865</v>
      </c>
      <c r="D20" s="8">
        <v>4</v>
      </c>
    </row>
    <row r="21" spans="1:4" x14ac:dyDescent="0.25">
      <c r="A21" s="8" t="str">
        <f t="shared" si="0"/>
        <v>009</v>
      </c>
      <c r="B21" s="8" t="s">
        <v>273</v>
      </c>
      <c r="C21" s="8" t="s">
        <v>2866</v>
      </c>
      <c r="D21" s="8">
        <v>4</v>
      </c>
    </row>
    <row r="22" spans="1:4" x14ac:dyDescent="0.25">
      <c r="A22" s="8" t="str">
        <f t="shared" si="0"/>
        <v>010</v>
      </c>
      <c r="B22" s="8" t="s">
        <v>61</v>
      </c>
      <c r="C22" s="8" t="s">
        <v>2867</v>
      </c>
      <c r="D22" s="8">
        <v>4</v>
      </c>
    </row>
    <row r="23" spans="1:4" x14ac:dyDescent="0.25">
      <c r="A23" s="8" t="str">
        <f t="shared" si="0"/>
        <v>000</v>
      </c>
      <c r="B23" s="8" t="s">
        <v>65</v>
      </c>
      <c r="C23" s="8" t="s">
        <v>66</v>
      </c>
      <c r="D23" s="8">
        <v>5</v>
      </c>
    </row>
    <row r="24" spans="1:4" x14ac:dyDescent="0.25">
      <c r="A24" s="8" t="str">
        <f t="shared" si="0"/>
        <v>001</v>
      </c>
      <c r="B24" s="8" t="s">
        <v>262</v>
      </c>
      <c r="C24" s="8" t="s">
        <v>2868</v>
      </c>
      <c r="D24" s="8">
        <v>5</v>
      </c>
    </row>
    <row r="25" spans="1:4" x14ac:dyDescent="0.25">
      <c r="A25" s="8" t="str">
        <f t="shared" si="0"/>
        <v>002</v>
      </c>
      <c r="B25" s="8" t="s">
        <v>264</v>
      </c>
      <c r="C25" s="8" t="s">
        <v>2869</v>
      </c>
      <c r="D25" s="8">
        <v>5</v>
      </c>
    </row>
    <row r="26" spans="1:4" x14ac:dyDescent="0.25">
      <c r="A26" s="8" t="str">
        <f t="shared" si="0"/>
        <v>003</v>
      </c>
      <c r="B26" s="8" t="s">
        <v>67</v>
      </c>
      <c r="C26" s="8" t="s">
        <v>2870</v>
      </c>
      <c r="D26" s="8">
        <v>5</v>
      </c>
    </row>
    <row r="27" spans="1:4" x14ac:dyDescent="0.25">
      <c r="A27" s="8" t="str">
        <f t="shared" si="0"/>
        <v>004</v>
      </c>
      <c r="B27" s="8" t="s">
        <v>69</v>
      </c>
      <c r="C27" s="8" t="s">
        <v>2871</v>
      </c>
      <c r="D27" s="8">
        <v>5</v>
      </c>
    </row>
    <row r="28" spans="1:4" x14ac:dyDescent="0.25">
      <c r="A28" s="8" t="str">
        <f t="shared" si="0"/>
        <v>005</v>
      </c>
      <c r="B28" s="8" t="s">
        <v>78</v>
      </c>
      <c r="C28" s="8" t="s">
        <v>2872</v>
      </c>
      <c r="D28" s="8">
        <v>5</v>
      </c>
    </row>
    <row r="29" spans="1:4" x14ac:dyDescent="0.25">
      <c r="A29" s="8" t="str">
        <f t="shared" si="0"/>
        <v>006</v>
      </c>
      <c r="B29" s="8" t="s">
        <v>80</v>
      </c>
      <c r="C29" s="8" t="s">
        <v>2873</v>
      </c>
      <c r="D29" s="8">
        <v>5</v>
      </c>
    </row>
    <row r="30" spans="1:4" x14ac:dyDescent="0.25">
      <c r="A30" s="8" t="str">
        <f t="shared" si="0"/>
        <v>007</v>
      </c>
      <c r="B30" s="8" t="s">
        <v>71</v>
      </c>
      <c r="C30" s="8" t="s">
        <v>2874</v>
      </c>
      <c r="D30" s="8">
        <v>5</v>
      </c>
    </row>
    <row r="31" spans="1:4" x14ac:dyDescent="0.25">
      <c r="A31" s="8" t="str">
        <f t="shared" si="0"/>
        <v>008</v>
      </c>
      <c r="B31" s="8" t="s">
        <v>271</v>
      </c>
      <c r="C31" s="8" t="s">
        <v>2875</v>
      </c>
      <c r="D31" s="8">
        <v>5</v>
      </c>
    </row>
    <row r="32" spans="1:4" x14ac:dyDescent="0.25">
      <c r="A32" s="8" t="str">
        <f t="shared" si="0"/>
        <v>009</v>
      </c>
      <c r="B32" s="8" t="s">
        <v>273</v>
      </c>
      <c r="C32" s="8" t="s">
        <v>2876</v>
      </c>
      <c r="D32" s="8">
        <v>5</v>
      </c>
    </row>
    <row r="33" spans="1:4" x14ac:dyDescent="0.25">
      <c r="A33" s="8" t="str">
        <f t="shared" si="0"/>
        <v>010</v>
      </c>
      <c r="B33" s="8" t="s">
        <v>61</v>
      </c>
      <c r="C33" s="8" t="s">
        <v>2877</v>
      </c>
      <c r="D33" s="8">
        <v>5</v>
      </c>
    </row>
    <row r="34" spans="1:4" x14ac:dyDescent="0.25">
      <c r="A34" s="8" t="str">
        <f t="shared" si="0"/>
        <v>000</v>
      </c>
      <c r="B34" s="8" t="s">
        <v>65</v>
      </c>
      <c r="C34" s="8" t="s">
        <v>2878</v>
      </c>
      <c r="D34" s="8">
        <v>6</v>
      </c>
    </row>
    <row r="35" spans="1:4" x14ac:dyDescent="0.25">
      <c r="A35" s="8" t="str">
        <f t="shared" si="0"/>
        <v>000</v>
      </c>
      <c r="B35" s="8" t="s">
        <v>65</v>
      </c>
      <c r="C35" s="8" t="s">
        <v>66</v>
      </c>
      <c r="D35" s="8">
        <v>7</v>
      </c>
    </row>
    <row r="36" spans="1:4" x14ac:dyDescent="0.25">
      <c r="A36" s="8" t="str">
        <f t="shared" si="0"/>
        <v>000</v>
      </c>
      <c r="B36" s="8" t="s">
        <v>65</v>
      </c>
      <c r="C36" s="8" t="s">
        <v>66</v>
      </c>
      <c r="D36" s="8">
        <v>8</v>
      </c>
    </row>
    <row r="37" spans="1:4" x14ac:dyDescent="0.25">
      <c r="A37" s="8" t="str">
        <f t="shared" si="0"/>
        <v>001</v>
      </c>
      <c r="B37" s="8" t="s">
        <v>262</v>
      </c>
      <c r="C37" s="8" t="s">
        <v>2879</v>
      </c>
      <c r="D37" s="8">
        <v>8</v>
      </c>
    </row>
    <row r="38" spans="1:4" x14ac:dyDescent="0.25">
      <c r="A38" s="8" t="str">
        <f t="shared" si="0"/>
        <v>002</v>
      </c>
      <c r="B38" s="8" t="s">
        <v>264</v>
      </c>
      <c r="C38" s="8" t="s">
        <v>2880</v>
      </c>
      <c r="D38" s="8">
        <v>8</v>
      </c>
    </row>
    <row r="39" spans="1:4" x14ac:dyDescent="0.25">
      <c r="A39" s="8" t="str">
        <f t="shared" si="0"/>
        <v>003</v>
      </c>
      <c r="B39" s="8" t="s">
        <v>67</v>
      </c>
      <c r="C39" s="8" t="s">
        <v>2881</v>
      </c>
      <c r="D39" s="8">
        <v>8</v>
      </c>
    </row>
    <row r="40" spans="1:4" x14ac:dyDescent="0.25">
      <c r="A40" s="8" t="str">
        <f t="shared" si="0"/>
        <v>004</v>
      </c>
      <c r="B40" s="8" t="s">
        <v>69</v>
      </c>
      <c r="C40" s="8" t="s">
        <v>2882</v>
      </c>
      <c r="D40" s="8">
        <v>8</v>
      </c>
    </row>
    <row r="41" spans="1:4" x14ac:dyDescent="0.25">
      <c r="A41" s="8" t="str">
        <f t="shared" si="0"/>
        <v>005</v>
      </c>
      <c r="B41" s="8" t="s">
        <v>78</v>
      </c>
      <c r="C41" s="8" t="s">
        <v>2883</v>
      </c>
      <c r="D41" s="8">
        <v>8</v>
      </c>
    </row>
    <row r="42" spans="1:4" x14ac:dyDescent="0.25">
      <c r="A42" s="8" t="str">
        <f t="shared" si="0"/>
        <v>000</v>
      </c>
      <c r="B42" s="8" t="s">
        <v>65</v>
      </c>
      <c r="C42" s="8" t="s">
        <v>66</v>
      </c>
      <c r="D42" s="8">
        <v>9</v>
      </c>
    </row>
    <row r="43" spans="1:4" x14ac:dyDescent="0.25">
      <c r="A43" s="8" t="str">
        <f t="shared" si="0"/>
        <v>001</v>
      </c>
      <c r="B43" s="8" t="s">
        <v>262</v>
      </c>
      <c r="C43" s="8" t="s">
        <v>2884</v>
      </c>
      <c r="D43" s="8">
        <v>9</v>
      </c>
    </row>
    <row r="44" spans="1:4" x14ac:dyDescent="0.25">
      <c r="A44" s="8" t="str">
        <f t="shared" si="0"/>
        <v>002</v>
      </c>
      <c r="B44" s="8" t="s">
        <v>264</v>
      </c>
      <c r="C44" s="8" t="s">
        <v>2885</v>
      </c>
      <c r="D44" s="8">
        <v>9</v>
      </c>
    </row>
    <row r="45" spans="1:4" x14ac:dyDescent="0.25">
      <c r="A45" s="8" t="str">
        <f t="shared" si="0"/>
        <v>003</v>
      </c>
      <c r="B45" s="8" t="s">
        <v>67</v>
      </c>
      <c r="C45" s="8" t="s">
        <v>2886</v>
      </c>
      <c r="D45" s="8">
        <v>9</v>
      </c>
    </row>
    <row r="46" spans="1:4" x14ac:dyDescent="0.25">
      <c r="A46" s="8" t="str">
        <f t="shared" si="0"/>
        <v>004</v>
      </c>
      <c r="B46" s="8" t="s">
        <v>69</v>
      </c>
      <c r="C46" s="8" t="s">
        <v>2887</v>
      </c>
      <c r="D46" s="8">
        <v>9</v>
      </c>
    </row>
    <row r="47" spans="1:4" x14ac:dyDescent="0.25">
      <c r="A47" s="8" t="str">
        <f t="shared" si="0"/>
        <v>005</v>
      </c>
      <c r="B47" s="8" t="s">
        <v>78</v>
      </c>
      <c r="C47" s="8" t="s">
        <v>2888</v>
      </c>
      <c r="D47" s="8">
        <v>9</v>
      </c>
    </row>
    <row r="48" spans="1:4" x14ac:dyDescent="0.25">
      <c r="A48" s="8" t="str">
        <f t="shared" si="0"/>
        <v>006</v>
      </c>
      <c r="B48" s="8" t="s">
        <v>80</v>
      </c>
      <c r="C48" s="8" t="s">
        <v>2889</v>
      </c>
      <c r="D48" s="8">
        <v>9</v>
      </c>
    </row>
    <row r="49" spans="1:4" x14ac:dyDescent="0.25">
      <c r="A49" s="8" t="str">
        <f t="shared" si="0"/>
        <v>007</v>
      </c>
      <c r="B49" s="8" t="s">
        <v>71</v>
      </c>
      <c r="C49" s="8" t="s">
        <v>2890</v>
      </c>
      <c r="D49" s="8">
        <v>9</v>
      </c>
    </row>
    <row r="50" spans="1:4" x14ac:dyDescent="0.25">
      <c r="A50" s="8" t="str">
        <f t="shared" si="0"/>
        <v>008</v>
      </c>
      <c r="B50" s="8" t="s">
        <v>271</v>
      </c>
      <c r="C50" s="8" t="s">
        <v>2891</v>
      </c>
      <c r="D50" s="8">
        <v>9</v>
      </c>
    </row>
    <row r="51" spans="1:4" x14ac:dyDescent="0.25">
      <c r="A51" s="8" t="str">
        <f t="shared" si="0"/>
        <v>009</v>
      </c>
      <c r="B51" s="8" t="s">
        <v>273</v>
      </c>
      <c r="C51" s="8" t="s">
        <v>2892</v>
      </c>
      <c r="D51" s="8">
        <v>9</v>
      </c>
    </row>
    <row r="52" spans="1:4" x14ac:dyDescent="0.25">
      <c r="A52" s="8" t="str">
        <f t="shared" si="0"/>
        <v>010</v>
      </c>
      <c r="B52" s="8" t="s">
        <v>61</v>
      </c>
      <c r="C52" s="8" t="s">
        <v>2893</v>
      </c>
      <c r="D52" s="8">
        <v>9</v>
      </c>
    </row>
    <row r="53" spans="1:4" x14ac:dyDescent="0.25">
      <c r="A53" s="8" t="str">
        <f t="shared" si="0"/>
        <v>000</v>
      </c>
      <c r="B53" s="8" t="s">
        <v>65</v>
      </c>
      <c r="C53" s="8" t="s">
        <v>66</v>
      </c>
      <c r="D53" s="8">
        <v>10</v>
      </c>
    </row>
    <row r="54" spans="1:4" x14ac:dyDescent="0.25">
      <c r="A54" s="8" t="str">
        <f t="shared" si="0"/>
        <v>001</v>
      </c>
      <c r="B54" s="8" t="s">
        <v>262</v>
      </c>
      <c r="C54" s="8" t="s">
        <v>2894</v>
      </c>
      <c r="D54" s="8">
        <v>10</v>
      </c>
    </row>
    <row r="55" spans="1:4" x14ac:dyDescent="0.25">
      <c r="A55" s="8" t="str">
        <f t="shared" si="0"/>
        <v>002</v>
      </c>
      <c r="B55" s="8" t="s">
        <v>264</v>
      </c>
      <c r="C55" s="8" t="s">
        <v>2895</v>
      </c>
      <c r="D55" s="8">
        <v>10</v>
      </c>
    </row>
    <row r="56" spans="1:4" x14ac:dyDescent="0.25">
      <c r="A56" s="8" t="str">
        <f t="shared" si="0"/>
        <v>003</v>
      </c>
      <c r="B56" s="8" t="s">
        <v>67</v>
      </c>
      <c r="C56" s="8" t="s">
        <v>2896</v>
      </c>
      <c r="D56" s="8">
        <v>10</v>
      </c>
    </row>
    <row r="57" spans="1:4" x14ac:dyDescent="0.25">
      <c r="A57" s="8" t="str">
        <f t="shared" si="0"/>
        <v>004</v>
      </c>
      <c r="B57" s="8" t="s">
        <v>69</v>
      </c>
      <c r="C57" s="8" t="s">
        <v>2897</v>
      </c>
      <c r="D57" s="8">
        <v>10</v>
      </c>
    </row>
    <row r="58" spans="1:4" x14ac:dyDescent="0.25">
      <c r="A58" s="8" t="str">
        <f t="shared" si="0"/>
        <v>005</v>
      </c>
      <c r="B58" s="8" t="s">
        <v>78</v>
      </c>
      <c r="C58" s="8" t="s">
        <v>2898</v>
      </c>
      <c r="D58" s="8">
        <v>10</v>
      </c>
    </row>
    <row r="59" spans="1:4" x14ac:dyDescent="0.25">
      <c r="A59" s="8" t="str">
        <f t="shared" si="0"/>
        <v>101</v>
      </c>
      <c r="B59" s="8">
        <v>101</v>
      </c>
      <c r="C59" s="8" t="s">
        <v>2899</v>
      </c>
      <c r="D59" s="8">
        <v>10</v>
      </c>
    </row>
    <row r="60" spans="1:4" x14ac:dyDescent="0.25">
      <c r="A60" s="8" t="str">
        <f t="shared" si="0"/>
        <v>006</v>
      </c>
      <c r="B60" s="8" t="s">
        <v>80</v>
      </c>
      <c r="C60" s="8" t="s">
        <v>2900</v>
      </c>
      <c r="D60" s="8">
        <v>10</v>
      </c>
    </row>
    <row r="61" spans="1:4" x14ac:dyDescent="0.25">
      <c r="A61" s="8" t="str">
        <f t="shared" si="0"/>
        <v>000</v>
      </c>
      <c r="B61" s="8" t="s">
        <v>65</v>
      </c>
      <c r="C61" s="8" t="s">
        <v>66</v>
      </c>
      <c r="D61" s="8">
        <v>11</v>
      </c>
    </row>
    <row r="62" spans="1:4" x14ac:dyDescent="0.25">
      <c r="A62" s="8" t="str">
        <f t="shared" si="0"/>
        <v>001</v>
      </c>
      <c r="B62" s="8" t="s">
        <v>262</v>
      </c>
      <c r="C62" s="8" t="s">
        <v>2901</v>
      </c>
      <c r="D62" s="8">
        <v>11</v>
      </c>
    </row>
    <row r="63" spans="1:4" x14ac:dyDescent="0.25">
      <c r="A63" s="8" t="str">
        <f t="shared" si="0"/>
        <v>002</v>
      </c>
      <c r="B63" s="8" t="s">
        <v>264</v>
      </c>
      <c r="C63" s="8" t="s">
        <v>2902</v>
      </c>
      <c r="D63" s="8">
        <v>11</v>
      </c>
    </row>
    <row r="64" spans="1:4" x14ac:dyDescent="0.25">
      <c r="A64" s="8" t="str">
        <f t="shared" si="0"/>
        <v>003</v>
      </c>
      <c r="B64" s="8" t="s">
        <v>67</v>
      </c>
      <c r="C64" s="8" t="s">
        <v>2903</v>
      </c>
      <c r="D64" s="8">
        <v>11</v>
      </c>
    </row>
    <row r="65" spans="1:4" x14ac:dyDescent="0.25">
      <c r="A65" s="8" t="str">
        <f t="shared" si="0"/>
        <v>004</v>
      </c>
      <c r="B65" s="8" t="s">
        <v>69</v>
      </c>
      <c r="C65" s="8" t="s">
        <v>2904</v>
      </c>
      <c r="D65" s="8">
        <v>11</v>
      </c>
    </row>
    <row r="66" spans="1:4" x14ac:dyDescent="0.25">
      <c r="A66" s="8" t="str">
        <f t="shared" si="0"/>
        <v>005</v>
      </c>
      <c r="B66" s="8" t="s">
        <v>78</v>
      </c>
      <c r="C66" s="8" t="s">
        <v>2905</v>
      </c>
      <c r="D66" s="8">
        <v>11</v>
      </c>
    </row>
    <row r="67" spans="1:4" x14ac:dyDescent="0.25">
      <c r="A67" s="8" t="str">
        <f t="shared" ref="A67:A130" si="1">TEXT(B67,"000")</f>
        <v>006</v>
      </c>
      <c r="B67" s="8" t="s">
        <v>80</v>
      </c>
      <c r="C67" s="8" t="s">
        <v>2906</v>
      </c>
      <c r="D67" s="8">
        <v>11</v>
      </c>
    </row>
    <row r="68" spans="1:4" x14ac:dyDescent="0.25">
      <c r="A68" s="8" t="str">
        <f t="shared" si="1"/>
        <v>000</v>
      </c>
      <c r="B68" s="8" t="s">
        <v>65</v>
      </c>
      <c r="C68" s="8" t="s">
        <v>66</v>
      </c>
      <c r="D68" s="8">
        <v>12</v>
      </c>
    </row>
    <row r="69" spans="1:4" x14ac:dyDescent="0.25">
      <c r="A69" s="8" t="str">
        <f t="shared" si="1"/>
        <v>001</v>
      </c>
      <c r="B69" s="8" t="s">
        <v>262</v>
      </c>
      <c r="C69" s="8" t="s">
        <v>2907</v>
      </c>
      <c r="D69" s="8">
        <v>12</v>
      </c>
    </row>
    <row r="70" spans="1:4" x14ac:dyDescent="0.25">
      <c r="A70" s="8" t="str">
        <f t="shared" si="1"/>
        <v>002</v>
      </c>
      <c r="B70" s="8" t="s">
        <v>264</v>
      </c>
      <c r="C70" s="8" t="s">
        <v>2908</v>
      </c>
      <c r="D70" s="8">
        <v>12</v>
      </c>
    </row>
    <row r="71" spans="1:4" x14ac:dyDescent="0.25">
      <c r="A71" s="8" t="str">
        <f t="shared" si="1"/>
        <v>003</v>
      </c>
      <c r="B71" s="8" t="s">
        <v>67</v>
      </c>
      <c r="C71" s="8" t="s">
        <v>2909</v>
      </c>
      <c r="D71" s="8">
        <v>12</v>
      </c>
    </row>
    <row r="72" spans="1:4" x14ac:dyDescent="0.25">
      <c r="A72" s="8" t="str">
        <f t="shared" si="1"/>
        <v>004</v>
      </c>
      <c r="B72" s="8" t="s">
        <v>69</v>
      </c>
      <c r="C72" s="8" t="s">
        <v>2910</v>
      </c>
      <c r="D72" s="8">
        <v>12</v>
      </c>
    </row>
    <row r="73" spans="1:4" x14ac:dyDescent="0.25">
      <c r="A73" s="8" t="str">
        <f t="shared" si="1"/>
        <v>005</v>
      </c>
      <c r="B73" s="8" t="s">
        <v>78</v>
      </c>
      <c r="C73" s="8" t="s">
        <v>2911</v>
      </c>
      <c r="D73" s="8">
        <v>12</v>
      </c>
    </row>
    <row r="74" spans="1:4" x14ac:dyDescent="0.25">
      <c r="A74" s="8" t="str">
        <f t="shared" si="1"/>
        <v>000</v>
      </c>
      <c r="B74" s="8" t="s">
        <v>65</v>
      </c>
      <c r="C74" s="8" t="s">
        <v>66</v>
      </c>
      <c r="D74" s="8">
        <v>13</v>
      </c>
    </row>
    <row r="75" spans="1:4" x14ac:dyDescent="0.25">
      <c r="A75" s="8" t="str">
        <f t="shared" si="1"/>
        <v>001</v>
      </c>
      <c r="B75" s="8" t="s">
        <v>262</v>
      </c>
      <c r="C75" s="8">
        <v>2910575</v>
      </c>
      <c r="D75" s="8">
        <v>13</v>
      </c>
    </row>
    <row r="76" spans="1:4" x14ac:dyDescent="0.25">
      <c r="A76" s="8" t="str">
        <f t="shared" si="1"/>
        <v>002</v>
      </c>
      <c r="B76" s="8" t="s">
        <v>264</v>
      </c>
      <c r="C76" s="8">
        <v>1086590</v>
      </c>
      <c r="D76" s="8">
        <v>13</v>
      </c>
    </row>
    <row r="77" spans="1:4" x14ac:dyDescent="0.25">
      <c r="A77" s="8" t="str">
        <f t="shared" si="1"/>
        <v>003</v>
      </c>
      <c r="B77" s="8" t="s">
        <v>67</v>
      </c>
      <c r="C77" s="8" t="s">
        <v>2912</v>
      </c>
      <c r="D77" s="8">
        <v>13</v>
      </c>
    </row>
    <row r="78" spans="1:4" x14ac:dyDescent="0.25">
      <c r="A78" s="8" t="str">
        <f t="shared" si="1"/>
        <v>004</v>
      </c>
      <c r="B78" s="8" t="s">
        <v>69</v>
      </c>
      <c r="C78" s="8" t="s">
        <v>2913</v>
      </c>
      <c r="D78" s="8">
        <v>13</v>
      </c>
    </row>
    <row r="79" spans="1:4" x14ac:dyDescent="0.25">
      <c r="A79" s="8" t="str">
        <f t="shared" si="1"/>
        <v>005</v>
      </c>
      <c r="B79" s="8" t="s">
        <v>78</v>
      </c>
      <c r="C79" s="8" t="s">
        <v>2914</v>
      </c>
      <c r="D79" s="8">
        <v>13</v>
      </c>
    </row>
    <row r="80" spans="1:4" x14ac:dyDescent="0.25">
      <c r="A80" s="8" t="str">
        <f t="shared" si="1"/>
        <v>006</v>
      </c>
      <c r="B80" s="8" t="s">
        <v>80</v>
      </c>
      <c r="C80" s="8" t="s">
        <v>2915</v>
      </c>
      <c r="D80" s="8">
        <v>13</v>
      </c>
    </row>
    <row r="81" spans="1:4" x14ac:dyDescent="0.25">
      <c r="A81" s="8" t="str">
        <f t="shared" si="1"/>
        <v>007</v>
      </c>
      <c r="B81" s="8" t="s">
        <v>71</v>
      </c>
      <c r="C81" s="8" t="s">
        <v>2916</v>
      </c>
      <c r="D81" s="8">
        <v>13</v>
      </c>
    </row>
    <row r="82" spans="1:4" x14ac:dyDescent="0.25">
      <c r="A82" s="8" t="str">
        <f t="shared" si="1"/>
        <v>008</v>
      </c>
      <c r="B82" s="8" t="s">
        <v>271</v>
      </c>
      <c r="C82" s="8" t="s">
        <v>2917</v>
      </c>
      <c r="D82" s="8">
        <v>13</v>
      </c>
    </row>
    <row r="83" spans="1:4" x14ac:dyDescent="0.25">
      <c r="A83" s="8" t="str">
        <f t="shared" si="1"/>
        <v>009</v>
      </c>
      <c r="B83" s="8" t="s">
        <v>273</v>
      </c>
      <c r="C83" s="8" t="s">
        <v>2918</v>
      </c>
      <c r="D83" s="8">
        <v>13</v>
      </c>
    </row>
    <row r="84" spans="1:4" x14ac:dyDescent="0.25">
      <c r="A84" s="8" t="str">
        <f t="shared" si="1"/>
        <v>010</v>
      </c>
      <c r="B84" s="8" t="s">
        <v>61</v>
      </c>
      <c r="C84" s="8" t="s">
        <v>2919</v>
      </c>
      <c r="D84" s="8">
        <v>13</v>
      </c>
    </row>
    <row r="85" spans="1:4" x14ac:dyDescent="0.25">
      <c r="A85" s="8" t="str">
        <f t="shared" si="1"/>
        <v>011</v>
      </c>
      <c r="B85" s="8" t="s">
        <v>74</v>
      </c>
      <c r="C85" s="8" t="s">
        <v>2920</v>
      </c>
      <c r="D85" s="8">
        <v>13</v>
      </c>
    </row>
    <row r="86" spans="1:4" x14ac:dyDescent="0.25">
      <c r="A86" s="8" t="str">
        <f t="shared" si="1"/>
        <v>012</v>
      </c>
      <c r="B86" s="8" t="s">
        <v>76</v>
      </c>
      <c r="C86" s="8" t="s">
        <v>2921</v>
      </c>
      <c r="D86" s="8">
        <v>13</v>
      </c>
    </row>
    <row r="87" spans="1:4" x14ac:dyDescent="0.25">
      <c r="A87" s="8" t="str">
        <f t="shared" si="1"/>
        <v>013</v>
      </c>
      <c r="B87" s="8" t="s">
        <v>278</v>
      </c>
      <c r="C87" s="8" t="s">
        <v>2922</v>
      </c>
      <c r="D87" s="8">
        <v>13</v>
      </c>
    </row>
    <row r="88" spans="1:4" x14ac:dyDescent="0.25">
      <c r="A88" s="8" t="str">
        <f t="shared" si="1"/>
        <v>014</v>
      </c>
      <c r="B88" s="8" t="s">
        <v>280</v>
      </c>
      <c r="C88" s="8" t="s">
        <v>2923</v>
      </c>
      <c r="D88" s="8">
        <v>13</v>
      </c>
    </row>
    <row r="89" spans="1:4" x14ac:dyDescent="0.25">
      <c r="A89" s="8" t="str">
        <f t="shared" si="1"/>
        <v>015</v>
      </c>
      <c r="B89" s="8" t="s">
        <v>346</v>
      </c>
      <c r="C89" s="8" t="s">
        <v>2924</v>
      </c>
      <c r="D89" s="8">
        <v>13</v>
      </c>
    </row>
    <row r="90" spans="1:4" x14ac:dyDescent="0.25">
      <c r="A90" s="8" t="str">
        <f t="shared" si="1"/>
        <v>016</v>
      </c>
      <c r="B90" s="8" t="s">
        <v>82</v>
      </c>
      <c r="C90" s="8" t="s">
        <v>2925</v>
      </c>
      <c r="D90" s="8">
        <v>13</v>
      </c>
    </row>
    <row r="91" spans="1:4" x14ac:dyDescent="0.25">
      <c r="A91" s="8" t="str">
        <f t="shared" si="1"/>
        <v>017</v>
      </c>
      <c r="B91" s="8" t="s">
        <v>349</v>
      </c>
      <c r="C91" s="8" t="s">
        <v>2926</v>
      </c>
      <c r="D91" s="8">
        <v>13</v>
      </c>
    </row>
    <row r="92" spans="1:4" x14ac:dyDescent="0.25">
      <c r="A92" s="8" t="str">
        <f t="shared" si="1"/>
        <v>018</v>
      </c>
      <c r="B92" s="8" t="s">
        <v>351</v>
      </c>
      <c r="C92" s="8" t="s">
        <v>2927</v>
      </c>
      <c r="D92" s="8">
        <v>13</v>
      </c>
    </row>
    <row r="93" spans="1:4" x14ac:dyDescent="0.25">
      <c r="A93" s="8" t="str">
        <f t="shared" si="1"/>
        <v>019</v>
      </c>
      <c r="B93" s="8" t="s">
        <v>353</v>
      </c>
      <c r="C93" s="8" t="s">
        <v>2928</v>
      </c>
      <c r="D93" s="8">
        <v>13</v>
      </c>
    </row>
    <row r="94" spans="1:4" x14ac:dyDescent="0.25">
      <c r="A94" s="8" t="str">
        <f t="shared" si="1"/>
        <v>020</v>
      </c>
      <c r="B94" s="8" t="s">
        <v>63</v>
      </c>
      <c r="C94" s="8" t="s">
        <v>2602</v>
      </c>
      <c r="D94" s="8">
        <v>13</v>
      </c>
    </row>
    <row r="95" spans="1:4" x14ac:dyDescent="0.25">
      <c r="A95" s="8" t="str">
        <f t="shared" si="1"/>
        <v>021</v>
      </c>
      <c r="B95" s="8" t="s">
        <v>356</v>
      </c>
      <c r="C95" s="8" t="s">
        <v>2929</v>
      </c>
      <c r="D95" s="8">
        <v>13</v>
      </c>
    </row>
    <row r="96" spans="1:4" x14ac:dyDescent="0.25">
      <c r="A96" s="8" t="str">
        <f t="shared" si="1"/>
        <v>022</v>
      </c>
      <c r="B96" s="8" t="s">
        <v>358</v>
      </c>
      <c r="C96" s="8" t="s">
        <v>2930</v>
      </c>
      <c r="D96" s="8">
        <v>13</v>
      </c>
    </row>
    <row r="97" spans="1:4" x14ac:dyDescent="0.25">
      <c r="A97" s="8" t="str">
        <f t="shared" si="1"/>
        <v>023</v>
      </c>
      <c r="B97" s="8" t="s">
        <v>360</v>
      </c>
      <c r="C97" s="8" t="s">
        <v>2931</v>
      </c>
      <c r="D97" s="8">
        <v>13</v>
      </c>
    </row>
    <row r="98" spans="1:4" x14ac:dyDescent="0.25">
      <c r="A98" s="8" t="str">
        <f t="shared" si="1"/>
        <v>024</v>
      </c>
      <c r="B98" s="8" t="s">
        <v>362</v>
      </c>
      <c r="C98" s="8" t="s">
        <v>2932</v>
      </c>
      <c r="D98" s="8">
        <v>13</v>
      </c>
    </row>
    <row r="99" spans="1:4" x14ac:dyDescent="0.25">
      <c r="A99" s="8" t="str">
        <f t="shared" si="1"/>
        <v>025</v>
      </c>
      <c r="B99" s="8" t="s">
        <v>84</v>
      </c>
      <c r="C99" s="8" t="s">
        <v>2933</v>
      </c>
      <c r="D99" s="8">
        <v>13</v>
      </c>
    </row>
    <row r="100" spans="1:4" x14ac:dyDescent="0.25">
      <c r="A100" s="8" t="str">
        <f t="shared" si="1"/>
        <v>026</v>
      </c>
      <c r="B100" s="8" t="s">
        <v>365</v>
      </c>
      <c r="C100" s="8" t="s">
        <v>2934</v>
      </c>
      <c r="D100" s="8">
        <v>13</v>
      </c>
    </row>
    <row r="101" spans="1:4" x14ac:dyDescent="0.25">
      <c r="A101" s="8" t="str">
        <f t="shared" si="1"/>
        <v>027</v>
      </c>
      <c r="B101" s="8" t="s">
        <v>367</v>
      </c>
      <c r="C101" s="8" t="s">
        <v>2935</v>
      </c>
      <c r="D101" s="8">
        <v>13</v>
      </c>
    </row>
    <row r="102" spans="1:4" x14ac:dyDescent="0.25">
      <c r="A102" s="8" t="str">
        <f t="shared" si="1"/>
        <v>028</v>
      </c>
      <c r="B102" s="8" t="s">
        <v>369</v>
      </c>
      <c r="C102" s="8" t="s">
        <v>2936</v>
      </c>
      <c r="D102" s="8">
        <v>13</v>
      </c>
    </row>
    <row r="103" spans="1:4" x14ac:dyDescent="0.25">
      <c r="A103" s="8" t="str">
        <f t="shared" si="1"/>
        <v>029</v>
      </c>
      <c r="B103" s="8" t="s">
        <v>371</v>
      </c>
      <c r="C103" s="8" t="s">
        <v>2937</v>
      </c>
      <c r="D103" s="8">
        <v>13</v>
      </c>
    </row>
    <row r="104" spans="1:4" x14ac:dyDescent="0.25">
      <c r="A104" s="8" t="str">
        <f t="shared" si="1"/>
        <v>030</v>
      </c>
      <c r="B104" s="8" t="s">
        <v>373</v>
      </c>
      <c r="C104" s="8" t="s">
        <v>2938</v>
      </c>
      <c r="D104" s="8">
        <v>13</v>
      </c>
    </row>
    <row r="105" spans="1:4" x14ac:dyDescent="0.25">
      <c r="A105" s="8" t="str">
        <f t="shared" si="1"/>
        <v>031</v>
      </c>
      <c r="B105" s="8" t="s">
        <v>375</v>
      </c>
      <c r="C105" s="8" t="s">
        <v>2939</v>
      </c>
      <c r="D105" s="8">
        <v>13</v>
      </c>
    </row>
    <row r="106" spans="1:4" x14ac:dyDescent="0.25">
      <c r="A106" s="8" t="str">
        <f t="shared" si="1"/>
        <v>032</v>
      </c>
      <c r="B106" s="8" t="s">
        <v>377</v>
      </c>
      <c r="C106" s="8" t="s">
        <v>2940</v>
      </c>
      <c r="D106" s="8">
        <v>13</v>
      </c>
    </row>
    <row r="107" spans="1:4" x14ac:dyDescent="0.25">
      <c r="A107" s="8" t="str">
        <f t="shared" si="1"/>
        <v>033</v>
      </c>
      <c r="B107" s="8" t="s">
        <v>379</v>
      </c>
      <c r="C107" s="8" t="s">
        <v>2941</v>
      </c>
      <c r="D107" s="8">
        <v>13</v>
      </c>
    </row>
    <row r="108" spans="1:4" x14ac:dyDescent="0.25">
      <c r="A108" s="8" t="str">
        <f t="shared" si="1"/>
        <v>034</v>
      </c>
      <c r="B108" s="8" t="s">
        <v>381</v>
      </c>
      <c r="C108" s="8" t="s">
        <v>2942</v>
      </c>
      <c r="D108" s="8">
        <v>13</v>
      </c>
    </row>
    <row r="109" spans="1:4" x14ac:dyDescent="0.25">
      <c r="A109" s="8" t="str">
        <f t="shared" si="1"/>
        <v>035</v>
      </c>
      <c r="B109" s="8" t="s">
        <v>383</v>
      </c>
      <c r="C109" s="8" t="s">
        <v>2943</v>
      </c>
      <c r="D109" s="8">
        <v>13</v>
      </c>
    </row>
    <row r="110" spans="1:4" x14ac:dyDescent="0.25">
      <c r="A110" s="8" t="str">
        <f t="shared" si="1"/>
        <v>036</v>
      </c>
      <c r="B110" s="8" t="s">
        <v>385</v>
      </c>
      <c r="C110" s="8" t="s">
        <v>2944</v>
      </c>
      <c r="D110" s="8">
        <v>13</v>
      </c>
    </row>
    <row r="111" spans="1:4" x14ac:dyDescent="0.25">
      <c r="A111" s="8" t="str">
        <f t="shared" si="1"/>
        <v>037</v>
      </c>
      <c r="B111" s="8" t="s">
        <v>387</v>
      </c>
      <c r="C111" s="8" t="s">
        <v>2945</v>
      </c>
      <c r="D111" s="8">
        <v>13</v>
      </c>
    </row>
    <row r="112" spans="1:4" x14ac:dyDescent="0.25">
      <c r="A112" s="8" t="str">
        <f t="shared" si="1"/>
        <v>038</v>
      </c>
      <c r="B112" s="8" t="s">
        <v>389</v>
      </c>
      <c r="C112" s="8" t="s">
        <v>2946</v>
      </c>
      <c r="D112" s="8">
        <v>13</v>
      </c>
    </row>
    <row r="113" spans="1:4" x14ac:dyDescent="0.25">
      <c r="A113" s="8" t="str">
        <f t="shared" si="1"/>
        <v>039</v>
      </c>
      <c r="B113" s="8" t="s">
        <v>391</v>
      </c>
      <c r="C113" s="8" t="s">
        <v>2947</v>
      </c>
      <c r="D113" s="8">
        <v>13</v>
      </c>
    </row>
    <row r="114" spans="1:4" x14ac:dyDescent="0.25">
      <c r="A114" s="8" t="str">
        <f t="shared" si="1"/>
        <v>040</v>
      </c>
      <c r="B114" s="8" t="s">
        <v>86</v>
      </c>
      <c r="C114" s="8" t="s">
        <v>2948</v>
      </c>
      <c r="D114" s="8">
        <v>13</v>
      </c>
    </row>
    <row r="115" spans="1:4" x14ac:dyDescent="0.25">
      <c r="A115" s="8" t="str">
        <f t="shared" si="1"/>
        <v>041</v>
      </c>
      <c r="B115" s="8" t="s">
        <v>394</v>
      </c>
      <c r="C115" s="8" t="s">
        <v>2949</v>
      </c>
      <c r="D115" s="8">
        <v>13</v>
      </c>
    </row>
    <row r="116" spans="1:4" x14ac:dyDescent="0.25">
      <c r="A116" s="8" t="str">
        <f t="shared" si="1"/>
        <v>042</v>
      </c>
      <c r="B116" s="8" t="s">
        <v>782</v>
      </c>
      <c r="C116" s="8" t="s">
        <v>2950</v>
      </c>
      <c r="D116" s="8">
        <v>13</v>
      </c>
    </row>
    <row r="117" spans="1:4" x14ac:dyDescent="0.25">
      <c r="A117" s="8" t="str">
        <f t="shared" si="1"/>
        <v>000</v>
      </c>
      <c r="B117" s="8" t="s">
        <v>65</v>
      </c>
      <c r="C117" s="8" t="s">
        <v>66</v>
      </c>
      <c r="D117" s="8">
        <v>14</v>
      </c>
    </row>
    <row r="118" spans="1:4" x14ac:dyDescent="0.25">
      <c r="A118" s="8" t="str">
        <f t="shared" si="1"/>
        <v>001</v>
      </c>
      <c r="B118" s="8" t="s">
        <v>262</v>
      </c>
      <c r="C118" s="8" t="s">
        <v>2951</v>
      </c>
      <c r="D118" s="8">
        <v>14</v>
      </c>
    </row>
    <row r="119" spans="1:4" x14ac:dyDescent="0.25">
      <c r="A119" s="8" t="str">
        <f t="shared" si="1"/>
        <v>002</v>
      </c>
      <c r="B119" s="8" t="s">
        <v>264</v>
      </c>
      <c r="C119" s="8" t="s">
        <v>2952</v>
      </c>
      <c r="D119" s="8">
        <v>14</v>
      </c>
    </row>
    <row r="120" spans="1:4" x14ac:dyDescent="0.25">
      <c r="A120" s="8" t="str">
        <f t="shared" si="1"/>
        <v>003</v>
      </c>
      <c r="B120" s="8" t="s">
        <v>67</v>
      </c>
      <c r="C120" s="8" t="s">
        <v>2953</v>
      </c>
      <c r="D120" s="8">
        <v>14</v>
      </c>
    </row>
    <row r="121" spans="1:4" x14ac:dyDescent="0.25">
      <c r="A121" s="8" t="str">
        <f t="shared" si="1"/>
        <v>004</v>
      </c>
      <c r="B121" s="8" t="s">
        <v>69</v>
      </c>
      <c r="C121" s="8" t="s">
        <v>2954</v>
      </c>
      <c r="D121" s="8">
        <v>14</v>
      </c>
    </row>
    <row r="122" spans="1:4" x14ac:dyDescent="0.25">
      <c r="A122" s="8" t="str">
        <f t="shared" si="1"/>
        <v>005</v>
      </c>
      <c r="B122" s="8" t="s">
        <v>78</v>
      </c>
      <c r="C122" s="8" t="s">
        <v>2955</v>
      </c>
      <c r="D122" s="8">
        <v>14</v>
      </c>
    </row>
    <row r="123" spans="1:4" x14ac:dyDescent="0.25">
      <c r="A123" s="8" t="str">
        <f t="shared" si="1"/>
        <v>006</v>
      </c>
      <c r="B123" s="8" t="s">
        <v>80</v>
      </c>
      <c r="C123" s="8" t="s">
        <v>2956</v>
      </c>
      <c r="D123" s="8">
        <v>14</v>
      </c>
    </row>
    <row r="124" spans="1:4" x14ac:dyDescent="0.25">
      <c r="A124" s="8" t="str">
        <f t="shared" si="1"/>
        <v>007</v>
      </c>
      <c r="B124" s="8" t="s">
        <v>71</v>
      </c>
      <c r="C124" s="8" t="s">
        <v>2957</v>
      </c>
      <c r="D124" s="8">
        <v>14</v>
      </c>
    </row>
    <row r="125" spans="1:4" x14ac:dyDescent="0.25">
      <c r="A125" s="8" t="str">
        <f t="shared" si="1"/>
        <v>008</v>
      </c>
      <c r="B125" s="8" t="s">
        <v>271</v>
      </c>
      <c r="C125" s="8" t="s">
        <v>2958</v>
      </c>
      <c r="D125" s="8">
        <v>14</v>
      </c>
    </row>
    <row r="126" spans="1:4" x14ac:dyDescent="0.25">
      <c r="A126" s="8" t="str">
        <f t="shared" si="1"/>
        <v>009</v>
      </c>
      <c r="B126" s="8" t="s">
        <v>273</v>
      </c>
      <c r="C126" s="8" t="s">
        <v>2959</v>
      </c>
      <c r="D126" s="8">
        <v>14</v>
      </c>
    </row>
    <row r="127" spans="1:4" x14ac:dyDescent="0.25">
      <c r="A127" s="8" t="str">
        <f t="shared" si="1"/>
        <v>010</v>
      </c>
      <c r="B127" s="8" t="s">
        <v>61</v>
      </c>
      <c r="C127" s="8" t="s">
        <v>2960</v>
      </c>
      <c r="D127" s="8">
        <v>14</v>
      </c>
    </row>
    <row r="128" spans="1:4" x14ac:dyDescent="0.25">
      <c r="A128" s="8" t="str">
        <f t="shared" si="1"/>
        <v>011</v>
      </c>
      <c r="B128" s="8" t="s">
        <v>74</v>
      </c>
      <c r="C128" s="8" t="s">
        <v>2337</v>
      </c>
      <c r="D128" s="8">
        <v>14</v>
      </c>
    </row>
    <row r="129" spans="1:4" x14ac:dyDescent="0.25">
      <c r="A129" s="8" t="str">
        <f t="shared" si="1"/>
        <v>012</v>
      </c>
      <c r="B129" s="8" t="s">
        <v>76</v>
      </c>
      <c r="C129" s="8" t="s">
        <v>2961</v>
      </c>
      <c r="D129" s="8">
        <v>14</v>
      </c>
    </row>
    <row r="130" spans="1:4" x14ac:dyDescent="0.25">
      <c r="A130" s="8" t="str">
        <f t="shared" si="1"/>
        <v>013</v>
      </c>
      <c r="B130" s="8" t="s">
        <v>278</v>
      </c>
      <c r="C130" s="8" t="s">
        <v>2962</v>
      </c>
      <c r="D130" s="8">
        <v>14</v>
      </c>
    </row>
    <row r="131" spans="1:4" x14ac:dyDescent="0.25">
      <c r="A131" s="8" t="str">
        <f t="shared" ref="A131:A194" si="2">TEXT(B131,"000")</f>
        <v>014</v>
      </c>
      <c r="B131" s="8" t="s">
        <v>280</v>
      </c>
      <c r="C131" s="8" t="s">
        <v>2963</v>
      </c>
      <c r="D131" s="8">
        <v>14</v>
      </c>
    </row>
    <row r="132" spans="1:4" x14ac:dyDescent="0.25">
      <c r="A132" s="8" t="str">
        <f t="shared" si="2"/>
        <v>015</v>
      </c>
      <c r="B132" s="8" t="s">
        <v>346</v>
      </c>
      <c r="C132" s="8" t="s">
        <v>2964</v>
      </c>
      <c r="D132" s="8">
        <v>14</v>
      </c>
    </row>
    <row r="133" spans="1:4" x14ac:dyDescent="0.25">
      <c r="A133" s="8" t="str">
        <f t="shared" si="2"/>
        <v>016</v>
      </c>
      <c r="B133" s="8" t="s">
        <v>82</v>
      </c>
      <c r="C133" s="8" t="s">
        <v>2965</v>
      </c>
      <c r="D133" s="8">
        <v>14</v>
      </c>
    </row>
    <row r="134" spans="1:4" x14ac:dyDescent="0.25">
      <c r="A134" s="8" t="str">
        <f t="shared" si="2"/>
        <v>017</v>
      </c>
      <c r="B134" s="8" t="s">
        <v>349</v>
      </c>
      <c r="C134" s="8" t="s">
        <v>2966</v>
      </c>
      <c r="D134" s="8">
        <v>14</v>
      </c>
    </row>
    <row r="135" spans="1:4" x14ac:dyDescent="0.25">
      <c r="A135" s="8" t="str">
        <f t="shared" si="2"/>
        <v>018</v>
      </c>
      <c r="B135" s="8" t="s">
        <v>351</v>
      </c>
      <c r="C135" s="8" t="s">
        <v>2967</v>
      </c>
      <c r="D135" s="8">
        <v>14</v>
      </c>
    </row>
    <row r="136" spans="1:4" x14ac:dyDescent="0.25">
      <c r="A136" s="8" t="str">
        <f t="shared" si="2"/>
        <v>019</v>
      </c>
      <c r="B136" s="8" t="s">
        <v>353</v>
      </c>
      <c r="C136" s="8" t="s">
        <v>2968</v>
      </c>
      <c r="D136" s="8">
        <v>14</v>
      </c>
    </row>
    <row r="137" spans="1:4" x14ac:dyDescent="0.25">
      <c r="A137" s="8" t="str">
        <f t="shared" si="2"/>
        <v>020</v>
      </c>
      <c r="B137" s="8" t="s">
        <v>63</v>
      </c>
      <c r="C137" s="8" t="s">
        <v>2969</v>
      </c>
      <c r="D137" s="8">
        <v>14</v>
      </c>
    </row>
    <row r="138" spans="1:4" x14ac:dyDescent="0.25">
      <c r="A138" s="8" t="str">
        <f t="shared" si="2"/>
        <v>021</v>
      </c>
      <c r="B138" s="8" t="s">
        <v>356</v>
      </c>
      <c r="C138" s="8" t="s">
        <v>2970</v>
      </c>
      <c r="D138" s="8">
        <v>14</v>
      </c>
    </row>
    <row r="139" spans="1:4" x14ac:dyDescent="0.25">
      <c r="A139" s="8" t="str">
        <f t="shared" si="2"/>
        <v>022</v>
      </c>
      <c r="B139" s="8" t="s">
        <v>358</v>
      </c>
      <c r="C139" s="8" t="s">
        <v>2971</v>
      </c>
      <c r="D139" s="8">
        <v>14</v>
      </c>
    </row>
    <row r="140" spans="1:4" x14ac:dyDescent="0.25">
      <c r="A140" s="8" t="str">
        <f t="shared" si="2"/>
        <v>023</v>
      </c>
      <c r="B140" s="8" t="s">
        <v>360</v>
      </c>
      <c r="C140" s="8" t="s">
        <v>2972</v>
      </c>
      <c r="D140" s="8">
        <v>14</v>
      </c>
    </row>
    <row r="141" spans="1:4" x14ac:dyDescent="0.25">
      <c r="A141" s="8" t="str">
        <f t="shared" si="2"/>
        <v>024</v>
      </c>
      <c r="B141" s="8" t="s">
        <v>362</v>
      </c>
      <c r="C141" s="8" t="s">
        <v>2868</v>
      </c>
      <c r="D141" s="8">
        <v>14</v>
      </c>
    </row>
    <row r="142" spans="1:4" x14ac:dyDescent="0.25">
      <c r="A142" s="8" t="str">
        <f t="shared" si="2"/>
        <v>023</v>
      </c>
      <c r="B142" s="8" t="s">
        <v>360</v>
      </c>
      <c r="C142" s="8" t="s">
        <v>2973</v>
      </c>
      <c r="D142" s="8">
        <v>14</v>
      </c>
    </row>
    <row r="143" spans="1:4" x14ac:dyDescent="0.25">
      <c r="A143" s="8" t="str">
        <f t="shared" si="2"/>
        <v>026</v>
      </c>
      <c r="B143" s="8" t="s">
        <v>365</v>
      </c>
      <c r="C143" s="8" t="s">
        <v>2974</v>
      </c>
      <c r="D143" s="8">
        <v>14</v>
      </c>
    </row>
    <row r="144" spans="1:4" x14ac:dyDescent="0.25">
      <c r="A144" s="8" t="str">
        <f t="shared" si="2"/>
        <v>027</v>
      </c>
      <c r="B144" s="8" t="s">
        <v>367</v>
      </c>
      <c r="C144" s="8" t="s">
        <v>2975</v>
      </c>
      <c r="D144" s="8">
        <v>14</v>
      </c>
    </row>
    <row r="145" spans="1:4" x14ac:dyDescent="0.25">
      <c r="A145" s="8" t="str">
        <f t="shared" si="2"/>
        <v>028</v>
      </c>
      <c r="B145" s="8" t="s">
        <v>369</v>
      </c>
      <c r="C145" s="8" t="s">
        <v>2976</v>
      </c>
      <c r="D145" s="8">
        <v>14</v>
      </c>
    </row>
    <row r="146" spans="1:4" x14ac:dyDescent="0.25">
      <c r="A146" s="8" t="str">
        <f t="shared" si="2"/>
        <v>029</v>
      </c>
      <c r="B146" s="8" t="s">
        <v>371</v>
      </c>
      <c r="C146" s="8" t="s">
        <v>2977</v>
      </c>
      <c r="D146" s="8">
        <v>14</v>
      </c>
    </row>
    <row r="147" spans="1:4" x14ac:dyDescent="0.25">
      <c r="A147" s="8" t="str">
        <f t="shared" si="2"/>
        <v>030</v>
      </c>
      <c r="B147" s="8" t="s">
        <v>373</v>
      </c>
      <c r="C147" s="8" t="s">
        <v>890</v>
      </c>
      <c r="D147" s="8">
        <v>14</v>
      </c>
    </row>
    <row r="148" spans="1:4" x14ac:dyDescent="0.25">
      <c r="A148" s="8" t="str">
        <f t="shared" si="2"/>
        <v>031</v>
      </c>
      <c r="B148" s="8" t="s">
        <v>375</v>
      </c>
      <c r="C148" s="8" t="s">
        <v>2978</v>
      </c>
      <c r="D148" s="8">
        <v>14</v>
      </c>
    </row>
    <row r="149" spans="1:4" x14ac:dyDescent="0.25">
      <c r="A149" s="8" t="str">
        <f t="shared" si="2"/>
        <v>032</v>
      </c>
      <c r="B149" s="8" t="s">
        <v>377</v>
      </c>
      <c r="C149" s="8" t="s">
        <v>2979</v>
      </c>
      <c r="D149" s="8">
        <v>14</v>
      </c>
    </row>
    <row r="150" spans="1:4" x14ac:dyDescent="0.25">
      <c r="A150" s="8" t="str">
        <f t="shared" si="2"/>
        <v>033</v>
      </c>
      <c r="B150" s="8" t="s">
        <v>379</v>
      </c>
      <c r="C150" s="8" t="s">
        <v>2980</v>
      </c>
      <c r="D150" s="8">
        <v>14</v>
      </c>
    </row>
    <row r="151" spans="1:4" x14ac:dyDescent="0.25">
      <c r="A151" s="8" t="str">
        <f t="shared" si="2"/>
        <v>034</v>
      </c>
      <c r="B151" s="8" t="s">
        <v>381</v>
      </c>
      <c r="C151" s="8" t="s">
        <v>2981</v>
      </c>
      <c r="D151" s="8">
        <v>14</v>
      </c>
    </row>
    <row r="152" spans="1:4" x14ac:dyDescent="0.25">
      <c r="A152" s="8" t="str">
        <f t="shared" si="2"/>
        <v>035</v>
      </c>
      <c r="B152" s="8" t="s">
        <v>383</v>
      </c>
      <c r="C152" s="8" t="s">
        <v>2982</v>
      </c>
      <c r="D152" s="8">
        <v>14</v>
      </c>
    </row>
    <row r="153" spans="1:4" x14ac:dyDescent="0.25">
      <c r="A153" s="8" t="str">
        <f t="shared" si="2"/>
        <v>036</v>
      </c>
      <c r="B153" s="8" t="s">
        <v>385</v>
      </c>
      <c r="C153" s="8" t="s">
        <v>2983</v>
      </c>
      <c r="D153" s="8">
        <v>14</v>
      </c>
    </row>
    <row r="154" spans="1:4" x14ac:dyDescent="0.25">
      <c r="A154" s="8" t="str">
        <f t="shared" si="2"/>
        <v>037</v>
      </c>
      <c r="B154" s="8" t="s">
        <v>387</v>
      </c>
      <c r="C154" s="8" t="s">
        <v>2984</v>
      </c>
      <c r="D154" s="8">
        <v>14</v>
      </c>
    </row>
    <row r="155" spans="1:4" x14ac:dyDescent="0.25">
      <c r="A155" s="8" t="str">
        <f t="shared" si="2"/>
        <v>038</v>
      </c>
      <c r="B155" s="8" t="s">
        <v>389</v>
      </c>
      <c r="C155" s="8" t="s">
        <v>2985</v>
      </c>
      <c r="D155" s="8">
        <v>14</v>
      </c>
    </row>
    <row r="156" spans="1:4" x14ac:dyDescent="0.25">
      <c r="A156" s="8" t="str">
        <f t="shared" si="2"/>
        <v>039</v>
      </c>
      <c r="B156" s="8" t="s">
        <v>391</v>
      </c>
      <c r="C156" s="8" t="s">
        <v>2986</v>
      </c>
      <c r="D156" s="8">
        <v>14</v>
      </c>
    </row>
    <row r="157" spans="1:4" x14ac:dyDescent="0.25">
      <c r="A157" s="8" t="str">
        <f t="shared" si="2"/>
        <v>040</v>
      </c>
      <c r="B157" s="8" t="s">
        <v>86</v>
      </c>
      <c r="C157" s="8" t="s">
        <v>2987</v>
      </c>
      <c r="D157" s="8">
        <v>14</v>
      </c>
    </row>
    <row r="158" spans="1:4" x14ac:dyDescent="0.25">
      <c r="A158" s="8" t="str">
        <f t="shared" si="2"/>
        <v>041</v>
      </c>
      <c r="B158" s="8" t="s">
        <v>394</v>
      </c>
      <c r="C158" s="8" t="s">
        <v>2988</v>
      </c>
      <c r="D158" s="8">
        <v>14</v>
      </c>
    </row>
    <row r="159" spans="1:4" x14ac:dyDescent="0.25">
      <c r="A159" s="8" t="str">
        <f t="shared" si="2"/>
        <v>042</v>
      </c>
      <c r="B159" s="8" t="s">
        <v>782</v>
      </c>
      <c r="C159" s="8" t="s">
        <v>2989</v>
      </c>
      <c r="D159" s="8">
        <v>14</v>
      </c>
    </row>
    <row r="160" spans="1:4" x14ac:dyDescent="0.25">
      <c r="A160" s="8" t="str">
        <f t="shared" si="2"/>
        <v>043</v>
      </c>
      <c r="B160" s="8" t="s">
        <v>784</v>
      </c>
      <c r="C160" s="8" t="s">
        <v>2990</v>
      </c>
      <c r="D160" s="8">
        <v>14</v>
      </c>
    </row>
    <row r="161" spans="1:4" x14ac:dyDescent="0.25">
      <c r="A161" s="8" t="str">
        <f t="shared" si="2"/>
        <v>044</v>
      </c>
      <c r="B161" s="8" t="s">
        <v>786</v>
      </c>
      <c r="C161" s="8" t="s">
        <v>2991</v>
      </c>
      <c r="D161" s="8">
        <v>14</v>
      </c>
    </row>
    <row r="162" spans="1:4" x14ac:dyDescent="0.25">
      <c r="A162" s="8" t="str">
        <f t="shared" si="2"/>
        <v>045</v>
      </c>
      <c r="B162" s="8" t="s">
        <v>1086</v>
      </c>
      <c r="C162" s="8" t="s">
        <v>2992</v>
      </c>
      <c r="D162" s="8">
        <v>14</v>
      </c>
    </row>
    <row r="163" spans="1:4" x14ac:dyDescent="0.25">
      <c r="A163" s="8" t="str">
        <f t="shared" si="2"/>
        <v>046</v>
      </c>
      <c r="B163" s="8" t="s">
        <v>1560</v>
      </c>
      <c r="C163" s="8" t="s">
        <v>2993</v>
      </c>
      <c r="D163" s="8">
        <v>14</v>
      </c>
    </row>
    <row r="164" spans="1:4" x14ac:dyDescent="0.25">
      <c r="A164" s="8" t="str">
        <f t="shared" si="2"/>
        <v>047</v>
      </c>
      <c r="B164" s="8" t="s">
        <v>1562</v>
      </c>
      <c r="C164" s="8" t="s">
        <v>2994</v>
      </c>
      <c r="D164" s="8">
        <v>14</v>
      </c>
    </row>
    <row r="165" spans="1:4" x14ac:dyDescent="0.25">
      <c r="A165" s="8" t="str">
        <f t="shared" si="2"/>
        <v>048</v>
      </c>
      <c r="B165" s="8" t="s">
        <v>1564</v>
      </c>
      <c r="C165" s="8" t="s">
        <v>2995</v>
      </c>
      <c r="D165" s="8">
        <v>14</v>
      </c>
    </row>
    <row r="166" spans="1:4" x14ac:dyDescent="0.25">
      <c r="A166" s="8" t="str">
        <f t="shared" si="2"/>
        <v>049</v>
      </c>
      <c r="B166" s="8" t="s">
        <v>1566</v>
      </c>
      <c r="C166" s="8" t="s">
        <v>2996</v>
      </c>
      <c r="D166" s="8">
        <v>14</v>
      </c>
    </row>
    <row r="167" spans="1:4" x14ac:dyDescent="0.25">
      <c r="A167" s="8" t="str">
        <f t="shared" si="2"/>
        <v>050</v>
      </c>
      <c r="B167" s="8" t="s">
        <v>304</v>
      </c>
      <c r="C167" s="8" t="s">
        <v>823</v>
      </c>
      <c r="D167" s="8">
        <v>14</v>
      </c>
    </row>
    <row r="168" spans="1:4" x14ac:dyDescent="0.25">
      <c r="A168" s="8" t="str">
        <f t="shared" si="2"/>
        <v>523</v>
      </c>
      <c r="B168" s="8" t="s">
        <v>2997</v>
      </c>
      <c r="C168" s="8" t="s">
        <v>2998</v>
      </c>
      <c r="D168" s="8">
        <v>15</v>
      </c>
    </row>
    <row r="169" spans="1:4" x14ac:dyDescent="0.25">
      <c r="A169" s="8" t="str">
        <f t="shared" si="2"/>
        <v>613</v>
      </c>
      <c r="B169" s="8">
        <v>613</v>
      </c>
      <c r="C169" s="8" t="s">
        <v>2998</v>
      </c>
      <c r="D169" s="8">
        <v>15</v>
      </c>
    </row>
    <row r="170" spans="1:4" x14ac:dyDescent="0.25">
      <c r="A170" s="8" t="str">
        <f t="shared" si="2"/>
        <v>615</v>
      </c>
      <c r="B170" s="8">
        <v>615</v>
      </c>
      <c r="C170" s="8" t="s">
        <v>2998</v>
      </c>
      <c r="D170" s="8">
        <v>15</v>
      </c>
    </row>
    <row r="171" spans="1:4" x14ac:dyDescent="0.25">
      <c r="A171" s="8" t="str">
        <f t="shared" si="2"/>
        <v>809</v>
      </c>
      <c r="B171" s="8">
        <v>809</v>
      </c>
      <c r="C171" s="8" t="s">
        <v>2998</v>
      </c>
      <c r="D171" s="8">
        <v>15</v>
      </c>
    </row>
    <row r="172" spans="1:4" x14ac:dyDescent="0.25">
      <c r="A172" s="8" t="str">
        <f t="shared" si="2"/>
        <v>408</v>
      </c>
      <c r="B172" s="8">
        <v>408</v>
      </c>
      <c r="C172" s="8" t="s">
        <v>2998</v>
      </c>
      <c r="D172" s="8">
        <v>15</v>
      </c>
    </row>
    <row r="173" spans="1:4" x14ac:dyDescent="0.25">
      <c r="A173" s="8" t="str">
        <f t="shared" si="2"/>
        <v>410</v>
      </c>
      <c r="B173" s="8">
        <v>410</v>
      </c>
      <c r="C173" s="8" t="s">
        <v>2998</v>
      </c>
      <c r="D173" s="8">
        <v>15</v>
      </c>
    </row>
    <row r="174" spans="1:4" x14ac:dyDescent="0.25">
      <c r="A174" s="8" t="str">
        <f t="shared" si="2"/>
        <v>409</v>
      </c>
      <c r="B174" s="8">
        <v>409</v>
      </c>
      <c r="C174" s="8" t="s">
        <v>2998</v>
      </c>
      <c r="D174" s="8">
        <v>15</v>
      </c>
    </row>
    <row r="175" spans="1:4" x14ac:dyDescent="0.25">
      <c r="A175" s="8" t="str">
        <f t="shared" si="2"/>
        <v>407</v>
      </c>
      <c r="B175" s="8">
        <v>407</v>
      </c>
      <c r="C175" s="8" t="s">
        <v>2998</v>
      </c>
      <c r="D175" s="8">
        <v>15</v>
      </c>
    </row>
    <row r="176" spans="1:4" x14ac:dyDescent="0.25">
      <c r="A176" s="8" t="str">
        <f t="shared" si="2"/>
        <v>810</v>
      </c>
      <c r="B176" s="8">
        <v>810</v>
      </c>
      <c r="C176" s="8" t="s">
        <v>2998</v>
      </c>
      <c r="D176" s="8">
        <v>15</v>
      </c>
    </row>
    <row r="177" spans="1:4" x14ac:dyDescent="0.25">
      <c r="A177" s="8" t="str">
        <f t="shared" si="2"/>
        <v>411</v>
      </c>
      <c r="B177" s="8">
        <v>411</v>
      </c>
      <c r="C177" s="8" t="s">
        <v>2998</v>
      </c>
      <c r="D177" s="8">
        <v>15</v>
      </c>
    </row>
    <row r="178" spans="1:4" x14ac:dyDescent="0.25">
      <c r="A178" s="8" t="str">
        <f t="shared" si="2"/>
        <v>413</v>
      </c>
      <c r="B178" s="8">
        <v>413</v>
      </c>
      <c r="C178" s="8" t="s">
        <v>2998</v>
      </c>
      <c r="D178" s="8">
        <v>15</v>
      </c>
    </row>
    <row r="179" spans="1:4" x14ac:dyDescent="0.25">
      <c r="A179" s="8" t="str">
        <f t="shared" si="2"/>
        <v>412</v>
      </c>
      <c r="B179" s="8">
        <v>412</v>
      </c>
      <c r="C179" s="8" t="s">
        <v>2998</v>
      </c>
      <c r="D179" s="8">
        <v>15</v>
      </c>
    </row>
    <row r="180" spans="1:4" x14ac:dyDescent="0.25">
      <c r="A180" s="8" t="str">
        <f t="shared" si="2"/>
        <v>525</v>
      </c>
      <c r="B180" s="8">
        <v>525</v>
      </c>
      <c r="C180" s="8" t="s">
        <v>2998</v>
      </c>
      <c r="D180" s="8">
        <v>15</v>
      </c>
    </row>
    <row r="181" spans="1:4" x14ac:dyDescent="0.25">
      <c r="A181" s="8" t="str">
        <f t="shared" si="2"/>
        <v>100</v>
      </c>
      <c r="B181" s="8">
        <v>100</v>
      </c>
      <c r="C181" s="8" t="s">
        <v>2999</v>
      </c>
      <c r="D181" s="8">
        <v>15</v>
      </c>
    </row>
    <row r="182" spans="1:4" x14ac:dyDescent="0.25">
      <c r="A182" s="8" t="str">
        <f t="shared" si="2"/>
        <v>000</v>
      </c>
      <c r="B182" s="8" t="s">
        <v>65</v>
      </c>
      <c r="C182" s="8" t="s">
        <v>66</v>
      </c>
      <c r="D182" s="8">
        <v>16</v>
      </c>
    </row>
    <row r="183" spans="1:4" x14ac:dyDescent="0.25">
      <c r="A183" s="8" t="str">
        <f t="shared" si="2"/>
        <v>000</v>
      </c>
      <c r="B183" s="8" t="s">
        <v>65</v>
      </c>
      <c r="C183" s="8" t="s">
        <v>66</v>
      </c>
      <c r="D183" s="8">
        <v>17</v>
      </c>
    </row>
    <row r="184" spans="1:4" x14ac:dyDescent="0.25">
      <c r="A184" s="8" t="str">
        <f t="shared" si="2"/>
        <v>001</v>
      </c>
      <c r="B184" s="8" t="s">
        <v>262</v>
      </c>
      <c r="C184" s="8" t="s">
        <v>3000</v>
      </c>
      <c r="D184" s="8">
        <v>17</v>
      </c>
    </row>
    <row r="185" spans="1:4" x14ac:dyDescent="0.25">
      <c r="A185" s="8" t="str">
        <f t="shared" si="2"/>
        <v>002</v>
      </c>
      <c r="B185" s="8" t="s">
        <v>264</v>
      </c>
      <c r="C185" s="8" t="s">
        <v>3001</v>
      </c>
      <c r="D185" s="8">
        <v>17</v>
      </c>
    </row>
    <row r="186" spans="1:4" x14ac:dyDescent="0.25">
      <c r="A186" s="8" t="str">
        <f t="shared" si="2"/>
        <v>003</v>
      </c>
      <c r="B186" s="8" t="s">
        <v>67</v>
      </c>
      <c r="C186" s="8" t="s">
        <v>3002</v>
      </c>
      <c r="D186" s="8">
        <v>17</v>
      </c>
    </row>
    <row r="187" spans="1:4" x14ac:dyDescent="0.25">
      <c r="A187" s="8" t="str">
        <f t="shared" si="2"/>
        <v>004</v>
      </c>
      <c r="B187" s="8" t="s">
        <v>69</v>
      </c>
      <c r="C187" s="8" t="s">
        <v>3003</v>
      </c>
      <c r="D187" s="8">
        <v>17</v>
      </c>
    </row>
    <row r="188" spans="1:4" x14ac:dyDescent="0.25">
      <c r="A188" s="8" t="str">
        <f t="shared" si="2"/>
        <v>005</v>
      </c>
      <c r="B188" s="8" t="s">
        <v>78</v>
      </c>
      <c r="C188" s="8" t="s">
        <v>3004</v>
      </c>
      <c r="D188" s="8">
        <v>17</v>
      </c>
    </row>
    <row r="189" spans="1:4" x14ac:dyDescent="0.25">
      <c r="A189" s="8" t="str">
        <f t="shared" si="2"/>
        <v>006</v>
      </c>
      <c r="B189" s="8" t="s">
        <v>80</v>
      </c>
      <c r="C189" s="8" t="s">
        <v>3005</v>
      </c>
      <c r="D189" s="8">
        <v>17</v>
      </c>
    </row>
    <row r="190" spans="1:4" x14ac:dyDescent="0.25">
      <c r="A190" s="8" t="str">
        <f t="shared" si="2"/>
        <v>007</v>
      </c>
      <c r="B190" s="8" t="s">
        <v>71</v>
      </c>
      <c r="C190" s="8" t="s">
        <v>3006</v>
      </c>
      <c r="D190" s="8">
        <v>17</v>
      </c>
    </row>
    <row r="191" spans="1:4" x14ac:dyDescent="0.25">
      <c r="A191" s="8" t="str">
        <f t="shared" si="2"/>
        <v>008</v>
      </c>
      <c r="B191" s="8" t="s">
        <v>271</v>
      </c>
      <c r="C191" s="8" t="s">
        <v>3007</v>
      </c>
      <c r="D191" s="8">
        <v>17</v>
      </c>
    </row>
    <row r="192" spans="1:4" x14ac:dyDescent="0.25">
      <c r="A192" s="8" t="str">
        <f t="shared" si="2"/>
        <v>009</v>
      </c>
      <c r="B192" s="8" t="s">
        <v>273</v>
      </c>
      <c r="C192" s="8" t="s">
        <v>3008</v>
      </c>
      <c r="D192" s="8">
        <v>17</v>
      </c>
    </row>
    <row r="193" spans="1:4" x14ac:dyDescent="0.25">
      <c r="A193" s="8" t="str">
        <f t="shared" si="2"/>
        <v>010</v>
      </c>
      <c r="B193" s="8" t="s">
        <v>61</v>
      </c>
      <c r="C193" s="8" t="s">
        <v>3009</v>
      </c>
      <c r="D193" s="8">
        <v>17</v>
      </c>
    </row>
    <row r="194" spans="1:4" x14ac:dyDescent="0.25">
      <c r="A194" s="8" t="str">
        <f t="shared" si="2"/>
        <v>011</v>
      </c>
      <c r="B194" s="8" t="s">
        <v>74</v>
      </c>
      <c r="C194" s="8" t="s">
        <v>3010</v>
      </c>
      <c r="D194" s="8">
        <v>17</v>
      </c>
    </row>
    <row r="195" spans="1:4" x14ac:dyDescent="0.25">
      <c r="A195" s="8" t="str">
        <f t="shared" ref="A195:A258" si="3">TEXT(B195,"000")</f>
        <v>012</v>
      </c>
      <c r="B195" s="8" t="s">
        <v>76</v>
      </c>
      <c r="C195" s="8" t="s">
        <v>3011</v>
      </c>
      <c r="D195" s="8">
        <v>17</v>
      </c>
    </row>
    <row r="196" spans="1:4" x14ac:dyDescent="0.25">
      <c r="A196" s="8" t="str">
        <f t="shared" si="3"/>
        <v>013</v>
      </c>
      <c r="B196" s="8" t="s">
        <v>278</v>
      </c>
      <c r="C196" s="8" t="s">
        <v>3012</v>
      </c>
      <c r="D196" s="8">
        <v>17</v>
      </c>
    </row>
    <row r="197" spans="1:4" x14ac:dyDescent="0.25">
      <c r="A197" s="8" t="str">
        <f t="shared" si="3"/>
        <v>014</v>
      </c>
      <c r="B197" s="8" t="s">
        <v>280</v>
      </c>
      <c r="C197" s="8" t="s">
        <v>3013</v>
      </c>
      <c r="D197" s="8">
        <v>17</v>
      </c>
    </row>
    <row r="198" spans="1:4" x14ac:dyDescent="0.25">
      <c r="A198" s="8" t="str">
        <f t="shared" si="3"/>
        <v>015</v>
      </c>
      <c r="B198" s="8" t="s">
        <v>346</v>
      </c>
      <c r="C198" s="8" t="s">
        <v>3014</v>
      </c>
      <c r="D198" s="8">
        <v>17</v>
      </c>
    </row>
    <row r="199" spans="1:4" x14ac:dyDescent="0.25">
      <c r="A199" s="8" t="str">
        <f t="shared" si="3"/>
        <v>016</v>
      </c>
      <c r="B199" s="8" t="s">
        <v>82</v>
      </c>
      <c r="C199" s="8" t="s">
        <v>3015</v>
      </c>
      <c r="D199" s="8">
        <v>17</v>
      </c>
    </row>
    <row r="200" spans="1:4" x14ac:dyDescent="0.25">
      <c r="A200" s="8" t="str">
        <f t="shared" si="3"/>
        <v>017</v>
      </c>
      <c r="B200" s="8" t="s">
        <v>349</v>
      </c>
      <c r="C200" s="8" t="s">
        <v>3016</v>
      </c>
      <c r="D200" s="8">
        <v>17</v>
      </c>
    </row>
    <row r="201" spans="1:4" x14ac:dyDescent="0.25">
      <c r="A201" s="8" t="str">
        <f t="shared" si="3"/>
        <v>018</v>
      </c>
      <c r="B201" s="8" t="s">
        <v>351</v>
      </c>
      <c r="C201" s="8" t="s">
        <v>3017</v>
      </c>
      <c r="D201" s="8">
        <v>17</v>
      </c>
    </row>
    <row r="202" spans="1:4" x14ac:dyDescent="0.25">
      <c r="A202" s="8" t="str">
        <f t="shared" si="3"/>
        <v>019</v>
      </c>
      <c r="B202" s="8" t="s">
        <v>353</v>
      </c>
      <c r="C202" s="8" t="s">
        <v>3018</v>
      </c>
      <c r="D202" s="8">
        <v>17</v>
      </c>
    </row>
    <row r="203" spans="1:4" x14ac:dyDescent="0.25">
      <c r="A203" s="8" t="str">
        <f t="shared" si="3"/>
        <v>020</v>
      </c>
      <c r="B203" s="8" t="s">
        <v>63</v>
      </c>
      <c r="C203" s="8" t="s">
        <v>3019</v>
      </c>
      <c r="D203" s="8">
        <v>17</v>
      </c>
    </row>
    <row r="204" spans="1:4" x14ac:dyDescent="0.25">
      <c r="A204" s="8" t="str">
        <f t="shared" si="3"/>
        <v>021</v>
      </c>
      <c r="B204" s="8" t="s">
        <v>356</v>
      </c>
      <c r="C204" s="8" t="s">
        <v>3020</v>
      </c>
      <c r="D204" s="8">
        <v>17</v>
      </c>
    </row>
    <row r="205" spans="1:4" x14ac:dyDescent="0.25">
      <c r="A205" s="8" t="str">
        <f t="shared" si="3"/>
        <v>022</v>
      </c>
      <c r="B205" s="8" t="s">
        <v>358</v>
      </c>
      <c r="C205" s="8" t="s">
        <v>3021</v>
      </c>
      <c r="D205" s="8">
        <v>17</v>
      </c>
    </row>
    <row r="206" spans="1:4" x14ac:dyDescent="0.25">
      <c r="A206" s="8" t="str">
        <f t="shared" si="3"/>
        <v>023</v>
      </c>
      <c r="B206" s="8" t="s">
        <v>360</v>
      </c>
      <c r="C206" s="8" t="s">
        <v>3022</v>
      </c>
      <c r="D206" s="8">
        <v>17</v>
      </c>
    </row>
    <row r="207" spans="1:4" x14ac:dyDescent="0.25">
      <c r="A207" s="8" t="str">
        <f t="shared" si="3"/>
        <v>000</v>
      </c>
      <c r="B207" s="8" t="s">
        <v>65</v>
      </c>
      <c r="C207" s="8" t="s">
        <v>66</v>
      </c>
      <c r="D207" s="8">
        <v>18</v>
      </c>
    </row>
    <row r="208" spans="1:4" x14ac:dyDescent="0.25">
      <c r="A208" s="8" t="str">
        <f t="shared" si="3"/>
        <v>001</v>
      </c>
      <c r="B208" s="8" t="s">
        <v>262</v>
      </c>
      <c r="C208" s="8" t="s">
        <v>3023</v>
      </c>
      <c r="D208" s="8">
        <v>18</v>
      </c>
    </row>
    <row r="209" spans="1:4" x14ac:dyDescent="0.25">
      <c r="A209" s="8" t="str">
        <f t="shared" si="3"/>
        <v>002</v>
      </c>
      <c r="B209" s="8" t="s">
        <v>264</v>
      </c>
      <c r="C209" s="8" t="s">
        <v>3024</v>
      </c>
      <c r="D209" s="8">
        <v>18</v>
      </c>
    </row>
    <row r="210" spans="1:4" x14ac:dyDescent="0.25">
      <c r="A210" s="8" t="str">
        <f t="shared" si="3"/>
        <v>003</v>
      </c>
      <c r="B210" s="8" t="s">
        <v>67</v>
      </c>
      <c r="C210" s="8" t="s">
        <v>3025</v>
      </c>
      <c r="D210" s="8">
        <v>18</v>
      </c>
    </row>
    <row r="211" spans="1:4" x14ac:dyDescent="0.25">
      <c r="A211" s="8" t="str">
        <f t="shared" si="3"/>
        <v>004</v>
      </c>
      <c r="B211" s="8" t="s">
        <v>69</v>
      </c>
      <c r="C211" s="8" t="s">
        <v>3026</v>
      </c>
      <c r="D211" s="8">
        <v>18</v>
      </c>
    </row>
    <row r="212" spans="1:4" x14ac:dyDescent="0.25">
      <c r="A212" s="8" t="str">
        <f t="shared" si="3"/>
        <v>005</v>
      </c>
      <c r="B212" s="8" t="s">
        <v>78</v>
      </c>
      <c r="C212" s="8" t="s">
        <v>20</v>
      </c>
      <c r="D212" s="8">
        <v>18</v>
      </c>
    </row>
    <row r="213" spans="1:4" x14ac:dyDescent="0.25">
      <c r="A213" s="8" t="str">
        <f t="shared" si="3"/>
        <v>006</v>
      </c>
      <c r="B213" s="8" t="s">
        <v>80</v>
      </c>
      <c r="C213" s="8" t="s">
        <v>3027</v>
      </c>
      <c r="D213" s="8">
        <v>18</v>
      </c>
    </row>
    <row r="214" spans="1:4" x14ac:dyDescent="0.25">
      <c r="A214" s="8" t="str">
        <f t="shared" si="3"/>
        <v>007</v>
      </c>
      <c r="B214" s="8" t="s">
        <v>71</v>
      </c>
      <c r="C214" s="8" t="s">
        <v>3028</v>
      </c>
      <c r="D214" s="8">
        <v>18</v>
      </c>
    </row>
    <row r="215" spans="1:4" x14ac:dyDescent="0.25">
      <c r="A215" s="8" t="str">
        <f t="shared" si="3"/>
        <v>008</v>
      </c>
      <c r="B215" s="8" t="s">
        <v>271</v>
      </c>
      <c r="C215" s="8" t="s">
        <v>3029</v>
      </c>
      <c r="D215" s="8">
        <v>18</v>
      </c>
    </row>
    <row r="216" spans="1:4" x14ac:dyDescent="0.25">
      <c r="A216" s="8" t="str">
        <f t="shared" si="3"/>
        <v>009</v>
      </c>
      <c r="B216" s="8" t="s">
        <v>273</v>
      </c>
      <c r="C216" s="8" t="s">
        <v>3030</v>
      </c>
      <c r="D216" s="8">
        <v>18</v>
      </c>
    </row>
    <row r="217" spans="1:4" x14ac:dyDescent="0.25">
      <c r="A217" s="8" t="str">
        <f t="shared" si="3"/>
        <v>010</v>
      </c>
      <c r="B217" s="8" t="s">
        <v>61</v>
      </c>
      <c r="C217" s="8" t="s">
        <v>3031</v>
      </c>
      <c r="D217" s="8">
        <v>18</v>
      </c>
    </row>
    <row r="218" spans="1:4" x14ac:dyDescent="0.25">
      <c r="A218" s="8" t="str">
        <f t="shared" si="3"/>
        <v>011</v>
      </c>
      <c r="B218" s="8" t="s">
        <v>74</v>
      </c>
      <c r="C218" s="8" t="s">
        <v>3032</v>
      </c>
      <c r="D218" s="8">
        <v>18</v>
      </c>
    </row>
    <row r="219" spans="1:4" x14ac:dyDescent="0.25">
      <c r="A219" s="8" t="str">
        <f t="shared" si="3"/>
        <v>012</v>
      </c>
      <c r="B219" s="8" t="s">
        <v>76</v>
      </c>
      <c r="C219" s="8" t="s">
        <v>3033</v>
      </c>
      <c r="D219" s="8">
        <v>18</v>
      </c>
    </row>
    <row r="220" spans="1:4" x14ac:dyDescent="0.25">
      <c r="A220" s="8" t="str">
        <f t="shared" si="3"/>
        <v>000</v>
      </c>
      <c r="B220" s="8" t="s">
        <v>65</v>
      </c>
      <c r="C220" s="8" t="s">
        <v>66</v>
      </c>
      <c r="D220" s="8">
        <v>19</v>
      </c>
    </row>
    <row r="221" spans="1:4" x14ac:dyDescent="0.25">
      <c r="A221" s="8" t="str">
        <f t="shared" si="3"/>
        <v>001</v>
      </c>
      <c r="B221" s="8" t="s">
        <v>262</v>
      </c>
      <c r="C221" s="8" t="s">
        <v>3034</v>
      </c>
      <c r="D221" s="8">
        <v>19</v>
      </c>
    </row>
    <row r="222" spans="1:4" x14ac:dyDescent="0.25">
      <c r="A222" s="8" t="str">
        <f t="shared" si="3"/>
        <v>002</v>
      </c>
      <c r="B222" s="8" t="s">
        <v>264</v>
      </c>
      <c r="C222" s="8" t="s">
        <v>3035</v>
      </c>
      <c r="D222" s="8">
        <v>19</v>
      </c>
    </row>
    <row r="223" spans="1:4" x14ac:dyDescent="0.25">
      <c r="A223" s="8" t="str">
        <f t="shared" si="3"/>
        <v>003</v>
      </c>
      <c r="B223" s="8" t="s">
        <v>67</v>
      </c>
      <c r="C223" s="8" t="s">
        <v>3036</v>
      </c>
      <c r="D223" s="8">
        <v>19</v>
      </c>
    </row>
    <row r="224" spans="1:4" x14ac:dyDescent="0.25">
      <c r="A224" s="8" t="str">
        <f t="shared" si="3"/>
        <v>004</v>
      </c>
      <c r="B224" s="8" t="s">
        <v>69</v>
      </c>
      <c r="C224" s="8" t="s">
        <v>3037</v>
      </c>
      <c r="D224" s="8">
        <v>19</v>
      </c>
    </row>
    <row r="225" spans="1:4" x14ac:dyDescent="0.25">
      <c r="A225" s="8" t="str">
        <f t="shared" si="3"/>
        <v>005</v>
      </c>
      <c r="B225" s="8" t="s">
        <v>78</v>
      </c>
      <c r="C225" s="8" t="s">
        <v>3038</v>
      </c>
      <c r="D225" s="8">
        <v>19</v>
      </c>
    </row>
    <row r="226" spans="1:4" x14ac:dyDescent="0.25">
      <c r="A226" s="8" t="str">
        <f t="shared" si="3"/>
        <v>006</v>
      </c>
      <c r="B226" s="8" t="s">
        <v>80</v>
      </c>
      <c r="C226" s="8" t="s">
        <v>1414</v>
      </c>
      <c r="D226" s="8">
        <v>19</v>
      </c>
    </row>
    <row r="227" spans="1:4" x14ac:dyDescent="0.25">
      <c r="A227" s="8" t="str">
        <f t="shared" si="3"/>
        <v>000</v>
      </c>
      <c r="B227" s="8" t="s">
        <v>65</v>
      </c>
      <c r="C227" s="8" t="s">
        <v>66</v>
      </c>
      <c r="D227" s="8">
        <v>20</v>
      </c>
    </row>
    <row r="228" spans="1:4" x14ac:dyDescent="0.25">
      <c r="A228" s="8" t="str">
        <f t="shared" si="3"/>
        <v>001</v>
      </c>
      <c r="B228" s="8" t="s">
        <v>262</v>
      </c>
      <c r="C228" s="8" t="s">
        <v>3039</v>
      </c>
      <c r="D228" s="8">
        <v>20</v>
      </c>
    </row>
    <row r="229" spans="1:4" x14ac:dyDescent="0.25">
      <c r="A229" s="8" t="str">
        <f t="shared" si="3"/>
        <v>002</v>
      </c>
      <c r="B229" s="8" t="s">
        <v>264</v>
      </c>
      <c r="C229" s="8" t="s">
        <v>3040</v>
      </c>
      <c r="D229" s="8">
        <v>20</v>
      </c>
    </row>
    <row r="230" spans="1:4" x14ac:dyDescent="0.25">
      <c r="A230" s="8" t="str">
        <f t="shared" si="3"/>
        <v>003</v>
      </c>
      <c r="B230" s="8" t="s">
        <v>67</v>
      </c>
      <c r="C230" s="8" t="s">
        <v>3041</v>
      </c>
      <c r="D230" s="8">
        <v>20</v>
      </c>
    </row>
    <row r="231" spans="1:4" x14ac:dyDescent="0.25">
      <c r="A231" s="8" t="str">
        <f t="shared" si="3"/>
        <v>004</v>
      </c>
      <c r="B231" s="8" t="s">
        <v>69</v>
      </c>
      <c r="C231" s="8" t="s">
        <v>3042</v>
      </c>
      <c r="D231" s="8">
        <v>20</v>
      </c>
    </row>
    <row r="232" spans="1:4" x14ac:dyDescent="0.25">
      <c r="A232" s="8" t="str">
        <f t="shared" si="3"/>
        <v>000</v>
      </c>
      <c r="B232" s="8" t="s">
        <v>65</v>
      </c>
      <c r="C232" s="8" t="s">
        <v>66</v>
      </c>
      <c r="D232" s="8">
        <v>21</v>
      </c>
    </row>
    <row r="233" spans="1:4" x14ac:dyDescent="0.25">
      <c r="A233" s="8" t="str">
        <f t="shared" si="3"/>
        <v>001</v>
      </c>
      <c r="B233" s="8" t="s">
        <v>262</v>
      </c>
      <c r="C233" s="8" t="s">
        <v>3043</v>
      </c>
      <c r="D233" s="8">
        <v>21</v>
      </c>
    </row>
    <row r="234" spans="1:4" x14ac:dyDescent="0.25">
      <c r="A234" s="8" t="str">
        <f t="shared" si="3"/>
        <v>002</v>
      </c>
      <c r="B234" s="8" t="s">
        <v>264</v>
      </c>
      <c r="C234" s="8">
        <v>2012</v>
      </c>
      <c r="D234" s="8">
        <v>21</v>
      </c>
    </row>
    <row r="235" spans="1:4" x14ac:dyDescent="0.25">
      <c r="A235" s="8" t="str">
        <f t="shared" si="3"/>
        <v>000</v>
      </c>
      <c r="B235" s="8" t="s">
        <v>65</v>
      </c>
      <c r="C235" s="8" t="s">
        <v>66</v>
      </c>
      <c r="D235" s="8">
        <v>22</v>
      </c>
    </row>
    <row r="236" spans="1:4" x14ac:dyDescent="0.25">
      <c r="A236" s="8" t="str">
        <f t="shared" si="3"/>
        <v>001</v>
      </c>
      <c r="B236" s="8" t="s">
        <v>262</v>
      </c>
      <c r="C236" s="8" t="s">
        <v>3044</v>
      </c>
      <c r="D236" s="8">
        <v>22</v>
      </c>
    </row>
    <row r="237" spans="1:4" x14ac:dyDescent="0.25">
      <c r="A237" s="8" t="str">
        <f t="shared" si="3"/>
        <v>002</v>
      </c>
      <c r="B237" s="8" t="s">
        <v>264</v>
      </c>
      <c r="C237" s="8" t="s">
        <v>3045</v>
      </c>
      <c r="D237" s="8">
        <v>22</v>
      </c>
    </row>
    <row r="238" spans="1:4" x14ac:dyDescent="0.25">
      <c r="A238" s="8" t="str">
        <f t="shared" si="3"/>
        <v>810</v>
      </c>
      <c r="B238" s="8" t="s">
        <v>3046</v>
      </c>
      <c r="C238" s="8" t="s">
        <v>3047</v>
      </c>
      <c r="D238" s="8">
        <v>22</v>
      </c>
    </row>
    <row r="239" spans="1:4" x14ac:dyDescent="0.25">
      <c r="A239" s="8" t="str">
        <f t="shared" si="3"/>
        <v>000</v>
      </c>
      <c r="B239" s="8" t="s">
        <v>65</v>
      </c>
      <c r="C239" s="8" t="s">
        <v>66</v>
      </c>
      <c r="D239" s="8">
        <v>23</v>
      </c>
    </row>
    <row r="240" spans="1:4" x14ac:dyDescent="0.25">
      <c r="A240" s="8" t="str">
        <f t="shared" si="3"/>
        <v>000</v>
      </c>
      <c r="B240" s="8" t="s">
        <v>65</v>
      </c>
      <c r="C240" s="8" t="s">
        <v>66</v>
      </c>
      <c r="D240" s="8">
        <v>24</v>
      </c>
    </row>
    <row r="241" spans="1:4" x14ac:dyDescent="0.25">
      <c r="A241" s="8" t="str">
        <f t="shared" si="3"/>
        <v>001</v>
      </c>
      <c r="B241" s="8" t="s">
        <v>262</v>
      </c>
      <c r="C241" s="8" t="s">
        <v>3048</v>
      </c>
      <c r="D241" s="8">
        <v>24</v>
      </c>
    </row>
    <row r="242" spans="1:4" x14ac:dyDescent="0.25">
      <c r="A242" s="8" t="str">
        <f t="shared" si="3"/>
        <v>002</v>
      </c>
      <c r="B242" s="8" t="s">
        <v>264</v>
      </c>
      <c r="C242" s="8" t="s">
        <v>3049</v>
      </c>
      <c r="D242" s="8">
        <v>24</v>
      </c>
    </row>
    <row r="243" spans="1:4" x14ac:dyDescent="0.25">
      <c r="A243" s="8" t="str">
        <f t="shared" si="3"/>
        <v>003</v>
      </c>
      <c r="B243" s="8" t="s">
        <v>67</v>
      </c>
      <c r="C243" s="8" t="s">
        <v>3050</v>
      </c>
      <c r="D243" s="8">
        <v>24</v>
      </c>
    </row>
    <row r="244" spans="1:4" x14ac:dyDescent="0.25">
      <c r="A244" s="8" t="str">
        <f t="shared" si="3"/>
        <v>004</v>
      </c>
      <c r="B244" s="8" t="s">
        <v>69</v>
      </c>
      <c r="C244" s="8" t="s">
        <v>3051</v>
      </c>
      <c r="D244" s="8">
        <v>24</v>
      </c>
    </row>
    <row r="245" spans="1:4" x14ac:dyDescent="0.25">
      <c r="A245" s="8" t="str">
        <f t="shared" si="3"/>
        <v>005</v>
      </c>
      <c r="B245" s="8" t="s">
        <v>78</v>
      </c>
      <c r="C245" s="8" t="s">
        <v>3052</v>
      </c>
      <c r="D245" s="8">
        <v>24</v>
      </c>
    </row>
    <row r="246" spans="1:4" x14ac:dyDescent="0.25">
      <c r="A246" s="8" t="str">
        <f t="shared" si="3"/>
        <v>006</v>
      </c>
      <c r="B246" s="8" t="s">
        <v>80</v>
      </c>
      <c r="C246" s="8" t="s">
        <v>3053</v>
      </c>
      <c r="D246" s="8">
        <v>24</v>
      </c>
    </row>
    <row r="247" spans="1:4" x14ac:dyDescent="0.25">
      <c r="A247" s="8" t="str">
        <f t="shared" si="3"/>
        <v>007</v>
      </c>
      <c r="B247" s="8" t="s">
        <v>71</v>
      </c>
      <c r="C247" s="8" t="s">
        <v>3054</v>
      </c>
      <c r="D247" s="8">
        <v>24</v>
      </c>
    </row>
    <row r="248" spans="1:4" x14ac:dyDescent="0.25">
      <c r="A248" s="8" t="str">
        <f t="shared" si="3"/>
        <v>008</v>
      </c>
      <c r="B248" s="8" t="s">
        <v>271</v>
      </c>
      <c r="C248" s="8" t="s">
        <v>3055</v>
      </c>
      <c r="D248" s="8">
        <v>24</v>
      </c>
    </row>
    <row r="249" spans="1:4" x14ac:dyDescent="0.25">
      <c r="A249" s="8" t="str">
        <f t="shared" si="3"/>
        <v>009</v>
      </c>
      <c r="B249" s="8" t="s">
        <v>273</v>
      </c>
      <c r="C249" s="8" t="s">
        <v>3056</v>
      </c>
      <c r="D249" s="8">
        <v>24</v>
      </c>
    </row>
    <row r="250" spans="1:4" x14ac:dyDescent="0.25">
      <c r="A250" s="8" t="str">
        <f t="shared" si="3"/>
        <v>010</v>
      </c>
      <c r="B250" s="8" t="s">
        <v>61</v>
      </c>
      <c r="C250" s="8" t="s">
        <v>3057</v>
      </c>
      <c r="D250" s="8">
        <v>24</v>
      </c>
    </row>
    <row r="251" spans="1:4" x14ac:dyDescent="0.25">
      <c r="A251" s="8" t="str">
        <f t="shared" si="3"/>
        <v>011</v>
      </c>
      <c r="B251" s="8" t="s">
        <v>74</v>
      </c>
      <c r="C251" s="8" t="s">
        <v>3058</v>
      </c>
      <c r="D251" s="8">
        <v>24</v>
      </c>
    </row>
    <row r="252" spans="1:4" x14ac:dyDescent="0.25">
      <c r="A252" s="8" t="str">
        <f t="shared" si="3"/>
        <v>012</v>
      </c>
      <c r="B252" s="8" t="s">
        <v>76</v>
      </c>
      <c r="C252" s="8" t="s">
        <v>3059</v>
      </c>
      <c r="D252" s="8">
        <v>24</v>
      </c>
    </row>
    <row r="253" spans="1:4" x14ac:dyDescent="0.25">
      <c r="A253" s="8" t="str">
        <f t="shared" si="3"/>
        <v>013</v>
      </c>
      <c r="B253" s="8" t="s">
        <v>278</v>
      </c>
      <c r="C253" s="8" t="s">
        <v>1975</v>
      </c>
      <c r="D253" s="8">
        <v>24</v>
      </c>
    </row>
    <row r="254" spans="1:4" x14ac:dyDescent="0.25">
      <c r="A254" s="8" t="str">
        <f t="shared" si="3"/>
        <v>014</v>
      </c>
      <c r="B254" s="8" t="s">
        <v>280</v>
      </c>
      <c r="C254" s="8" t="s">
        <v>2010</v>
      </c>
      <c r="D254" s="8">
        <v>24</v>
      </c>
    </row>
    <row r="255" spans="1:4" x14ac:dyDescent="0.25">
      <c r="A255" s="8" t="str">
        <f t="shared" si="3"/>
        <v>015</v>
      </c>
      <c r="B255" s="8" t="s">
        <v>346</v>
      </c>
      <c r="C255" s="8" t="s">
        <v>3060</v>
      </c>
      <c r="D255" s="8">
        <v>24</v>
      </c>
    </row>
    <row r="256" spans="1:4" x14ac:dyDescent="0.25">
      <c r="A256" s="8" t="str">
        <f t="shared" si="3"/>
        <v>016</v>
      </c>
      <c r="B256" s="8" t="s">
        <v>82</v>
      </c>
      <c r="C256" s="8" t="s">
        <v>3061</v>
      </c>
      <c r="D256" s="8">
        <v>24</v>
      </c>
    </row>
    <row r="257" spans="1:4" x14ac:dyDescent="0.25">
      <c r="A257" s="8" t="str">
        <f t="shared" si="3"/>
        <v>017</v>
      </c>
      <c r="B257" s="8" t="s">
        <v>349</v>
      </c>
      <c r="C257" s="8" t="s">
        <v>1977</v>
      </c>
      <c r="D257" s="8">
        <v>24</v>
      </c>
    </row>
    <row r="258" spans="1:4" x14ac:dyDescent="0.25">
      <c r="A258" s="8" t="str">
        <f t="shared" si="3"/>
        <v>018</v>
      </c>
      <c r="B258" s="8" t="s">
        <v>351</v>
      </c>
      <c r="C258" s="8" t="s">
        <v>3062</v>
      </c>
      <c r="D258" s="8">
        <v>24</v>
      </c>
    </row>
    <row r="259" spans="1:4" x14ac:dyDescent="0.25">
      <c r="A259" s="8" t="str">
        <f t="shared" ref="A259:A310" si="4">TEXT(B259,"000")</f>
        <v>019</v>
      </c>
      <c r="B259" s="8" t="s">
        <v>353</v>
      </c>
      <c r="C259" s="8" t="s">
        <v>3063</v>
      </c>
      <c r="D259" s="8">
        <v>24</v>
      </c>
    </row>
    <row r="260" spans="1:4" x14ac:dyDescent="0.25">
      <c r="A260" s="8" t="str">
        <f t="shared" si="4"/>
        <v>020</v>
      </c>
      <c r="B260" s="8" t="s">
        <v>63</v>
      </c>
      <c r="C260" s="8" t="s">
        <v>3064</v>
      </c>
      <c r="D260" s="8">
        <v>24</v>
      </c>
    </row>
    <row r="261" spans="1:4" x14ac:dyDescent="0.25">
      <c r="A261" s="8" t="str">
        <f t="shared" si="4"/>
        <v>021</v>
      </c>
      <c r="B261" s="8" t="s">
        <v>356</v>
      </c>
      <c r="C261" s="8" t="s">
        <v>3065</v>
      </c>
      <c r="D261" s="8">
        <v>24</v>
      </c>
    </row>
    <row r="262" spans="1:4" x14ac:dyDescent="0.25">
      <c r="A262" s="8" t="str">
        <f t="shared" si="4"/>
        <v>022</v>
      </c>
      <c r="B262" s="8" t="s">
        <v>358</v>
      </c>
      <c r="C262" s="8" t="s">
        <v>3066</v>
      </c>
      <c r="D262" s="8">
        <v>24</v>
      </c>
    </row>
    <row r="263" spans="1:4" x14ac:dyDescent="0.25">
      <c r="A263" s="8" t="str">
        <f t="shared" si="4"/>
        <v>023</v>
      </c>
      <c r="B263" s="8" t="s">
        <v>360</v>
      </c>
      <c r="C263" s="8" t="s">
        <v>3067</v>
      </c>
      <c r="D263" s="8">
        <v>24</v>
      </c>
    </row>
    <row r="264" spans="1:4" x14ac:dyDescent="0.25">
      <c r="A264" s="8" t="str">
        <f t="shared" si="4"/>
        <v>024</v>
      </c>
      <c r="B264" s="8" t="s">
        <v>362</v>
      </c>
      <c r="C264" s="8" t="s">
        <v>3068</v>
      </c>
      <c r="D264" s="8">
        <v>24</v>
      </c>
    </row>
    <row r="265" spans="1:4" x14ac:dyDescent="0.25">
      <c r="A265" s="8" t="str">
        <f t="shared" si="4"/>
        <v>025</v>
      </c>
      <c r="B265" s="8" t="s">
        <v>84</v>
      </c>
      <c r="C265" s="8" t="s">
        <v>3069</v>
      </c>
      <c r="D265" s="8">
        <v>24</v>
      </c>
    </row>
    <row r="266" spans="1:4" x14ac:dyDescent="0.25">
      <c r="A266" s="8" t="str">
        <f t="shared" si="4"/>
        <v>026</v>
      </c>
      <c r="B266" s="8" t="s">
        <v>365</v>
      </c>
      <c r="C266" s="8" t="s">
        <v>3070</v>
      </c>
      <c r="D266" s="8">
        <v>24</v>
      </c>
    </row>
    <row r="267" spans="1:4" x14ac:dyDescent="0.25">
      <c r="A267" s="8" t="str">
        <f t="shared" si="4"/>
        <v>000</v>
      </c>
      <c r="B267" s="8" t="s">
        <v>65</v>
      </c>
      <c r="C267" s="8" t="s">
        <v>66</v>
      </c>
      <c r="D267" s="8">
        <v>25</v>
      </c>
    </row>
    <row r="268" spans="1:4" x14ac:dyDescent="0.25">
      <c r="A268" s="8" t="str">
        <f t="shared" si="4"/>
        <v>001</v>
      </c>
      <c r="B268" s="8" t="s">
        <v>262</v>
      </c>
      <c r="C268" s="8" t="s">
        <v>3071</v>
      </c>
      <c r="D268" s="8">
        <v>25</v>
      </c>
    </row>
    <row r="269" spans="1:4" x14ac:dyDescent="0.25">
      <c r="A269" s="8" t="str">
        <f t="shared" si="4"/>
        <v>002</v>
      </c>
      <c r="B269" s="8" t="s">
        <v>264</v>
      </c>
      <c r="C269" s="8" t="s">
        <v>3072</v>
      </c>
      <c r="D269" s="8">
        <v>25</v>
      </c>
    </row>
    <row r="270" spans="1:4" x14ac:dyDescent="0.25">
      <c r="A270" s="8" t="str">
        <f t="shared" si="4"/>
        <v>003</v>
      </c>
      <c r="B270" s="8" t="s">
        <v>67</v>
      </c>
      <c r="C270" s="8" t="s">
        <v>3073</v>
      </c>
      <c r="D270" s="8">
        <v>25</v>
      </c>
    </row>
    <row r="271" spans="1:4" x14ac:dyDescent="0.25">
      <c r="A271" s="8" t="str">
        <f t="shared" si="4"/>
        <v>004</v>
      </c>
      <c r="B271" s="8" t="s">
        <v>69</v>
      </c>
      <c r="C271" s="8" t="s">
        <v>3074</v>
      </c>
      <c r="D271" s="8">
        <v>25</v>
      </c>
    </row>
    <row r="272" spans="1:4" x14ac:dyDescent="0.25">
      <c r="A272" s="8" t="str">
        <f t="shared" si="4"/>
        <v>005</v>
      </c>
      <c r="B272" s="8" t="s">
        <v>78</v>
      </c>
      <c r="C272" s="8" t="s">
        <v>2828</v>
      </c>
      <c r="D272" s="8">
        <v>25</v>
      </c>
    </row>
    <row r="273" spans="1:4" x14ac:dyDescent="0.25">
      <c r="A273" s="8" t="str">
        <f t="shared" si="4"/>
        <v>006</v>
      </c>
      <c r="B273" s="8" t="s">
        <v>80</v>
      </c>
      <c r="C273" s="8" t="s">
        <v>3075</v>
      </c>
      <c r="D273" s="8">
        <v>25</v>
      </c>
    </row>
    <row r="274" spans="1:4" x14ac:dyDescent="0.25">
      <c r="A274" s="8" t="str">
        <f t="shared" si="4"/>
        <v>007</v>
      </c>
      <c r="B274" s="8" t="s">
        <v>71</v>
      </c>
      <c r="C274" s="8" t="s">
        <v>3076</v>
      </c>
      <c r="D274" s="8">
        <v>25</v>
      </c>
    </row>
    <row r="275" spans="1:4" x14ac:dyDescent="0.25">
      <c r="A275" s="8" t="str">
        <f t="shared" si="4"/>
        <v>008</v>
      </c>
      <c r="B275" s="8" t="s">
        <v>271</v>
      </c>
      <c r="C275" s="8" t="s">
        <v>3077</v>
      </c>
      <c r="D275" s="8">
        <v>25</v>
      </c>
    </row>
    <row r="276" spans="1:4" x14ac:dyDescent="0.25">
      <c r="A276" s="8" t="str">
        <f t="shared" si="4"/>
        <v>009</v>
      </c>
      <c r="B276" s="8" t="s">
        <v>273</v>
      </c>
      <c r="C276" s="8" t="s">
        <v>3078</v>
      </c>
      <c r="D276" s="8">
        <v>25</v>
      </c>
    </row>
    <row r="277" spans="1:4" x14ac:dyDescent="0.25">
      <c r="A277" s="8" t="str">
        <f t="shared" si="4"/>
        <v>010</v>
      </c>
      <c r="B277" s="8" t="s">
        <v>61</v>
      </c>
      <c r="C277" s="8" t="s">
        <v>3079</v>
      </c>
      <c r="D277" s="8">
        <v>25</v>
      </c>
    </row>
    <row r="278" spans="1:4" x14ac:dyDescent="0.25">
      <c r="A278" s="8" t="str">
        <f t="shared" si="4"/>
        <v>011</v>
      </c>
      <c r="B278" s="8" t="s">
        <v>74</v>
      </c>
      <c r="C278" s="8" t="s">
        <v>3080</v>
      </c>
      <c r="D278" s="8">
        <v>25</v>
      </c>
    </row>
    <row r="279" spans="1:4" x14ac:dyDescent="0.25">
      <c r="A279" s="8" t="str">
        <f t="shared" si="4"/>
        <v>012</v>
      </c>
      <c r="B279" s="8" t="s">
        <v>76</v>
      </c>
      <c r="C279" s="8" t="s">
        <v>3081</v>
      </c>
      <c r="D279" s="8">
        <v>25</v>
      </c>
    </row>
    <row r="280" spans="1:4" x14ac:dyDescent="0.25">
      <c r="A280" s="8" t="str">
        <f t="shared" si="4"/>
        <v>013</v>
      </c>
      <c r="B280" s="8" t="s">
        <v>278</v>
      </c>
      <c r="C280" s="8" t="s">
        <v>3082</v>
      </c>
      <c r="D280" s="8">
        <v>25</v>
      </c>
    </row>
    <row r="281" spans="1:4" x14ac:dyDescent="0.25">
      <c r="A281" s="8" t="str">
        <f t="shared" si="4"/>
        <v>014</v>
      </c>
      <c r="B281" s="8" t="s">
        <v>280</v>
      </c>
      <c r="C281" s="8" t="s">
        <v>3083</v>
      </c>
      <c r="D281" s="8">
        <v>25</v>
      </c>
    </row>
    <row r="282" spans="1:4" x14ac:dyDescent="0.25">
      <c r="A282" s="8" t="str">
        <f t="shared" si="4"/>
        <v>015</v>
      </c>
      <c r="B282" s="8" t="s">
        <v>346</v>
      </c>
      <c r="C282" s="8" t="s">
        <v>3084</v>
      </c>
      <c r="D282" s="8">
        <v>25</v>
      </c>
    </row>
    <row r="283" spans="1:4" x14ac:dyDescent="0.25">
      <c r="A283" s="8" t="str">
        <f t="shared" si="4"/>
        <v>000</v>
      </c>
      <c r="B283" s="8" t="s">
        <v>65</v>
      </c>
      <c r="C283" s="8" t="s">
        <v>66</v>
      </c>
      <c r="D283" s="8">
        <v>26</v>
      </c>
    </row>
    <row r="284" spans="1:4" x14ac:dyDescent="0.25">
      <c r="A284" s="8" t="str">
        <f t="shared" si="4"/>
        <v>000</v>
      </c>
      <c r="B284" s="8" t="s">
        <v>65</v>
      </c>
      <c r="C284" s="8" t="s">
        <v>66</v>
      </c>
      <c r="D284" s="8">
        <v>27</v>
      </c>
    </row>
    <row r="285" spans="1:4" x14ac:dyDescent="0.25">
      <c r="A285" s="8" t="str">
        <f t="shared" si="4"/>
        <v>000</v>
      </c>
      <c r="B285" s="8" t="s">
        <v>65</v>
      </c>
      <c r="C285" s="8" t="s">
        <v>66</v>
      </c>
      <c r="D285" s="8">
        <v>28</v>
      </c>
    </row>
    <row r="286" spans="1:4" x14ac:dyDescent="0.25">
      <c r="A286" s="8" t="str">
        <f t="shared" si="4"/>
        <v>001</v>
      </c>
      <c r="B286" s="8" t="s">
        <v>262</v>
      </c>
      <c r="C286" s="8" t="s">
        <v>3085</v>
      </c>
      <c r="D286" s="8">
        <v>28</v>
      </c>
    </row>
    <row r="287" spans="1:4" x14ac:dyDescent="0.25">
      <c r="A287" s="8" t="str">
        <f t="shared" si="4"/>
        <v>002</v>
      </c>
      <c r="B287" s="8" t="s">
        <v>264</v>
      </c>
      <c r="C287" s="8" t="s">
        <v>3086</v>
      </c>
      <c r="D287" s="8">
        <v>28</v>
      </c>
    </row>
    <row r="288" spans="1:4" x14ac:dyDescent="0.25">
      <c r="A288" s="8" t="str">
        <f t="shared" si="4"/>
        <v>003</v>
      </c>
      <c r="B288" s="8" t="s">
        <v>67</v>
      </c>
      <c r="C288" s="8" t="s">
        <v>3087</v>
      </c>
      <c r="D288" s="8">
        <v>28</v>
      </c>
    </row>
    <row r="289" spans="1:4" x14ac:dyDescent="0.25">
      <c r="A289" s="8" t="str">
        <f t="shared" si="4"/>
        <v>004</v>
      </c>
      <c r="B289" s="8" t="s">
        <v>69</v>
      </c>
      <c r="C289" s="8" t="s">
        <v>3088</v>
      </c>
      <c r="D289" s="8">
        <v>28</v>
      </c>
    </row>
    <row r="290" spans="1:4" x14ac:dyDescent="0.25">
      <c r="A290" s="8" t="str">
        <f t="shared" si="4"/>
        <v>005</v>
      </c>
      <c r="B290" s="8" t="s">
        <v>78</v>
      </c>
      <c r="C290" s="8" t="s">
        <v>3089</v>
      </c>
      <c r="D290" s="8">
        <v>28</v>
      </c>
    </row>
    <row r="291" spans="1:4" x14ac:dyDescent="0.25">
      <c r="A291" s="8" t="str">
        <f t="shared" si="4"/>
        <v>006</v>
      </c>
      <c r="B291" s="8" t="s">
        <v>80</v>
      </c>
      <c r="C291" s="8" t="s">
        <v>3090</v>
      </c>
      <c r="D291" s="8">
        <v>28</v>
      </c>
    </row>
    <row r="292" spans="1:4" x14ac:dyDescent="0.25">
      <c r="A292" s="8" t="str">
        <f t="shared" si="4"/>
        <v>007</v>
      </c>
      <c r="B292" s="8" t="s">
        <v>71</v>
      </c>
      <c r="C292" s="8" t="s">
        <v>3091</v>
      </c>
      <c r="D292" s="8">
        <v>28</v>
      </c>
    </row>
    <row r="293" spans="1:4" x14ac:dyDescent="0.25">
      <c r="A293" s="8" t="str">
        <f t="shared" si="4"/>
        <v>008</v>
      </c>
      <c r="B293" s="8" t="s">
        <v>271</v>
      </c>
      <c r="C293" s="8" t="s">
        <v>3092</v>
      </c>
      <c r="D293" s="8">
        <v>28</v>
      </c>
    </row>
    <row r="294" spans="1:4" x14ac:dyDescent="0.25">
      <c r="A294" s="8" t="str">
        <f t="shared" si="4"/>
        <v>009</v>
      </c>
      <c r="B294" s="8" t="s">
        <v>273</v>
      </c>
      <c r="C294" s="8" t="s">
        <v>3093</v>
      </c>
      <c r="D294" s="8">
        <v>28</v>
      </c>
    </row>
    <row r="295" spans="1:4" x14ac:dyDescent="0.25">
      <c r="A295" s="8" t="str">
        <f t="shared" si="4"/>
        <v>010</v>
      </c>
      <c r="B295" s="8" t="s">
        <v>61</v>
      </c>
      <c r="C295" s="8" t="s">
        <v>3094</v>
      </c>
      <c r="D295" s="8">
        <v>28</v>
      </c>
    </row>
    <row r="296" spans="1:4" x14ac:dyDescent="0.25">
      <c r="A296" s="8" t="str">
        <f t="shared" si="4"/>
        <v>011</v>
      </c>
      <c r="B296" s="8" t="s">
        <v>74</v>
      </c>
      <c r="C296" s="8" t="s">
        <v>3095</v>
      </c>
      <c r="D296" s="8">
        <v>28</v>
      </c>
    </row>
    <row r="297" spans="1:4" x14ac:dyDescent="0.25">
      <c r="A297" s="8" t="str">
        <f t="shared" si="4"/>
        <v>012</v>
      </c>
      <c r="B297" s="8" t="s">
        <v>76</v>
      </c>
      <c r="C297" s="8" t="s">
        <v>3096</v>
      </c>
      <c r="D297" s="8">
        <v>28</v>
      </c>
    </row>
    <row r="298" spans="1:4" x14ac:dyDescent="0.25">
      <c r="A298" s="8" t="str">
        <f t="shared" si="4"/>
        <v>013</v>
      </c>
      <c r="B298" s="8" t="s">
        <v>278</v>
      </c>
      <c r="C298" s="8" t="s">
        <v>3097</v>
      </c>
      <c r="D298" s="8">
        <v>28</v>
      </c>
    </row>
    <row r="299" spans="1:4" x14ac:dyDescent="0.25">
      <c r="A299" s="8" t="str">
        <f t="shared" si="4"/>
        <v>014</v>
      </c>
      <c r="B299" s="8" t="s">
        <v>280</v>
      </c>
      <c r="C299" s="8" t="s">
        <v>3098</v>
      </c>
      <c r="D299" s="8">
        <v>28</v>
      </c>
    </row>
    <row r="300" spans="1:4" x14ac:dyDescent="0.25">
      <c r="A300" s="8" t="str">
        <f t="shared" si="4"/>
        <v>015</v>
      </c>
      <c r="B300" s="8" t="s">
        <v>346</v>
      </c>
      <c r="C300" s="8" t="s">
        <v>3099</v>
      </c>
      <c r="D300" s="8">
        <v>28</v>
      </c>
    </row>
    <row r="301" spans="1:4" x14ac:dyDescent="0.25">
      <c r="A301" s="8" t="str">
        <f t="shared" si="4"/>
        <v>016</v>
      </c>
      <c r="B301" s="8" t="s">
        <v>82</v>
      </c>
      <c r="C301" s="8" t="s">
        <v>3100</v>
      </c>
      <c r="D301" s="8">
        <v>28</v>
      </c>
    </row>
    <row r="302" spans="1:4" x14ac:dyDescent="0.25">
      <c r="A302" s="8" t="str">
        <f t="shared" si="4"/>
        <v>017</v>
      </c>
      <c r="B302" s="8" t="s">
        <v>349</v>
      </c>
      <c r="C302" s="8" t="s">
        <v>3101</v>
      </c>
      <c r="D302" s="8">
        <v>28</v>
      </c>
    </row>
    <row r="303" spans="1:4" x14ac:dyDescent="0.25">
      <c r="A303" s="8" t="str">
        <f t="shared" si="4"/>
        <v>018</v>
      </c>
      <c r="B303" s="8" t="s">
        <v>351</v>
      </c>
      <c r="C303" s="8" t="s">
        <v>3102</v>
      </c>
      <c r="D303" s="8">
        <v>28</v>
      </c>
    </row>
    <row r="304" spans="1:4" x14ac:dyDescent="0.25">
      <c r="A304" s="8" t="str">
        <f t="shared" si="4"/>
        <v>019</v>
      </c>
      <c r="B304" s="8" t="s">
        <v>353</v>
      </c>
      <c r="C304" s="8" t="s">
        <v>3103</v>
      </c>
      <c r="D304" s="8">
        <v>28</v>
      </c>
    </row>
    <row r="305" spans="1:4" x14ac:dyDescent="0.25">
      <c r="A305" s="8" t="str">
        <f t="shared" si="4"/>
        <v>020</v>
      </c>
      <c r="B305" s="8" t="s">
        <v>63</v>
      </c>
      <c r="C305" s="8" t="s">
        <v>3104</v>
      </c>
      <c r="D305" s="8">
        <v>28</v>
      </c>
    </row>
    <row r="306" spans="1:4" x14ac:dyDescent="0.25">
      <c r="A306" s="8" t="str">
        <f t="shared" si="4"/>
        <v>021</v>
      </c>
      <c r="B306" s="8" t="s">
        <v>356</v>
      </c>
      <c r="C306" s="8" t="s">
        <v>3105</v>
      </c>
      <c r="D306" s="8">
        <v>28</v>
      </c>
    </row>
    <row r="307" spans="1:4" x14ac:dyDescent="0.25">
      <c r="A307" s="8" t="str">
        <f t="shared" si="4"/>
        <v>022</v>
      </c>
      <c r="B307" s="8" t="s">
        <v>358</v>
      </c>
      <c r="C307" s="8" t="s">
        <v>3106</v>
      </c>
      <c r="D307" s="8">
        <v>28</v>
      </c>
    </row>
    <row r="308" spans="1:4" x14ac:dyDescent="0.25">
      <c r="A308" s="8" t="str">
        <f t="shared" si="4"/>
        <v>023</v>
      </c>
      <c r="B308" s="8" t="s">
        <v>360</v>
      </c>
      <c r="C308" s="8" t="s">
        <v>3107</v>
      </c>
      <c r="D308" s="8">
        <v>28</v>
      </c>
    </row>
    <row r="309" spans="1:4" x14ac:dyDescent="0.25">
      <c r="A309" s="8" t="str">
        <f t="shared" si="4"/>
        <v>024</v>
      </c>
      <c r="B309" s="8" t="s">
        <v>362</v>
      </c>
      <c r="C309" s="8" t="s">
        <v>3108</v>
      </c>
      <c r="D309" s="8">
        <v>28</v>
      </c>
    </row>
    <row r="310" spans="1:4" x14ac:dyDescent="0.25">
      <c r="A310" s="8" t="str">
        <f t="shared" si="4"/>
        <v>025</v>
      </c>
      <c r="B310" s="8" t="s">
        <v>84</v>
      </c>
      <c r="C310" s="8" t="s">
        <v>3109</v>
      </c>
      <c r="D310" s="8">
        <v>28</v>
      </c>
    </row>
  </sheetData>
  <autoFilter ref="B1:D284" xr:uid="{A32C87CF-EEB6-4347-93D5-87B4CD1D60E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8"/>
  <sheetViews>
    <sheetView topLeftCell="A109" workbookViewId="0">
      <selection activeCell="C18" sqref="C18"/>
    </sheetView>
  </sheetViews>
  <sheetFormatPr defaultColWidth="9.140625" defaultRowHeight="15" x14ac:dyDescent="0.25"/>
  <cols>
    <col min="1" max="1" width="9.140625" style="10"/>
    <col min="2" max="2" width="13.42578125" style="10" bestFit="1" customWidth="1"/>
    <col min="3" max="3" width="49.42578125" style="10" bestFit="1" customWidth="1"/>
    <col min="4" max="4" width="16.85546875" style="10" bestFit="1" customWidth="1"/>
    <col min="5" max="16384" width="9.140625" style="10"/>
  </cols>
  <sheetData>
    <row r="1" spans="1:4" x14ac:dyDescent="0.25">
      <c r="A1" s="9" t="s">
        <v>3110</v>
      </c>
      <c r="B1" s="9" t="s">
        <v>7616</v>
      </c>
      <c r="C1" s="9" t="s">
        <v>3111</v>
      </c>
      <c r="D1" s="9" t="s">
        <v>60</v>
      </c>
    </row>
    <row r="2" spans="1:4" x14ac:dyDescent="0.25">
      <c r="A2" s="10" t="str">
        <f>TEXT(B2,"00")</f>
        <v>01</v>
      </c>
      <c r="B2" s="10" t="s">
        <v>2768</v>
      </c>
      <c r="C2" s="10" t="s">
        <v>3112</v>
      </c>
      <c r="D2" s="10">
        <v>1</v>
      </c>
    </row>
    <row r="3" spans="1:4" x14ac:dyDescent="0.25">
      <c r="A3" s="10" t="str">
        <f t="shared" ref="A3:A66" si="0">TEXT(B3,"00")</f>
        <v>02</v>
      </c>
      <c r="B3" s="10" t="s">
        <v>2770</v>
      </c>
      <c r="C3" s="10" t="s">
        <v>3113</v>
      </c>
      <c r="D3" s="10">
        <v>1</v>
      </c>
    </row>
    <row r="4" spans="1:4" x14ac:dyDescent="0.25">
      <c r="A4" s="10" t="str">
        <f t="shared" si="0"/>
        <v>01</v>
      </c>
      <c r="B4" s="11" t="s">
        <v>2768</v>
      </c>
      <c r="C4" s="10" t="s">
        <v>3114</v>
      </c>
      <c r="D4" s="10">
        <v>3</v>
      </c>
    </row>
    <row r="5" spans="1:4" x14ac:dyDescent="0.25">
      <c r="A5" s="10" t="str">
        <f t="shared" si="0"/>
        <v>02</v>
      </c>
      <c r="B5" s="11" t="s">
        <v>2770</v>
      </c>
      <c r="C5" s="10" t="s">
        <v>3115</v>
      </c>
      <c r="D5" s="10">
        <v>3</v>
      </c>
    </row>
    <row r="6" spans="1:4" x14ac:dyDescent="0.25">
      <c r="A6" s="10" t="str">
        <f t="shared" si="0"/>
        <v>03</v>
      </c>
      <c r="B6" s="11" t="s">
        <v>2772</v>
      </c>
      <c r="C6" s="10" t="s">
        <v>3116</v>
      </c>
      <c r="D6" s="10">
        <v>3</v>
      </c>
    </row>
    <row r="7" spans="1:4" x14ac:dyDescent="0.25">
      <c r="A7" s="10" t="str">
        <f t="shared" si="0"/>
        <v>04</v>
      </c>
      <c r="B7" s="11" t="s">
        <v>2774</v>
      </c>
      <c r="C7" s="10" t="s">
        <v>3117</v>
      </c>
      <c r="D7" s="10">
        <v>3</v>
      </c>
    </row>
    <row r="8" spans="1:4" x14ac:dyDescent="0.25">
      <c r="A8" s="10" t="str">
        <f t="shared" si="0"/>
        <v>05</v>
      </c>
      <c r="B8" s="11" t="s">
        <v>2776</v>
      </c>
      <c r="D8" s="10">
        <v>3</v>
      </c>
    </row>
    <row r="9" spans="1:4" x14ac:dyDescent="0.25">
      <c r="A9" s="10" t="str">
        <f t="shared" si="0"/>
        <v>01</v>
      </c>
      <c r="B9" s="10" t="s">
        <v>2768</v>
      </c>
      <c r="C9" s="10" t="s">
        <v>3118</v>
      </c>
      <c r="D9" s="10">
        <v>4</v>
      </c>
    </row>
    <row r="10" spans="1:4" x14ac:dyDescent="0.25">
      <c r="A10" s="10" t="str">
        <f t="shared" si="0"/>
        <v>02</v>
      </c>
      <c r="B10" s="10" t="s">
        <v>2770</v>
      </c>
      <c r="C10" s="10" t="s">
        <v>3119</v>
      </c>
      <c r="D10" s="10">
        <v>4</v>
      </c>
    </row>
    <row r="11" spans="1:4" x14ac:dyDescent="0.25">
      <c r="A11" s="10" t="str">
        <f t="shared" si="0"/>
        <v>03</v>
      </c>
      <c r="B11" s="10" t="s">
        <v>2772</v>
      </c>
      <c r="C11" s="10" t="s">
        <v>3120</v>
      </c>
      <c r="D11" s="10">
        <v>4</v>
      </c>
    </row>
    <row r="12" spans="1:4" x14ac:dyDescent="0.25">
      <c r="A12" s="10" t="str">
        <f t="shared" si="0"/>
        <v>04</v>
      </c>
      <c r="B12" s="10" t="s">
        <v>2774</v>
      </c>
      <c r="C12" s="10" t="s">
        <v>3121</v>
      </c>
      <c r="D12" s="10">
        <v>4</v>
      </c>
    </row>
    <row r="13" spans="1:4" x14ac:dyDescent="0.25">
      <c r="A13" s="10" t="str">
        <f t="shared" si="0"/>
        <v>01</v>
      </c>
      <c r="B13" s="10" t="s">
        <v>2768</v>
      </c>
      <c r="C13" s="10" t="s">
        <v>3122</v>
      </c>
      <c r="D13" s="10">
        <v>5</v>
      </c>
    </row>
    <row r="14" spans="1:4" x14ac:dyDescent="0.25">
      <c r="A14" s="10" t="str">
        <f t="shared" si="0"/>
        <v>02</v>
      </c>
      <c r="B14" s="10" t="s">
        <v>2770</v>
      </c>
      <c r="C14" s="10" t="s">
        <v>3123</v>
      </c>
      <c r="D14" s="10">
        <v>5</v>
      </c>
    </row>
    <row r="15" spans="1:4" x14ac:dyDescent="0.25">
      <c r="A15" s="10" t="str">
        <f t="shared" si="0"/>
        <v>03</v>
      </c>
      <c r="B15" s="10" t="s">
        <v>2772</v>
      </c>
      <c r="C15" s="10" t="s">
        <v>3124</v>
      </c>
      <c r="D15" s="10">
        <v>5</v>
      </c>
    </row>
    <row r="16" spans="1:4" x14ac:dyDescent="0.25">
      <c r="A16" s="10" t="str">
        <f t="shared" si="0"/>
        <v>04</v>
      </c>
      <c r="B16" s="10" t="s">
        <v>2774</v>
      </c>
      <c r="C16" s="10" t="s">
        <v>3125</v>
      </c>
      <c r="D16" s="10">
        <v>5</v>
      </c>
    </row>
    <row r="17" spans="1:4" x14ac:dyDescent="0.25">
      <c r="A17" s="10" t="str">
        <f t="shared" si="0"/>
        <v>05</v>
      </c>
      <c r="B17" s="10" t="s">
        <v>2776</v>
      </c>
      <c r="C17" s="10" t="s">
        <v>3126</v>
      </c>
      <c r="D17" s="10">
        <v>5</v>
      </c>
    </row>
    <row r="18" spans="1:4" x14ac:dyDescent="0.25">
      <c r="A18" s="10" t="str">
        <f t="shared" si="0"/>
        <v>05</v>
      </c>
      <c r="B18" s="10" t="s">
        <v>2776</v>
      </c>
      <c r="C18" s="10" t="s">
        <v>3127</v>
      </c>
      <c r="D18" s="10">
        <v>5</v>
      </c>
    </row>
    <row r="19" spans="1:4" x14ac:dyDescent="0.25">
      <c r="A19" s="10" t="str">
        <f t="shared" si="0"/>
        <v>06</v>
      </c>
      <c r="B19" s="10" t="s">
        <v>2778</v>
      </c>
      <c r="C19" s="10" t="s">
        <v>3128</v>
      </c>
      <c r="D19" s="10">
        <v>5</v>
      </c>
    </row>
    <row r="20" spans="1:4" x14ac:dyDescent="0.25">
      <c r="A20" s="10" t="str">
        <f t="shared" si="0"/>
        <v>01</v>
      </c>
      <c r="B20" s="10" t="s">
        <v>2768</v>
      </c>
      <c r="C20" s="10" t="s">
        <v>3129</v>
      </c>
      <c r="D20" s="10">
        <v>6</v>
      </c>
    </row>
    <row r="21" spans="1:4" x14ac:dyDescent="0.25">
      <c r="A21" s="10" t="str">
        <f t="shared" si="0"/>
        <v>02</v>
      </c>
      <c r="B21" s="10" t="s">
        <v>2770</v>
      </c>
      <c r="C21" s="10" t="s">
        <v>3130</v>
      </c>
      <c r="D21" s="10">
        <v>6</v>
      </c>
    </row>
    <row r="22" spans="1:4" x14ac:dyDescent="0.25">
      <c r="A22" s="10" t="str">
        <f t="shared" si="0"/>
        <v>03</v>
      </c>
      <c r="B22" s="10" t="s">
        <v>2772</v>
      </c>
      <c r="C22" s="10" t="s">
        <v>3131</v>
      </c>
      <c r="D22" s="10">
        <v>6</v>
      </c>
    </row>
    <row r="23" spans="1:4" x14ac:dyDescent="0.25">
      <c r="A23" s="10" t="str">
        <f t="shared" si="0"/>
        <v>04</v>
      </c>
      <c r="B23" s="10" t="s">
        <v>2774</v>
      </c>
      <c r="C23" s="10" t="s">
        <v>3132</v>
      </c>
      <c r="D23" s="10">
        <v>6</v>
      </c>
    </row>
    <row r="24" spans="1:4" x14ac:dyDescent="0.25">
      <c r="A24" s="10" t="str">
        <f t="shared" si="0"/>
        <v>05</v>
      </c>
      <c r="B24" s="10" t="s">
        <v>2776</v>
      </c>
      <c r="C24" s="10" t="s">
        <v>3133</v>
      </c>
      <c r="D24" s="10">
        <v>6</v>
      </c>
    </row>
    <row r="25" spans="1:4" x14ac:dyDescent="0.25">
      <c r="A25" s="10" t="str">
        <f t="shared" si="0"/>
        <v>06</v>
      </c>
      <c r="B25" s="10" t="s">
        <v>2778</v>
      </c>
      <c r="C25" s="10" t="s">
        <v>3134</v>
      </c>
      <c r="D25" s="10">
        <v>6</v>
      </c>
    </row>
    <row r="26" spans="1:4" x14ac:dyDescent="0.25">
      <c r="A26" s="10" t="str">
        <f t="shared" si="0"/>
        <v>07</v>
      </c>
      <c r="B26" s="10" t="s">
        <v>3135</v>
      </c>
      <c r="C26" s="10" t="s">
        <v>3136</v>
      </c>
      <c r="D26" s="10">
        <v>6</v>
      </c>
    </row>
    <row r="27" spans="1:4" x14ac:dyDescent="0.25">
      <c r="A27" s="10" t="str">
        <f t="shared" si="0"/>
        <v>11</v>
      </c>
      <c r="B27" s="10">
        <v>11</v>
      </c>
      <c r="C27" s="10" t="s">
        <v>3137</v>
      </c>
      <c r="D27" s="10">
        <v>6</v>
      </c>
    </row>
    <row r="28" spans="1:4" x14ac:dyDescent="0.25">
      <c r="A28" s="10" t="str">
        <f t="shared" si="0"/>
        <v>08</v>
      </c>
      <c r="B28" s="10" t="s">
        <v>3138</v>
      </c>
      <c r="C28" s="10" t="s">
        <v>3139</v>
      </c>
      <c r="D28" s="10">
        <v>6</v>
      </c>
    </row>
    <row r="29" spans="1:4" x14ac:dyDescent="0.25">
      <c r="A29" s="10" t="str">
        <f t="shared" si="0"/>
        <v>09</v>
      </c>
      <c r="B29" s="10" t="s">
        <v>3140</v>
      </c>
      <c r="C29" s="10" t="s">
        <v>3141</v>
      </c>
      <c r="D29" s="10">
        <v>6</v>
      </c>
    </row>
    <row r="30" spans="1:4" x14ac:dyDescent="0.25">
      <c r="A30" s="10" t="str">
        <f t="shared" si="0"/>
        <v>10</v>
      </c>
      <c r="B30" s="10" t="s">
        <v>3142</v>
      </c>
      <c r="C30" s="10" t="s">
        <v>3143</v>
      </c>
      <c r="D30" s="10">
        <v>6</v>
      </c>
    </row>
    <row r="31" spans="1:4" x14ac:dyDescent="0.25">
      <c r="A31" s="10" t="str">
        <f t="shared" si="0"/>
        <v>00</v>
      </c>
      <c r="B31" s="10" t="s">
        <v>2767</v>
      </c>
      <c r="C31" s="10" t="s">
        <v>2463</v>
      </c>
      <c r="D31" s="10">
        <v>6</v>
      </c>
    </row>
    <row r="32" spans="1:4" x14ac:dyDescent="0.25">
      <c r="A32" s="10" t="str">
        <f t="shared" si="0"/>
        <v>01</v>
      </c>
      <c r="B32" s="10" t="s">
        <v>2768</v>
      </c>
      <c r="C32" s="10" t="s">
        <v>3144</v>
      </c>
      <c r="D32" s="10">
        <v>7</v>
      </c>
    </row>
    <row r="33" spans="1:4" x14ac:dyDescent="0.25">
      <c r="A33" s="10" t="str">
        <f t="shared" si="0"/>
        <v>00</v>
      </c>
      <c r="B33" s="10" t="s">
        <v>2767</v>
      </c>
      <c r="C33" s="10" t="s">
        <v>66</v>
      </c>
      <c r="D33" s="10">
        <v>8</v>
      </c>
    </row>
    <row r="34" spans="1:4" x14ac:dyDescent="0.25">
      <c r="A34" s="10" t="str">
        <f t="shared" si="0"/>
        <v>01</v>
      </c>
      <c r="B34" s="10" t="s">
        <v>2768</v>
      </c>
      <c r="C34" s="10" t="s">
        <v>3145</v>
      </c>
      <c r="D34" s="10">
        <v>8</v>
      </c>
    </row>
    <row r="35" spans="1:4" x14ac:dyDescent="0.25">
      <c r="A35" s="10" t="str">
        <f t="shared" si="0"/>
        <v>02</v>
      </c>
      <c r="B35" s="10" t="s">
        <v>2770</v>
      </c>
      <c r="C35" s="10" t="s">
        <v>3146</v>
      </c>
      <c r="D35" s="10">
        <v>8</v>
      </c>
    </row>
    <row r="36" spans="1:4" x14ac:dyDescent="0.25">
      <c r="A36" s="10" t="str">
        <f t="shared" si="0"/>
        <v>03</v>
      </c>
      <c r="B36" s="10" t="s">
        <v>2772</v>
      </c>
      <c r="C36" s="10" t="s">
        <v>3147</v>
      </c>
      <c r="D36" s="10">
        <v>8</v>
      </c>
    </row>
    <row r="37" spans="1:4" x14ac:dyDescent="0.25">
      <c r="A37" s="10" t="str">
        <f t="shared" si="0"/>
        <v>04</v>
      </c>
      <c r="B37" s="10" t="s">
        <v>2774</v>
      </c>
      <c r="C37" s="10" t="s">
        <v>3148</v>
      </c>
      <c r="D37" s="10">
        <v>8</v>
      </c>
    </row>
    <row r="38" spans="1:4" x14ac:dyDescent="0.25">
      <c r="A38" s="10" t="str">
        <f t="shared" si="0"/>
        <v>05</v>
      </c>
      <c r="B38" s="10" t="s">
        <v>2776</v>
      </c>
      <c r="C38" s="10" t="s">
        <v>3149</v>
      </c>
      <c r="D38" s="10">
        <v>8</v>
      </c>
    </row>
    <row r="39" spans="1:4" x14ac:dyDescent="0.25">
      <c r="A39" s="10" t="str">
        <f t="shared" si="0"/>
        <v>00</v>
      </c>
      <c r="B39" s="10" t="s">
        <v>2767</v>
      </c>
      <c r="C39" s="10" t="s">
        <v>66</v>
      </c>
      <c r="D39" s="10">
        <v>9</v>
      </c>
    </row>
    <row r="40" spans="1:4" x14ac:dyDescent="0.25">
      <c r="A40" s="10" t="str">
        <f t="shared" si="0"/>
        <v>01</v>
      </c>
      <c r="B40" s="10" t="s">
        <v>2768</v>
      </c>
      <c r="C40" s="10" t="s">
        <v>3150</v>
      </c>
      <c r="D40" s="10">
        <v>9</v>
      </c>
    </row>
    <row r="41" spans="1:4" x14ac:dyDescent="0.25">
      <c r="A41" s="10" t="str">
        <f t="shared" si="0"/>
        <v>02</v>
      </c>
      <c r="B41" s="10" t="s">
        <v>2770</v>
      </c>
      <c r="C41" s="10" t="s">
        <v>3151</v>
      </c>
      <c r="D41" s="10">
        <v>9</v>
      </c>
    </row>
    <row r="42" spans="1:4" x14ac:dyDescent="0.25">
      <c r="A42" s="10" t="str">
        <f t="shared" si="0"/>
        <v>03</v>
      </c>
      <c r="B42" s="10" t="s">
        <v>2772</v>
      </c>
      <c r="C42" s="10" t="s">
        <v>3152</v>
      </c>
      <c r="D42" s="10">
        <v>9</v>
      </c>
    </row>
    <row r="43" spans="1:4" x14ac:dyDescent="0.25">
      <c r="A43" s="10" t="str">
        <f t="shared" si="0"/>
        <v>04</v>
      </c>
      <c r="B43" s="10" t="s">
        <v>2774</v>
      </c>
      <c r="C43" s="10" t="s">
        <v>3153</v>
      </c>
      <c r="D43" s="10">
        <v>9</v>
      </c>
    </row>
    <row r="44" spans="1:4" x14ac:dyDescent="0.25">
      <c r="A44" s="10" t="str">
        <f t="shared" si="0"/>
        <v>05</v>
      </c>
      <c r="B44" s="10" t="s">
        <v>2776</v>
      </c>
      <c r="C44" s="10" t="s">
        <v>3154</v>
      </c>
      <c r="D44" s="10">
        <v>9</v>
      </c>
    </row>
    <row r="45" spans="1:4" x14ac:dyDescent="0.25">
      <c r="A45" s="10" t="str">
        <f t="shared" si="0"/>
        <v>00</v>
      </c>
      <c r="B45" s="10" t="s">
        <v>2767</v>
      </c>
      <c r="C45" s="10" t="s">
        <v>567</v>
      </c>
      <c r="D45" s="10">
        <v>10</v>
      </c>
    </row>
    <row r="46" spans="1:4" x14ac:dyDescent="0.25">
      <c r="A46" s="10" t="str">
        <f t="shared" si="0"/>
        <v>01</v>
      </c>
      <c r="B46" s="10" t="s">
        <v>2768</v>
      </c>
      <c r="C46" s="10" t="s">
        <v>3155</v>
      </c>
      <c r="D46" s="10">
        <v>10</v>
      </c>
    </row>
    <row r="47" spans="1:4" x14ac:dyDescent="0.25">
      <c r="A47" s="10" t="str">
        <f t="shared" si="0"/>
        <v>00</v>
      </c>
      <c r="B47" s="10" t="s">
        <v>2767</v>
      </c>
      <c r="C47" s="10" t="s">
        <v>66</v>
      </c>
      <c r="D47" s="10">
        <v>11</v>
      </c>
    </row>
    <row r="48" spans="1:4" x14ac:dyDescent="0.25">
      <c r="A48" s="10" t="str">
        <f t="shared" si="0"/>
        <v>01</v>
      </c>
      <c r="B48" s="10" t="s">
        <v>2768</v>
      </c>
      <c r="C48" s="10" t="s">
        <v>3156</v>
      </c>
      <c r="D48" s="10">
        <v>11</v>
      </c>
    </row>
    <row r="49" spans="1:4" x14ac:dyDescent="0.25">
      <c r="A49" s="10" t="str">
        <f t="shared" si="0"/>
        <v>02</v>
      </c>
      <c r="B49" s="10" t="s">
        <v>2770</v>
      </c>
      <c r="C49" s="10" t="s">
        <v>3157</v>
      </c>
      <c r="D49" s="10">
        <v>11</v>
      </c>
    </row>
    <row r="50" spans="1:4" x14ac:dyDescent="0.25">
      <c r="A50" s="10" t="str">
        <f t="shared" si="0"/>
        <v>03</v>
      </c>
      <c r="B50" s="10" t="s">
        <v>2772</v>
      </c>
      <c r="C50" s="10" t="s">
        <v>3158</v>
      </c>
      <c r="D50" s="10">
        <v>11</v>
      </c>
    </row>
    <row r="51" spans="1:4" x14ac:dyDescent="0.25">
      <c r="A51" s="10" t="str">
        <f t="shared" si="0"/>
        <v>04</v>
      </c>
      <c r="B51" s="10" t="s">
        <v>2774</v>
      </c>
      <c r="C51" s="10" t="s">
        <v>3159</v>
      </c>
      <c r="D51" s="10">
        <v>11</v>
      </c>
    </row>
    <row r="52" spans="1:4" x14ac:dyDescent="0.25">
      <c r="A52" s="10" t="str">
        <f t="shared" si="0"/>
        <v>05</v>
      </c>
      <c r="B52" s="10" t="s">
        <v>2776</v>
      </c>
      <c r="C52" s="10" t="s">
        <v>3160</v>
      </c>
      <c r="D52" s="10">
        <v>11</v>
      </c>
    </row>
    <row r="53" spans="1:4" x14ac:dyDescent="0.25">
      <c r="A53" s="10" t="str">
        <f t="shared" si="0"/>
        <v>06</v>
      </c>
      <c r="B53" s="10" t="s">
        <v>2778</v>
      </c>
      <c r="C53" s="10" t="s">
        <v>3161</v>
      </c>
      <c r="D53" s="10">
        <v>11</v>
      </c>
    </row>
    <row r="54" spans="1:4" x14ac:dyDescent="0.25">
      <c r="A54" s="10" t="str">
        <f t="shared" si="0"/>
        <v>07</v>
      </c>
      <c r="B54" s="10" t="s">
        <v>3135</v>
      </c>
      <c r="C54" s="10" t="s">
        <v>3162</v>
      </c>
      <c r="D54" s="10">
        <v>11</v>
      </c>
    </row>
    <row r="55" spans="1:4" x14ac:dyDescent="0.25">
      <c r="A55" s="10" t="str">
        <f t="shared" si="0"/>
        <v>01</v>
      </c>
      <c r="B55" s="10" t="s">
        <v>2768</v>
      </c>
      <c r="C55" s="10" t="s">
        <v>3163</v>
      </c>
      <c r="D55" s="10">
        <v>12</v>
      </c>
    </row>
    <row r="56" spans="1:4" x14ac:dyDescent="0.25">
      <c r="A56" s="10" t="str">
        <f t="shared" si="0"/>
        <v>02</v>
      </c>
      <c r="B56" s="10" t="s">
        <v>2770</v>
      </c>
      <c r="C56" s="10" t="s">
        <v>3164</v>
      </c>
      <c r="D56" s="10">
        <v>12</v>
      </c>
    </row>
    <row r="57" spans="1:4" x14ac:dyDescent="0.25">
      <c r="A57" s="10" t="str">
        <f t="shared" si="0"/>
        <v>03</v>
      </c>
      <c r="B57" s="10" t="s">
        <v>2772</v>
      </c>
      <c r="C57" s="10" t="s">
        <v>3165</v>
      </c>
      <c r="D57" s="10">
        <v>12</v>
      </c>
    </row>
    <row r="58" spans="1:4" x14ac:dyDescent="0.25">
      <c r="A58" s="10" t="str">
        <f t="shared" si="0"/>
        <v>04</v>
      </c>
      <c r="B58" s="10" t="s">
        <v>2774</v>
      </c>
      <c r="C58" s="10" t="s">
        <v>3166</v>
      </c>
      <c r="D58" s="10">
        <v>12</v>
      </c>
    </row>
    <row r="59" spans="1:4" x14ac:dyDescent="0.25">
      <c r="A59" s="10" t="str">
        <f t="shared" si="0"/>
        <v>05</v>
      </c>
      <c r="B59" s="10" t="s">
        <v>2776</v>
      </c>
      <c r="C59" s="10" t="s">
        <v>3167</v>
      </c>
      <c r="D59" s="10">
        <v>12</v>
      </c>
    </row>
    <row r="60" spans="1:4" x14ac:dyDescent="0.25">
      <c r="A60" s="10" t="str">
        <f t="shared" si="0"/>
        <v>00</v>
      </c>
      <c r="B60" s="10" t="s">
        <v>2767</v>
      </c>
      <c r="C60" s="10" t="s">
        <v>66</v>
      </c>
      <c r="D60" s="10">
        <v>12</v>
      </c>
    </row>
    <row r="61" spans="1:4" x14ac:dyDescent="0.25">
      <c r="A61" s="10" t="str">
        <f t="shared" si="0"/>
        <v>00</v>
      </c>
      <c r="B61" s="10" t="s">
        <v>2767</v>
      </c>
      <c r="C61" s="10" t="s">
        <v>66</v>
      </c>
      <c r="D61" s="10">
        <v>13</v>
      </c>
    </row>
    <row r="62" spans="1:4" x14ac:dyDescent="0.25">
      <c r="A62" s="10" t="str">
        <f t="shared" si="0"/>
        <v>02</v>
      </c>
      <c r="B62" s="10" t="s">
        <v>2770</v>
      </c>
      <c r="C62" s="10" t="s">
        <v>3168</v>
      </c>
      <c r="D62" s="10">
        <v>13</v>
      </c>
    </row>
    <row r="63" spans="1:4" x14ac:dyDescent="0.25">
      <c r="A63" s="10" t="str">
        <f t="shared" si="0"/>
        <v>01</v>
      </c>
      <c r="B63" s="10" t="s">
        <v>2768</v>
      </c>
      <c r="C63" s="10" t="s">
        <v>3169</v>
      </c>
      <c r="D63" s="10">
        <v>13</v>
      </c>
    </row>
    <row r="64" spans="1:4" x14ac:dyDescent="0.25">
      <c r="A64" s="10" t="str">
        <f t="shared" si="0"/>
        <v>00</v>
      </c>
      <c r="B64" s="10" t="s">
        <v>2767</v>
      </c>
      <c r="C64" s="10" t="s">
        <v>66</v>
      </c>
      <c r="D64" s="10">
        <v>14</v>
      </c>
    </row>
    <row r="65" spans="1:4" x14ac:dyDescent="0.25">
      <c r="A65" s="10" t="str">
        <f t="shared" si="0"/>
        <v>01</v>
      </c>
      <c r="B65" s="10" t="s">
        <v>2768</v>
      </c>
      <c r="C65" s="10" t="s">
        <v>3170</v>
      </c>
      <c r="D65" s="10">
        <v>14</v>
      </c>
    </row>
    <row r="66" spans="1:4" x14ac:dyDescent="0.25">
      <c r="A66" s="10" t="str">
        <f t="shared" si="0"/>
        <v>02</v>
      </c>
      <c r="B66" s="10" t="s">
        <v>2770</v>
      </c>
      <c r="C66" s="10" t="s">
        <v>3171</v>
      </c>
      <c r="D66" s="10">
        <v>14</v>
      </c>
    </row>
    <row r="67" spans="1:4" x14ac:dyDescent="0.25">
      <c r="A67" s="10" t="str">
        <f t="shared" ref="A67:A126" si="1">TEXT(B67,"00")</f>
        <v>80</v>
      </c>
      <c r="B67" s="10" t="s">
        <v>3172</v>
      </c>
      <c r="C67" s="10" t="s">
        <v>3173</v>
      </c>
      <c r="D67" s="10">
        <v>15</v>
      </c>
    </row>
    <row r="68" spans="1:4" x14ac:dyDescent="0.25">
      <c r="A68" s="10" t="str">
        <f t="shared" si="1"/>
        <v>01</v>
      </c>
      <c r="B68" s="10" t="s">
        <v>2768</v>
      </c>
      <c r="C68" s="10" t="s">
        <v>3174</v>
      </c>
      <c r="D68" s="10">
        <v>15</v>
      </c>
    </row>
    <row r="69" spans="1:4" x14ac:dyDescent="0.25">
      <c r="A69" s="10" t="str">
        <f t="shared" si="1"/>
        <v>30</v>
      </c>
      <c r="B69" s="10" t="s">
        <v>3175</v>
      </c>
      <c r="C69" s="10" t="s">
        <v>3173</v>
      </c>
      <c r="D69" s="10">
        <v>15</v>
      </c>
    </row>
    <row r="70" spans="1:4" x14ac:dyDescent="0.25">
      <c r="A70" s="10" t="str">
        <f t="shared" si="1"/>
        <v>00</v>
      </c>
      <c r="B70" s="10" t="s">
        <v>2767</v>
      </c>
      <c r="C70" s="10" t="s">
        <v>66</v>
      </c>
      <c r="D70" s="10">
        <v>16</v>
      </c>
    </row>
    <row r="71" spans="1:4" x14ac:dyDescent="0.25">
      <c r="A71" s="10" t="str">
        <f t="shared" si="1"/>
        <v>01</v>
      </c>
      <c r="B71" s="10" t="s">
        <v>2768</v>
      </c>
      <c r="C71" s="10" t="s">
        <v>3176</v>
      </c>
      <c r="D71" s="10">
        <v>16</v>
      </c>
    </row>
    <row r="72" spans="1:4" x14ac:dyDescent="0.25">
      <c r="A72" s="10" t="str">
        <f t="shared" si="1"/>
        <v>00</v>
      </c>
      <c r="B72" s="10" t="s">
        <v>2767</v>
      </c>
      <c r="C72" s="10" t="s">
        <v>66</v>
      </c>
      <c r="D72" s="10">
        <v>17</v>
      </c>
    </row>
    <row r="73" spans="1:4" x14ac:dyDescent="0.25">
      <c r="A73" s="10" t="str">
        <f t="shared" si="1"/>
        <v>01</v>
      </c>
      <c r="B73" s="10" t="s">
        <v>2768</v>
      </c>
      <c r="C73" s="10" t="s">
        <v>3177</v>
      </c>
      <c r="D73" s="10">
        <v>17</v>
      </c>
    </row>
    <row r="74" spans="1:4" x14ac:dyDescent="0.25">
      <c r="A74" s="10" t="str">
        <f t="shared" si="1"/>
        <v>02</v>
      </c>
      <c r="B74" s="10" t="s">
        <v>2770</v>
      </c>
      <c r="C74" s="10" t="s">
        <v>3178</v>
      </c>
      <c r="D74" s="10">
        <v>17</v>
      </c>
    </row>
    <row r="75" spans="1:4" x14ac:dyDescent="0.25">
      <c r="A75" s="10" t="str">
        <f t="shared" si="1"/>
        <v>03</v>
      </c>
      <c r="B75" s="10" t="s">
        <v>2772</v>
      </c>
      <c r="C75" s="10" t="s">
        <v>3179</v>
      </c>
      <c r="D75" s="10">
        <v>17</v>
      </c>
    </row>
    <row r="76" spans="1:4" x14ac:dyDescent="0.25">
      <c r="A76" s="10" t="str">
        <f t="shared" si="1"/>
        <v>04</v>
      </c>
      <c r="B76" s="10" t="s">
        <v>2774</v>
      </c>
      <c r="C76" s="10" t="s">
        <v>3180</v>
      </c>
      <c r="D76" s="10">
        <v>17</v>
      </c>
    </row>
    <row r="77" spans="1:4" x14ac:dyDescent="0.25">
      <c r="A77" s="10" t="str">
        <f t="shared" si="1"/>
        <v>00</v>
      </c>
      <c r="B77" s="10" t="s">
        <v>2767</v>
      </c>
      <c r="C77" s="10" t="s">
        <v>66</v>
      </c>
      <c r="D77" s="10">
        <v>18</v>
      </c>
    </row>
    <row r="78" spans="1:4" x14ac:dyDescent="0.25">
      <c r="A78" s="10" t="str">
        <f t="shared" si="1"/>
        <v>01</v>
      </c>
      <c r="B78" s="10" t="s">
        <v>2768</v>
      </c>
      <c r="C78" s="10" t="s">
        <v>2379</v>
      </c>
      <c r="D78" s="10">
        <v>18</v>
      </c>
    </row>
    <row r="79" spans="1:4" x14ac:dyDescent="0.25">
      <c r="A79" s="10" t="str">
        <f t="shared" si="1"/>
        <v>02</v>
      </c>
      <c r="B79" s="10" t="s">
        <v>2770</v>
      </c>
      <c r="C79" s="10" t="s">
        <v>2565</v>
      </c>
      <c r="D79" s="10">
        <v>18</v>
      </c>
    </row>
    <row r="80" spans="1:4" x14ac:dyDescent="0.25">
      <c r="A80" s="10" t="str">
        <f t="shared" si="1"/>
        <v>03</v>
      </c>
      <c r="B80" s="10" t="s">
        <v>2772</v>
      </c>
      <c r="C80" s="10" t="s">
        <v>3181</v>
      </c>
      <c r="D80" s="10">
        <v>18</v>
      </c>
    </row>
    <row r="81" spans="1:4" x14ac:dyDescent="0.25">
      <c r="A81" s="10" t="str">
        <f t="shared" si="1"/>
        <v>04</v>
      </c>
      <c r="B81" s="10" t="s">
        <v>2774</v>
      </c>
      <c r="C81" s="10" t="s">
        <v>3182</v>
      </c>
      <c r="D81" s="10">
        <v>18</v>
      </c>
    </row>
    <row r="82" spans="1:4" x14ac:dyDescent="0.25">
      <c r="A82" s="10" t="str">
        <f t="shared" si="1"/>
        <v>05</v>
      </c>
      <c r="B82" s="10" t="s">
        <v>2776</v>
      </c>
      <c r="C82" s="10" t="s">
        <v>3183</v>
      </c>
      <c r="D82" s="10">
        <v>18</v>
      </c>
    </row>
    <row r="83" spans="1:4" x14ac:dyDescent="0.25">
      <c r="A83" s="10" t="str">
        <f t="shared" si="1"/>
        <v>06</v>
      </c>
      <c r="B83" s="10" t="s">
        <v>2778</v>
      </c>
      <c r="C83" s="10" t="s">
        <v>3184</v>
      </c>
      <c r="D83" s="10">
        <v>18</v>
      </c>
    </row>
    <row r="84" spans="1:4" x14ac:dyDescent="0.25">
      <c r="A84" s="10" t="str">
        <f t="shared" si="1"/>
        <v>07</v>
      </c>
      <c r="B84" s="10" t="s">
        <v>3135</v>
      </c>
      <c r="C84" s="10" t="s">
        <v>3185</v>
      </c>
      <c r="D84" s="10">
        <v>18</v>
      </c>
    </row>
    <row r="85" spans="1:4" x14ac:dyDescent="0.25">
      <c r="A85" s="10" t="str">
        <f t="shared" si="1"/>
        <v>00</v>
      </c>
      <c r="B85" s="10" t="s">
        <v>2767</v>
      </c>
      <c r="C85" s="10" t="s">
        <v>66</v>
      </c>
      <c r="D85" s="10">
        <v>19</v>
      </c>
    </row>
    <row r="86" spans="1:4" x14ac:dyDescent="0.25">
      <c r="A86" s="10" t="str">
        <f t="shared" si="1"/>
        <v>01</v>
      </c>
      <c r="B86" s="10" t="s">
        <v>2768</v>
      </c>
      <c r="C86" s="10" t="s">
        <v>3186</v>
      </c>
      <c r="D86" s="10">
        <v>19</v>
      </c>
    </row>
    <row r="87" spans="1:4" x14ac:dyDescent="0.25">
      <c r="A87" s="10" t="str">
        <f t="shared" si="1"/>
        <v>02</v>
      </c>
      <c r="B87" s="10" t="s">
        <v>2770</v>
      </c>
      <c r="C87" s="10" t="s">
        <v>3187</v>
      </c>
      <c r="D87" s="10">
        <v>19</v>
      </c>
    </row>
    <row r="88" spans="1:4" x14ac:dyDescent="0.25">
      <c r="A88" s="10" t="str">
        <f t="shared" si="1"/>
        <v>03</v>
      </c>
      <c r="B88" s="10" t="s">
        <v>2772</v>
      </c>
      <c r="C88" s="10" t="s">
        <v>3188</v>
      </c>
      <c r="D88" s="10">
        <v>19</v>
      </c>
    </row>
    <row r="89" spans="1:4" x14ac:dyDescent="0.25">
      <c r="A89" s="10" t="str">
        <f t="shared" si="1"/>
        <v>04</v>
      </c>
      <c r="B89" s="10" t="s">
        <v>2774</v>
      </c>
      <c r="C89" s="10" t="s">
        <v>3189</v>
      </c>
      <c r="D89" s="10">
        <v>19</v>
      </c>
    </row>
    <row r="90" spans="1:4" x14ac:dyDescent="0.25">
      <c r="A90" s="10" t="str">
        <f t="shared" si="1"/>
        <v>05</v>
      </c>
      <c r="B90" s="10" t="s">
        <v>2776</v>
      </c>
      <c r="C90" s="10" t="s">
        <v>3190</v>
      </c>
      <c r="D90" s="10">
        <v>19</v>
      </c>
    </row>
    <row r="91" spans="1:4" x14ac:dyDescent="0.25">
      <c r="A91" s="10" t="str">
        <f t="shared" si="1"/>
        <v>11</v>
      </c>
      <c r="B91" s="10" t="s">
        <v>3191</v>
      </c>
      <c r="C91" s="10" t="s">
        <v>3192</v>
      </c>
      <c r="D91" s="10">
        <v>19</v>
      </c>
    </row>
    <row r="92" spans="1:4" x14ac:dyDescent="0.25">
      <c r="A92" s="10" t="str">
        <f t="shared" si="1"/>
        <v>12</v>
      </c>
      <c r="B92" s="10">
        <v>12</v>
      </c>
      <c r="C92" s="10" t="s">
        <v>3193</v>
      </c>
      <c r="D92" s="10">
        <v>19</v>
      </c>
    </row>
    <row r="93" spans="1:4" x14ac:dyDescent="0.25">
      <c r="A93" s="10" t="str">
        <f t="shared" si="1"/>
        <v>13</v>
      </c>
      <c r="B93" s="10">
        <v>13</v>
      </c>
      <c r="C93" s="10" t="s">
        <v>3194</v>
      </c>
      <c r="D93" s="10">
        <v>19</v>
      </c>
    </row>
    <row r="94" spans="1:4" x14ac:dyDescent="0.25">
      <c r="A94" s="10" t="str">
        <f t="shared" si="1"/>
        <v>00</v>
      </c>
      <c r="B94" s="10" t="s">
        <v>2767</v>
      </c>
      <c r="C94" s="10" t="s">
        <v>66</v>
      </c>
      <c r="D94" s="10">
        <v>20</v>
      </c>
    </row>
    <row r="95" spans="1:4" x14ac:dyDescent="0.25">
      <c r="A95" s="10" t="str">
        <f t="shared" si="1"/>
        <v>00</v>
      </c>
      <c r="B95" s="10" t="s">
        <v>2767</v>
      </c>
      <c r="C95" s="10" t="s">
        <v>66</v>
      </c>
      <c r="D95" s="10">
        <v>21</v>
      </c>
    </row>
    <row r="96" spans="1:4" x14ac:dyDescent="0.25">
      <c r="A96" s="10" t="str">
        <f t="shared" si="1"/>
        <v>02</v>
      </c>
      <c r="B96" s="10" t="s">
        <v>2770</v>
      </c>
      <c r="C96" s="10" t="s">
        <v>3195</v>
      </c>
      <c r="D96" s="10">
        <v>21</v>
      </c>
    </row>
    <row r="97" spans="1:4" x14ac:dyDescent="0.25">
      <c r="A97" s="10" t="str">
        <f t="shared" si="1"/>
        <v>00</v>
      </c>
      <c r="B97" s="10" t="s">
        <v>2767</v>
      </c>
      <c r="C97" s="10" t="s">
        <v>66</v>
      </c>
      <c r="D97" s="10">
        <v>22</v>
      </c>
    </row>
    <row r="98" spans="1:4" x14ac:dyDescent="0.25">
      <c r="A98" s="10" t="str">
        <f t="shared" si="1"/>
        <v>40</v>
      </c>
      <c r="B98" s="10" t="s">
        <v>3196</v>
      </c>
      <c r="C98" s="10" t="s">
        <v>3197</v>
      </c>
      <c r="D98" s="10">
        <v>22</v>
      </c>
    </row>
    <row r="99" spans="1:4" x14ac:dyDescent="0.25">
      <c r="A99" s="10" t="str">
        <f t="shared" si="1"/>
        <v>41</v>
      </c>
      <c r="B99" s="10" t="s">
        <v>3198</v>
      </c>
      <c r="C99" s="10" t="s">
        <v>3199</v>
      </c>
      <c r="D99" s="10">
        <v>22</v>
      </c>
    </row>
    <row r="100" spans="1:4" x14ac:dyDescent="0.25">
      <c r="A100" s="10" t="str">
        <f t="shared" si="1"/>
        <v>42</v>
      </c>
      <c r="B100" s="10" t="s">
        <v>3200</v>
      </c>
      <c r="C100" s="10" t="s">
        <v>3201</v>
      </c>
      <c r="D100" s="10">
        <v>22</v>
      </c>
    </row>
    <row r="101" spans="1:4" x14ac:dyDescent="0.25">
      <c r="A101" s="10" t="str">
        <f t="shared" si="1"/>
        <v>43</v>
      </c>
      <c r="B101" s="10">
        <v>43</v>
      </c>
      <c r="C101" s="10" t="s">
        <v>3202</v>
      </c>
      <c r="D101" s="10">
        <v>22</v>
      </c>
    </row>
    <row r="102" spans="1:4" x14ac:dyDescent="0.25">
      <c r="A102" s="10" t="str">
        <f t="shared" si="1"/>
        <v>44</v>
      </c>
      <c r="B102" s="10">
        <v>44</v>
      </c>
      <c r="C102" s="10" t="s">
        <v>3203</v>
      </c>
      <c r="D102" s="10">
        <v>22</v>
      </c>
    </row>
    <row r="103" spans="1:4" x14ac:dyDescent="0.25">
      <c r="A103" s="10" t="str">
        <f t="shared" si="1"/>
        <v>00</v>
      </c>
      <c r="B103" s="10" t="s">
        <v>2767</v>
      </c>
      <c r="C103" s="10" t="s">
        <v>66</v>
      </c>
      <c r="D103" s="10">
        <v>23</v>
      </c>
    </row>
    <row r="104" spans="1:4" x14ac:dyDescent="0.25">
      <c r="A104" s="10" t="str">
        <f t="shared" si="1"/>
        <v>00</v>
      </c>
      <c r="B104" s="10" t="s">
        <v>2767</v>
      </c>
      <c r="C104" s="10" t="s">
        <v>66</v>
      </c>
      <c r="D104" s="10">
        <v>24</v>
      </c>
    </row>
    <row r="105" spans="1:4" x14ac:dyDescent="0.25">
      <c r="A105" s="10" t="str">
        <f t="shared" si="1"/>
        <v>01</v>
      </c>
      <c r="B105" s="10" t="s">
        <v>2768</v>
      </c>
      <c r="C105" s="10" t="s">
        <v>3204</v>
      </c>
      <c r="D105" s="10">
        <v>24</v>
      </c>
    </row>
    <row r="106" spans="1:4" x14ac:dyDescent="0.25">
      <c r="A106" s="10" t="str">
        <f t="shared" si="1"/>
        <v>02</v>
      </c>
      <c r="B106" s="10" t="s">
        <v>2770</v>
      </c>
      <c r="C106" s="10" t="s">
        <v>3205</v>
      </c>
      <c r="D106" s="10">
        <v>24</v>
      </c>
    </row>
    <row r="107" spans="1:4" x14ac:dyDescent="0.25">
      <c r="A107" s="10" t="str">
        <f t="shared" si="1"/>
        <v>03</v>
      </c>
      <c r="B107" s="10" t="s">
        <v>2772</v>
      </c>
      <c r="C107" s="10" t="s">
        <v>1979</v>
      </c>
      <c r="D107" s="10">
        <v>24</v>
      </c>
    </row>
    <row r="108" spans="1:4" x14ac:dyDescent="0.25">
      <c r="A108" s="10" t="str">
        <f t="shared" si="1"/>
        <v>04</v>
      </c>
      <c r="B108" s="10" t="s">
        <v>2774</v>
      </c>
      <c r="C108" s="10" t="s">
        <v>3206</v>
      </c>
      <c r="D108" s="10">
        <v>24</v>
      </c>
    </row>
    <row r="109" spans="1:4" x14ac:dyDescent="0.25">
      <c r="A109" s="10" t="str">
        <f t="shared" si="1"/>
        <v>00</v>
      </c>
      <c r="B109" s="10" t="s">
        <v>2767</v>
      </c>
      <c r="C109" s="10" t="s">
        <v>66</v>
      </c>
      <c r="D109" s="10">
        <v>25</v>
      </c>
    </row>
    <row r="110" spans="1:4" x14ac:dyDescent="0.25">
      <c r="A110" s="10" t="str">
        <f t="shared" si="1"/>
        <v>00</v>
      </c>
      <c r="B110" s="10" t="s">
        <v>2767</v>
      </c>
      <c r="C110" s="10" t="s">
        <v>66</v>
      </c>
      <c r="D110" s="10">
        <v>26</v>
      </c>
    </row>
    <row r="111" spans="1:4" x14ac:dyDescent="0.25">
      <c r="A111" s="10" t="str">
        <f t="shared" si="1"/>
        <v>00</v>
      </c>
      <c r="B111" s="10" t="s">
        <v>2767</v>
      </c>
      <c r="C111" s="10" t="s">
        <v>66</v>
      </c>
      <c r="D111" s="10">
        <v>27</v>
      </c>
    </row>
    <row r="112" spans="1:4" x14ac:dyDescent="0.25">
      <c r="A112" s="10" t="str">
        <f t="shared" si="1"/>
        <v>00</v>
      </c>
      <c r="B112" s="10" t="s">
        <v>2767</v>
      </c>
      <c r="C112" s="10" t="s">
        <v>66</v>
      </c>
      <c r="D112" s="10">
        <v>28</v>
      </c>
    </row>
    <row r="113" spans="1:4" x14ac:dyDescent="0.25">
      <c r="A113" s="10" t="str">
        <f t="shared" si="1"/>
        <v>01</v>
      </c>
      <c r="B113" s="10" t="s">
        <v>2768</v>
      </c>
      <c r="C113" s="10" t="s">
        <v>3207</v>
      </c>
      <c r="D113" s="10">
        <v>28</v>
      </c>
    </row>
    <row r="114" spans="1:4" x14ac:dyDescent="0.25">
      <c r="A114" s="10" t="str">
        <f t="shared" si="1"/>
        <v>02</v>
      </c>
      <c r="B114" s="10" t="s">
        <v>2770</v>
      </c>
      <c r="C114" s="10" t="s">
        <v>3208</v>
      </c>
      <c r="D114" s="10">
        <v>28</v>
      </c>
    </row>
    <row r="115" spans="1:4" x14ac:dyDescent="0.25">
      <c r="A115" s="10" t="str">
        <f t="shared" si="1"/>
        <v>03</v>
      </c>
      <c r="B115" s="10" t="s">
        <v>2772</v>
      </c>
      <c r="C115" s="10" t="s">
        <v>3209</v>
      </c>
      <c r="D115" s="10">
        <v>28</v>
      </c>
    </row>
    <row r="116" spans="1:4" x14ac:dyDescent="0.25">
      <c r="A116" s="10" t="str">
        <f t="shared" si="1"/>
        <v>04</v>
      </c>
      <c r="B116" s="10" t="s">
        <v>2774</v>
      </c>
      <c r="C116" s="10" t="s">
        <v>3210</v>
      </c>
      <c r="D116" s="10">
        <v>28</v>
      </c>
    </row>
    <row r="117" spans="1:4" x14ac:dyDescent="0.25">
      <c r="A117" s="10" t="str">
        <f t="shared" si="1"/>
        <v>05</v>
      </c>
      <c r="B117" s="10" t="s">
        <v>2776</v>
      </c>
      <c r="C117" s="10" t="s">
        <v>3211</v>
      </c>
      <c r="D117" s="10">
        <v>28</v>
      </c>
    </row>
    <row r="118" spans="1:4" x14ac:dyDescent="0.25">
      <c r="A118" s="10" t="str">
        <f t="shared" si="1"/>
        <v>06</v>
      </c>
      <c r="B118" s="10" t="s">
        <v>2778</v>
      </c>
      <c r="C118" s="10" t="s">
        <v>3212</v>
      </c>
      <c r="D118" s="10">
        <v>28</v>
      </c>
    </row>
    <row r="119" spans="1:4" x14ac:dyDescent="0.25">
      <c r="A119" s="10" t="str">
        <f t="shared" si="1"/>
        <v>07</v>
      </c>
      <c r="B119" s="10" t="s">
        <v>3135</v>
      </c>
      <c r="C119" s="10" t="s">
        <v>3213</v>
      </c>
      <c r="D119" s="10">
        <v>28</v>
      </c>
    </row>
    <row r="120" spans="1:4" x14ac:dyDescent="0.25">
      <c r="A120" s="10" t="str">
        <f t="shared" si="1"/>
        <v>08</v>
      </c>
      <c r="B120" s="10" t="s">
        <v>3138</v>
      </c>
      <c r="C120" s="10" t="s">
        <v>3214</v>
      </c>
      <c r="D120" s="10">
        <v>28</v>
      </c>
    </row>
    <row r="121" spans="1:4" x14ac:dyDescent="0.25">
      <c r="A121" s="10" t="str">
        <f t="shared" si="1"/>
        <v>09</v>
      </c>
      <c r="B121" s="10" t="s">
        <v>3140</v>
      </c>
      <c r="C121" s="10" t="s">
        <v>3215</v>
      </c>
      <c r="D121" s="10">
        <v>28</v>
      </c>
    </row>
    <row r="122" spans="1:4" x14ac:dyDescent="0.25">
      <c r="A122" s="10" t="str">
        <f t="shared" si="1"/>
        <v>10</v>
      </c>
      <c r="B122" s="10" t="s">
        <v>3142</v>
      </c>
      <c r="C122" s="10" t="s">
        <v>3216</v>
      </c>
      <c r="D122" s="10">
        <v>28</v>
      </c>
    </row>
    <row r="123" spans="1:4" x14ac:dyDescent="0.25">
      <c r="A123" s="10" t="str">
        <f t="shared" si="1"/>
        <v>11</v>
      </c>
      <c r="B123" s="10" t="s">
        <v>3191</v>
      </c>
      <c r="C123" s="10" t="s">
        <v>3217</v>
      </c>
      <c r="D123" s="10">
        <v>28</v>
      </c>
    </row>
    <row r="124" spans="1:4" x14ac:dyDescent="0.25">
      <c r="A124" s="10" t="str">
        <f t="shared" si="1"/>
        <v>12</v>
      </c>
      <c r="B124" s="10" t="s">
        <v>3218</v>
      </c>
      <c r="C124" s="10" t="s">
        <v>3209</v>
      </c>
      <c r="D124" s="10">
        <v>28</v>
      </c>
    </row>
    <row r="125" spans="1:4" x14ac:dyDescent="0.25">
      <c r="A125" s="10" t="str">
        <f t="shared" si="1"/>
        <v>13</v>
      </c>
      <c r="B125" s="10" t="s">
        <v>3219</v>
      </c>
      <c r="C125" s="10" t="s">
        <v>3220</v>
      </c>
      <c r="D125" s="10">
        <v>28</v>
      </c>
    </row>
    <row r="126" spans="1:4" x14ac:dyDescent="0.25">
      <c r="A126" s="10" t="str">
        <f t="shared" si="1"/>
        <v>14</v>
      </c>
      <c r="B126" s="10" t="s">
        <v>3221</v>
      </c>
      <c r="C126" s="10" t="s">
        <v>3222</v>
      </c>
      <c r="D126" s="10">
        <v>28</v>
      </c>
    </row>
    <row r="127" spans="1:4" x14ac:dyDescent="0.25">
      <c r="C127" s="20"/>
    </row>
    <row r="128" spans="1:4" x14ac:dyDescent="0.25">
      <c r="C128" s="21"/>
    </row>
  </sheetData>
  <autoFilter ref="B1:D111" xr:uid="{4670F643-25E2-4E3A-B427-115B987F9F04}"/>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T1549"/>
  <sheetViews>
    <sheetView zoomScale="85" zoomScaleNormal="85" workbookViewId="0">
      <selection activeCell="T336" sqref="T336"/>
    </sheetView>
  </sheetViews>
  <sheetFormatPr defaultColWidth="9.140625" defaultRowHeight="15" x14ac:dyDescent="0.25"/>
  <cols>
    <col min="1" max="1" width="18.5703125" style="4" bestFit="1" customWidth="1"/>
    <col min="2" max="2" width="19.28515625" style="4" customWidth="1"/>
    <col min="3" max="3" width="50.140625" style="4" customWidth="1"/>
    <col min="4" max="4" width="16.42578125" style="3" customWidth="1"/>
    <col min="5" max="5" width="11.28515625" style="3" customWidth="1"/>
    <col min="6" max="6" width="6.42578125" style="3" customWidth="1"/>
    <col min="7" max="7" width="4.28515625" style="3" customWidth="1"/>
    <col min="8" max="8" width="6.28515625" style="3" customWidth="1"/>
    <col min="9" max="9" width="7.140625" style="3" customWidth="1"/>
    <col min="10" max="10" width="5.7109375" style="3" customWidth="1"/>
    <col min="11" max="11" width="8.42578125" style="3" customWidth="1"/>
    <col min="12" max="12" width="4.85546875" style="3" bestFit="1" customWidth="1"/>
    <col min="13" max="13" width="4" style="3" customWidth="1"/>
    <col min="14" max="14" width="10.42578125" style="3" customWidth="1"/>
    <col min="15" max="15" width="3.7109375" style="3" customWidth="1"/>
    <col min="16" max="16" width="9.28515625" style="3" customWidth="1"/>
    <col min="17" max="17" width="8.5703125" style="3" customWidth="1"/>
    <col min="18" max="18" width="31.7109375" style="3" customWidth="1"/>
    <col min="19" max="19" width="22.85546875" style="15" customWidth="1"/>
    <col min="20" max="20" width="17.28515625" style="3" customWidth="1"/>
    <col min="21" max="16384" width="9.140625" style="3"/>
  </cols>
  <sheetData>
    <row r="1" spans="1:19" ht="45" x14ac:dyDescent="0.25">
      <c r="A1" s="6" t="s">
        <v>3223</v>
      </c>
      <c r="B1" s="6" t="s">
        <v>3224</v>
      </c>
      <c r="C1" s="6" t="s">
        <v>3225</v>
      </c>
      <c r="D1" s="5" t="s">
        <v>3226</v>
      </c>
      <c r="E1" s="5" t="s">
        <v>3227</v>
      </c>
      <c r="F1" s="5" t="s">
        <v>3228</v>
      </c>
      <c r="G1" s="5" t="s">
        <v>3229</v>
      </c>
      <c r="H1" s="5" t="s">
        <v>3230</v>
      </c>
      <c r="I1" s="5" t="s">
        <v>3231</v>
      </c>
      <c r="J1" s="5" t="s">
        <v>3232</v>
      </c>
      <c r="K1" s="5" t="s">
        <v>3233</v>
      </c>
      <c r="L1" s="5" t="s">
        <v>3234</v>
      </c>
      <c r="M1" s="5" t="s">
        <v>3235</v>
      </c>
      <c r="N1" s="5" t="s">
        <v>3236</v>
      </c>
      <c r="O1" s="5" t="s">
        <v>3237</v>
      </c>
      <c r="P1" s="5" t="s">
        <v>3238</v>
      </c>
      <c r="Q1" s="5" t="s">
        <v>3239</v>
      </c>
      <c r="R1" s="5" t="s">
        <v>3240</v>
      </c>
      <c r="S1" s="5" t="s">
        <v>3241</v>
      </c>
    </row>
    <row r="2" spans="1:19" ht="30" x14ac:dyDescent="0.25">
      <c r="A2" s="4" t="s">
        <v>3242</v>
      </c>
      <c r="B2" s="4" t="s">
        <v>3243</v>
      </c>
      <c r="C2" s="4" t="s">
        <v>3244</v>
      </c>
      <c r="D2" s="3" t="str">
        <f t="shared" ref="D2:D65" si="0">LEFT(A2,3)</f>
        <v>MOD</v>
      </c>
      <c r="E2" s="3" t="str">
        <f t="shared" ref="E2:E65" si="1">MID(A2,4,1)</f>
        <v>G</v>
      </c>
      <c r="F2" s="3" t="str">
        <f t="shared" ref="F2:F65" si="2">MID(A2,5,3)</f>
        <v>004</v>
      </c>
      <c r="G2" s="3" t="str">
        <f t="shared" ref="G2:G65" si="3">MID(A2,8,2)</f>
        <v>RO</v>
      </c>
      <c r="H2" s="3" t="str">
        <f t="shared" ref="H2:H65" si="4">MID(A2,10,3)</f>
        <v>001</v>
      </c>
      <c r="I2" s="3" t="str">
        <f t="shared" ref="I2:I65" si="5">MID(A2,13,2)</f>
        <v>02</v>
      </c>
      <c r="L2" s="3" t="s">
        <v>3245</v>
      </c>
      <c r="R2" s="3" t="s">
        <v>3246</v>
      </c>
      <c r="S2" s="15" t="s">
        <v>3247</v>
      </c>
    </row>
    <row r="3" spans="1:19" x14ac:dyDescent="0.25">
      <c r="A3" s="4" t="s">
        <v>3248</v>
      </c>
      <c r="B3" s="4" t="s">
        <v>3243</v>
      </c>
      <c r="C3" s="4" t="s">
        <v>3249</v>
      </c>
      <c r="D3" s="3" t="str">
        <f t="shared" si="0"/>
        <v>ELA</v>
      </c>
      <c r="E3" s="3" t="str">
        <f t="shared" si="1"/>
        <v>A</v>
      </c>
      <c r="F3" s="3" t="str">
        <f t="shared" si="2"/>
        <v>100</v>
      </c>
      <c r="G3" s="3" t="str">
        <f t="shared" si="3"/>
        <v>KS</v>
      </c>
      <c r="H3" s="3" t="str">
        <f t="shared" si="4"/>
        <v>000</v>
      </c>
      <c r="I3" s="3" t="str">
        <f t="shared" si="5"/>
        <v>00</v>
      </c>
      <c r="L3" s="3" t="s">
        <v>3245</v>
      </c>
      <c r="R3" s="3" t="s">
        <v>3250</v>
      </c>
      <c r="S3" s="15" t="s">
        <v>3247</v>
      </c>
    </row>
    <row r="4" spans="1:19" x14ac:dyDescent="0.25">
      <c r="A4" s="4" t="s">
        <v>3251</v>
      </c>
      <c r="B4" s="4" t="s">
        <v>3243</v>
      </c>
      <c r="C4" s="4" t="s">
        <v>3252</v>
      </c>
      <c r="D4" s="3" t="str">
        <f t="shared" si="0"/>
        <v>ELA</v>
      </c>
      <c r="E4" s="3" t="str">
        <f t="shared" si="1"/>
        <v>A</v>
      </c>
      <c r="F4" s="3" t="str">
        <f t="shared" si="2"/>
        <v>150</v>
      </c>
      <c r="G4" s="3" t="str">
        <f t="shared" si="3"/>
        <v>KS</v>
      </c>
      <c r="H4" s="3" t="str">
        <f t="shared" si="4"/>
        <v>000</v>
      </c>
      <c r="I4" s="3" t="str">
        <f t="shared" si="5"/>
        <v>00</v>
      </c>
      <c r="L4" s="3" t="s">
        <v>3245</v>
      </c>
      <c r="R4" s="3" t="s">
        <v>3253</v>
      </c>
      <c r="S4" s="15" t="s">
        <v>3247</v>
      </c>
    </row>
    <row r="5" spans="1:19" x14ac:dyDescent="0.25">
      <c r="A5" s="4" t="s">
        <v>3254</v>
      </c>
      <c r="B5" s="4" t="s">
        <v>3243</v>
      </c>
      <c r="C5" s="4" t="s">
        <v>3255</v>
      </c>
      <c r="D5" s="3" t="str">
        <f t="shared" si="0"/>
        <v>ELA</v>
      </c>
      <c r="E5" s="3" t="str">
        <f t="shared" si="1"/>
        <v>A</v>
      </c>
      <c r="F5" s="3" t="str">
        <f t="shared" si="2"/>
        <v>200</v>
      </c>
      <c r="G5" s="3" t="str">
        <f t="shared" si="3"/>
        <v>KS</v>
      </c>
      <c r="H5" s="3" t="str">
        <f t="shared" si="4"/>
        <v>000</v>
      </c>
      <c r="I5" s="3" t="str">
        <f t="shared" si="5"/>
        <v>00</v>
      </c>
      <c r="L5" s="3" t="s">
        <v>3245</v>
      </c>
      <c r="R5" s="3" t="s">
        <v>3256</v>
      </c>
      <c r="S5" s="15" t="s">
        <v>3247</v>
      </c>
    </row>
    <row r="6" spans="1:19" x14ac:dyDescent="0.25">
      <c r="A6" s="4" t="s">
        <v>3257</v>
      </c>
      <c r="B6" s="4" t="s">
        <v>3243</v>
      </c>
      <c r="C6" s="4" t="s">
        <v>3258</v>
      </c>
      <c r="D6" s="3" t="str">
        <f t="shared" si="0"/>
        <v>ELA</v>
      </c>
      <c r="E6" s="3" t="str">
        <f t="shared" si="1"/>
        <v>A</v>
      </c>
      <c r="F6" s="3" t="str">
        <f t="shared" si="2"/>
        <v>300</v>
      </c>
      <c r="G6" s="3" t="str">
        <f t="shared" si="3"/>
        <v>KS</v>
      </c>
      <c r="H6" s="3" t="str">
        <f t="shared" si="4"/>
        <v>000</v>
      </c>
      <c r="I6" s="3" t="str">
        <f t="shared" si="5"/>
        <v>00</v>
      </c>
      <c r="L6" s="3" t="s">
        <v>3245</v>
      </c>
      <c r="R6" s="3" t="s">
        <v>3259</v>
      </c>
      <c r="S6" s="15" t="s">
        <v>3247</v>
      </c>
    </row>
    <row r="7" spans="1:19" ht="30" x14ac:dyDescent="0.25">
      <c r="A7" s="4" t="s">
        <v>3260</v>
      </c>
      <c r="B7" s="4" t="s">
        <v>3243</v>
      </c>
      <c r="C7" s="4" t="s">
        <v>3261</v>
      </c>
      <c r="D7" s="3" t="str">
        <f t="shared" si="0"/>
        <v>MOD</v>
      </c>
      <c r="E7" s="3" t="str">
        <f t="shared" si="1"/>
        <v>F</v>
      </c>
      <c r="F7" s="3" t="str">
        <f t="shared" si="2"/>
        <v>002</v>
      </c>
      <c r="G7" s="3" t="str">
        <f t="shared" si="3"/>
        <v>TE</v>
      </c>
      <c r="H7" s="3" t="str">
        <f t="shared" si="4"/>
        <v>002</v>
      </c>
      <c r="I7" s="3" t="str">
        <f t="shared" si="5"/>
        <v>04</v>
      </c>
      <c r="L7" s="3" t="s">
        <v>3245</v>
      </c>
      <c r="R7" s="3" t="s">
        <v>3262</v>
      </c>
      <c r="S7" s="15" t="s">
        <v>3247</v>
      </c>
    </row>
    <row r="8" spans="1:19" x14ac:dyDescent="0.25">
      <c r="A8" s="4" t="s">
        <v>3263</v>
      </c>
      <c r="B8" s="4" t="s">
        <v>3243</v>
      </c>
      <c r="C8" s="4" t="s">
        <v>3264</v>
      </c>
      <c r="D8" s="3" t="str">
        <f t="shared" si="0"/>
        <v>ELA</v>
      </c>
      <c r="E8" s="3" t="str">
        <f t="shared" si="1"/>
        <v>I</v>
      </c>
      <c r="F8" s="3" t="str">
        <f t="shared" si="2"/>
        <v>002</v>
      </c>
      <c r="G8" s="3" t="str">
        <f t="shared" si="3"/>
        <v>ST</v>
      </c>
      <c r="H8" s="3" t="str">
        <f t="shared" si="4"/>
        <v>000</v>
      </c>
      <c r="I8" s="3" t="str">
        <f t="shared" si="5"/>
        <v>00</v>
      </c>
      <c r="L8" s="3" t="s">
        <v>3245</v>
      </c>
      <c r="R8" s="3" t="s">
        <v>3265</v>
      </c>
      <c r="S8" s="15" t="s">
        <v>3247</v>
      </c>
    </row>
    <row r="9" spans="1:19" x14ac:dyDescent="0.25">
      <c r="A9" s="4" t="s">
        <v>3266</v>
      </c>
      <c r="B9" s="4" t="s">
        <v>3243</v>
      </c>
      <c r="C9" s="4" t="s">
        <v>2161</v>
      </c>
      <c r="D9" s="3" t="str">
        <f t="shared" si="0"/>
        <v>ELA</v>
      </c>
      <c r="E9" s="3" t="str">
        <f t="shared" si="1"/>
        <v>J</v>
      </c>
      <c r="F9" s="3" t="str">
        <f t="shared" si="2"/>
        <v>000</v>
      </c>
      <c r="G9" s="3" t="str">
        <f t="shared" si="3"/>
        <v>ST</v>
      </c>
      <c r="H9" s="3" t="str">
        <f t="shared" si="4"/>
        <v>000</v>
      </c>
      <c r="I9" s="3" t="str">
        <f t="shared" si="5"/>
        <v>00</v>
      </c>
      <c r="L9" s="3" t="s">
        <v>3245</v>
      </c>
      <c r="R9" s="3" t="s">
        <v>3267</v>
      </c>
      <c r="S9" s="15" t="s">
        <v>3247</v>
      </c>
    </row>
    <row r="10" spans="1:19" x14ac:dyDescent="0.25">
      <c r="A10" s="4" t="s">
        <v>3268</v>
      </c>
      <c r="B10" s="4" t="s">
        <v>3243</v>
      </c>
      <c r="C10" s="4" t="s">
        <v>3269</v>
      </c>
      <c r="D10" s="3" t="str">
        <f t="shared" si="0"/>
        <v>ELA</v>
      </c>
      <c r="E10" s="3" t="str">
        <f t="shared" si="1"/>
        <v>B</v>
      </c>
      <c r="F10" s="3" t="str">
        <f t="shared" si="2"/>
        <v>005</v>
      </c>
      <c r="G10" s="3" t="str">
        <f t="shared" si="3"/>
        <v>ST</v>
      </c>
      <c r="H10" s="3" t="str">
        <f t="shared" si="4"/>
        <v>000</v>
      </c>
      <c r="I10" s="3" t="str">
        <f t="shared" si="5"/>
        <v>00</v>
      </c>
      <c r="L10" s="3" t="s">
        <v>3245</v>
      </c>
      <c r="R10" s="3" t="s">
        <v>3270</v>
      </c>
      <c r="S10" s="15" t="s">
        <v>3247</v>
      </c>
    </row>
    <row r="11" spans="1:19" x14ac:dyDescent="0.25">
      <c r="A11" s="4" t="s">
        <v>3271</v>
      </c>
      <c r="B11" s="4" t="s">
        <v>3243</v>
      </c>
      <c r="C11" s="4" t="s">
        <v>3272</v>
      </c>
      <c r="D11" s="3" t="str">
        <f t="shared" si="0"/>
        <v>ELA</v>
      </c>
      <c r="E11" s="3" t="str">
        <f t="shared" si="1"/>
        <v>B</v>
      </c>
      <c r="F11" s="3" t="str">
        <f t="shared" si="2"/>
        <v>009</v>
      </c>
      <c r="G11" s="3" t="str">
        <f t="shared" si="3"/>
        <v>ST</v>
      </c>
      <c r="H11" s="3" t="str">
        <f t="shared" si="4"/>
        <v>000</v>
      </c>
      <c r="I11" s="3" t="str">
        <f t="shared" si="5"/>
        <v>00</v>
      </c>
      <c r="L11" s="3" t="s">
        <v>3245</v>
      </c>
      <c r="R11" s="3" t="s">
        <v>3273</v>
      </c>
      <c r="S11" s="15" t="s">
        <v>3247</v>
      </c>
    </row>
    <row r="12" spans="1:19" x14ac:dyDescent="0.25">
      <c r="A12" s="4" t="s">
        <v>3274</v>
      </c>
      <c r="B12" s="4" t="s">
        <v>3243</v>
      </c>
      <c r="C12" s="4" t="s">
        <v>3275</v>
      </c>
      <c r="D12" s="3" t="str">
        <f t="shared" si="0"/>
        <v>ELA</v>
      </c>
      <c r="E12" s="3" t="str">
        <f t="shared" si="1"/>
        <v>K</v>
      </c>
      <c r="F12" s="3" t="str">
        <f t="shared" si="2"/>
        <v>001</v>
      </c>
      <c r="G12" s="3" t="str">
        <f t="shared" si="3"/>
        <v>ST</v>
      </c>
      <c r="H12" s="3" t="str">
        <f t="shared" si="4"/>
        <v>000</v>
      </c>
      <c r="I12" s="3" t="str">
        <f t="shared" si="5"/>
        <v>00</v>
      </c>
      <c r="L12" s="3" t="s">
        <v>3245</v>
      </c>
      <c r="R12" s="3" t="s">
        <v>3276</v>
      </c>
      <c r="S12" s="15" t="s">
        <v>3247</v>
      </c>
    </row>
    <row r="13" spans="1:19" x14ac:dyDescent="0.25">
      <c r="A13" s="4" t="s">
        <v>3277</v>
      </c>
      <c r="B13" s="4" t="s">
        <v>3243</v>
      </c>
      <c r="C13" s="4" t="s">
        <v>3278</v>
      </c>
      <c r="D13" s="3" t="str">
        <f t="shared" si="0"/>
        <v>ELA</v>
      </c>
      <c r="E13" s="3" t="str">
        <f t="shared" si="1"/>
        <v>K</v>
      </c>
      <c r="F13" s="3" t="str">
        <f t="shared" si="2"/>
        <v>002</v>
      </c>
      <c r="G13" s="3" t="str">
        <f t="shared" si="3"/>
        <v>ST</v>
      </c>
      <c r="H13" s="3" t="str">
        <f t="shared" si="4"/>
        <v>000</v>
      </c>
      <c r="I13" s="3" t="str">
        <f t="shared" si="5"/>
        <v>00</v>
      </c>
      <c r="L13" s="3" t="s">
        <v>3245</v>
      </c>
      <c r="R13" s="3" t="s">
        <v>3279</v>
      </c>
      <c r="S13" s="15" t="s">
        <v>3247</v>
      </c>
    </row>
    <row r="14" spans="1:19" x14ac:dyDescent="0.25">
      <c r="A14" s="4" t="s">
        <v>3280</v>
      </c>
      <c r="B14" s="4" t="s">
        <v>3243</v>
      </c>
      <c r="C14" s="4" t="s">
        <v>3281</v>
      </c>
      <c r="D14" s="3" t="str">
        <f t="shared" si="0"/>
        <v>ELA</v>
      </c>
      <c r="E14" s="3" t="str">
        <f t="shared" si="1"/>
        <v>L</v>
      </c>
      <c r="F14" s="3" t="str">
        <f t="shared" si="2"/>
        <v>001</v>
      </c>
      <c r="G14" s="3" t="str">
        <f t="shared" si="3"/>
        <v>ST</v>
      </c>
      <c r="H14" s="3" t="str">
        <f t="shared" si="4"/>
        <v>000</v>
      </c>
      <c r="I14" s="3" t="str">
        <f t="shared" si="5"/>
        <v>00</v>
      </c>
      <c r="L14" s="3" t="s">
        <v>3245</v>
      </c>
      <c r="R14" s="3" t="s">
        <v>3282</v>
      </c>
      <c r="S14" s="15" t="s">
        <v>3247</v>
      </c>
    </row>
    <row r="15" spans="1:19" x14ac:dyDescent="0.25">
      <c r="A15" s="4" t="s">
        <v>3283</v>
      </c>
      <c r="B15" s="4" t="s">
        <v>3243</v>
      </c>
      <c r="C15" s="4" t="s">
        <v>3284</v>
      </c>
      <c r="D15" s="3" t="str">
        <f t="shared" si="0"/>
        <v>ELA</v>
      </c>
      <c r="E15" s="3" t="str">
        <f t="shared" si="1"/>
        <v>L</v>
      </c>
      <c r="F15" s="3" t="str">
        <f t="shared" si="2"/>
        <v>002</v>
      </c>
      <c r="G15" s="3" t="str">
        <f t="shared" si="3"/>
        <v>ST</v>
      </c>
      <c r="H15" s="3" t="str">
        <f t="shared" si="4"/>
        <v>000</v>
      </c>
      <c r="I15" s="3" t="str">
        <f t="shared" si="5"/>
        <v>00</v>
      </c>
      <c r="L15" s="3" t="s">
        <v>3245</v>
      </c>
      <c r="R15" s="3" t="s">
        <v>3285</v>
      </c>
      <c r="S15" s="15" t="s">
        <v>3247</v>
      </c>
    </row>
    <row r="16" spans="1:19" ht="45" x14ac:dyDescent="0.25">
      <c r="A16" s="4" t="s">
        <v>3286</v>
      </c>
      <c r="B16" s="4" t="s">
        <v>3243</v>
      </c>
      <c r="C16" s="4" t="s">
        <v>3287</v>
      </c>
      <c r="D16" s="3" t="str">
        <f t="shared" si="0"/>
        <v>MOD</v>
      </c>
      <c r="E16" s="3" t="str">
        <f t="shared" si="1"/>
        <v>L</v>
      </c>
      <c r="F16" s="3" t="str">
        <f t="shared" si="2"/>
        <v>003</v>
      </c>
      <c r="G16" s="3" t="str">
        <f t="shared" si="3"/>
        <v>SW</v>
      </c>
      <c r="H16" s="3" t="str">
        <f t="shared" si="4"/>
        <v>000</v>
      </c>
      <c r="I16" s="3" t="str">
        <f t="shared" si="5"/>
        <v>01</v>
      </c>
      <c r="L16" s="3" t="s">
        <v>3245</v>
      </c>
      <c r="R16" s="3" t="s">
        <v>3288</v>
      </c>
      <c r="S16" s="15" t="s">
        <v>3247</v>
      </c>
    </row>
    <row r="17" spans="1:20" x14ac:dyDescent="0.25">
      <c r="A17" s="4" t="s">
        <v>3289</v>
      </c>
      <c r="B17" s="4" t="s">
        <v>3243</v>
      </c>
      <c r="C17" s="4" t="s">
        <v>3290</v>
      </c>
      <c r="D17" s="3" t="str">
        <f t="shared" si="0"/>
        <v>ELA</v>
      </c>
      <c r="E17" s="3" t="str">
        <f t="shared" si="1"/>
        <v>M</v>
      </c>
      <c r="F17" s="3" t="str">
        <f t="shared" si="2"/>
        <v>103</v>
      </c>
      <c r="G17" s="3" t="str">
        <f t="shared" si="3"/>
        <v>PR</v>
      </c>
      <c r="H17" s="3" t="str">
        <f t="shared" si="4"/>
        <v>000</v>
      </c>
      <c r="I17" s="3" t="str">
        <f t="shared" si="5"/>
        <v>01</v>
      </c>
      <c r="L17" s="3" t="s">
        <v>3245</v>
      </c>
      <c r="R17" s="3" t="s">
        <v>3291</v>
      </c>
      <c r="S17" s="15">
        <v>150</v>
      </c>
    </row>
    <row r="18" spans="1:20" x14ac:dyDescent="0.25">
      <c r="A18" s="4" t="s">
        <v>3292</v>
      </c>
      <c r="B18" s="4" t="s">
        <v>3243</v>
      </c>
      <c r="C18" s="4" t="s">
        <v>3293</v>
      </c>
      <c r="D18" s="3" t="str">
        <f t="shared" si="0"/>
        <v>ELA</v>
      </c>
      <c r="E18" s="3" t="str">
        <f t="shared" si="1"/>
        <v>M</v>
      </c>
      <c r="F18" s="3" t="str">
        <f t="shared" si="2"/>
        <v>106</v>
      </c>
      <c r="G18" s="3" t="str">
        <f t="shared" si="3"/>
        <v>PR</v>
      </c>
      <c r="H18" s="3" t="str">
        <f t="shared" si="4"/>
        <v>000</v>
      </c>
      <c r="I18" s="3" t="str">
        <f t="shared" si="5"/>
        <v>01</v>
      </c>
      <c r="L18" s="3" t="s">
        <v>3245</v>
      </c>
      <c r="R18" s="3" t="s">
        <v>3294</v>
      </c>
      <c r="S18" s="15">
        <v>25</v>
      </c>
    </row>
    <row r="19" spans="1:20" x14ac:dyDescent="0.25">
      <c r="A19" s="4" t="s">
        <v>3295</v>
      </c>
      <c r="B19" s="4" t="s">
        <v>3243</v>
      </c>
      <c r="C19" s="4" t="s">
        <v>3296</v>
      </c>
      <c r="D19" s="3" t="str">
        <f t="shared" si="0"/>
        <v>ELA</v>
      </c>
      <c r="E19" s="3" t="str">
        <f t="shared" si="1"/>
        <v>N</v>
      </c>
      <c r="F19" s="3" t="str">
        <f t="shared" si="2"/>
        <v>003</v>
      </c>
      <c r="G19" s="3" t="str">
        <f t="shared" si="3"/>
        <v>PR</v>
      </c>
      <c r="H19" s="3" t="str">
        <f t="shared" si="4"/>
        <v>000</v>
      </c>
      <c r="I19" s="3" t="str">
        <f t="shared" si="5"/>
        <v>01</v>
      </c>
      <c r="L19" s="3" t="s">
        <v>3245</v>
      </c>
      <c r="R19" s="3" t="s">
        <v>3297</v>
      </c>
      <c r="S19" s="15" t="s">
        <v>3247</v>
      </c>
    </row>
    <row r="20" spans="1:20" x14ac:dyDescent="0.25">
      <c r="A20" s="4" t="s">
        <v>3298</v>
      </c>
      <c r="B20" s="4" t="s">
        <v>3243</v>
      </c>
      <c r="C20" s="4" t="s">
        <v>3299</v>
      </c>
      <c r="D20" s="3" t="str">
        <f t="shared" si="0"/>
        <v>ELA</v>
      </c>
      <c r="E20" s="3" t="str">
        <f t="shared" si="1"/>
        <v>N</v>
      </c>
      <c r="F20" s="3" t="str">
        <f t="shared" si="2"/>
        <v>006</v>
      </c>
      <c r="G20" s="3" t="str">
        <f t="shared" si="3"/>
        <v>PR</v>
      </c>
      <c r="H20" s="3" t="str">
        <f t="shared" si="4"/>
        <v>000</v>
      </c>
      <c r="I20" s="3" t="str">
        <f t="shared" si="5"/>
        <v>01</v>
      </c>
      <c r="L20" s="3" t="s">
        <v>3245</v>
      </c>
      <c r="R20" s="3" t="s">
        <v>3300</v>
      </c>
      <c r="S20" s="15" t="s">
        <v>3247</v>
      </c>
    </row>
    <row r="21" spans="1:20" x14ac:dyDescent="0.25">
      <c r="A21" s="4" t="s">
        <v>3301</v>
      </c>
      <c r="B21" s="4" t="s">
        <v>3243</v>
      </c>
      <c r="C21" s="4" t="s">
        <v>3302</v>
      </c>
      <c r="D21" s="3" t="str">
        <f t="shared" si="0"/>
        <v>ELA</v>
      </c>
      <c r="E21" s="3" t="str">
        <f t="shared" si="1"/>
        <v>E</v>
      </c>
      <c r="F21" s="3" t="str">
        <f t="shared" si="2"/>
        <v>006</v>
      </c>
      <c r="G21" s="3" t="str">
        <f t="shared" si="3"/>
        <v>PR</v>
      </c>
      <c r="H21" s="3" t="str">
        <f t="shared" si="4"/>
        <v>000</v>
      </c>
      <c r="I21" s="3" t="str">
        <f t="shared" si="5"/>
        <v>01</v>
      </c>
      <c r="L21" s="3" t="s">
        <v>3245</v>
      </c>
      <c r="R21" s="3" t="s">
        <v>3303</v>
      </c>
      <c r="S21" s="15" t="s">
        <v>3247</v>
      </c>
    </row>
    <row r="22" spans="1:20" x14ac:dyDescent="0.25">
      <c r="A22" s="4" t="s">
        <v>3304</v>
      </c>
      <c r="B22" s="4" t="s">
        <v>3243</v>
      </c>
      <c r="C22" s="4" t="s">
        <v>3305</v>
      </c>
      <c r="D22" s="3" t="str">
        <f t="shared" si="0"/>
        <v>ELA</v>
      </c>
      <c r="E22" s="3" t="str">
        <f t="shared" si="1"/>
        <v>L</v>
      </c>
      <c r="F22" s="3" t="str">
        <f t="shared" si="2"/>
        <v>003</v>
      </c>
      <c r="G22" s="3" t="str">
        <f t="shared" si="3"/>
        <v>ST</v>
      </c>
      <c r="H22" s="3" t="str">
        <f t="shared" si="4"/>
        <v>000</v>
      </c>
      <c r="I22" s="3" t="str">
        <f t="shared" si="5"/>
        <v>00</v>
      </c>
      <c r="L22" s="3" t="s">
        <v>3245</v>
      </c>
      <c r="R22" s="3" t="s">
        <v>3306</v>
      </c>
      <c r="S22" s="15" t="s">
        <v>3247</v>
      </c>
    </row>
    <row r="23" spans="1:20" x14ac:dyDescent="0.25">
      <c r="A23" s="4" t="s">
        <v>3307</v>
      </c>
      <c r="B23" s="4" t="s">
        <v>3243</v>
      </c>
      <c r="C23" s="4" t="s">
        <v>3308</v>
      </c>
      <c r="D23" s="3" t="str">
        <f t="shared" si="0"/>
        <v>MOD</v>
      </c>
      <c r="E23" s="3" t="str">
        <f t="shared" si="1"/>
        <v>F</v>
      </c>
      <c r="F23" s="3" t="str">
        <f t="shared" si="2"/>
        <v>001</v>
      </c>
      <c r="G23" s="3" t="str">
        <f t="shared" si="3"/>
        <v>WI</v>
      </c>
      <c r="H23" s="3" t="str">
        <f t="shared" si="4"/>
        <v>003</v>
      </c>
      <c r="I23" s="3" t="str">
        <f t="shared" si="5"/>
        <v>04</v>
      </c>
      <c r="L23" s="3" t="s">
        <v>3309</v>
      </c>
      <c r="R23" s="3" t="s">
        <v>3310</v>
      </c>
      <c r="S23" s="15">
        <v>22</v>
      </c>
    </row>
    <row r="24" spans="1:20" ht="30" x14ac:dyDescent="0.25">
      <c r="A24" s="4" t="s">
        <v>3311</v>
      </c>
      <c r="B24" s="4" t="s">
        <v>3243</v>
      </c>
      <c r="C24" s="4" t="s">
        <v>3312</v>
      </c>
      <c r="D24" s="3" t="str">
        <f t="shared" si="0"/>
        <v>ELA</v>
      </c>
      <c r="E24" s="3" t="str">
        <f t="shared" si="1"/>
        <v>P</v>
      </c>
      <c r="F24" s="3" t="str">
        <f t="shared" si="2"/>
        <v>001</v>
      </c>
      <c r="G24" s="3" t="str">
        <f t="shared" si="3"/>
        <v>DT</v>
      </c>
      <c r="H24" s="3" t="str">
        <f t="shared" si="4"/>
        <v>001</v>
      </c>
      <c r="I24" s="3" t="str">
        <f t="shared" si="5"/>
        <v>00</v>
      </c>
      <c r="L24" s="3" t="s">
        <v>3309</v>
      </c>
      <c r="R24" s="3" t="s">
        <v>3313</v>
      </c>
      <c r="S24" s="15" t="s">
        <v>3247</v>
      </c>
    </row>
    <row r="25" spans="1:20" x14ac:dyDescent="0.25">
      <c r="A25" s="4" t="s">
        <v>3314</v>
      </c>
      <c r="B25" s="4" t="s">
        <v>3243</v>
      </c>
      <c r="C25" s="4" t="s">
        <v>3315</v>
      </c>
      <c r="D25" s="3" t="str">
        <f t="shared" si="0"/>
        <v>ELA</v>
      </c>
      <c r="E25" s="3" t="str">
        <f t="shared" si="1"/>
        <v>Q</v>
      </c>
      <c r="F25" s="3" t="str">
        <f t="shared" si="2"/>
        <v>005</v>
      </c>
      <c r="G25" s="3" t="str">
        <f t="shared" si="3"/>
        <v>ST</v>
      </c>
      <c r="H25" s="3" t="str">
        <f t="shared" si="4"/>
        <v>000</v>
      </c>
      <c r="I25" s="3" t="str">
        <f t="shared" si="5"/>
        <v>02</v>
      </c>
      <c r="L25" s="3" t="s">
        <v>3309</v>
      </c>
      <c r="R25" s="3" t="s">
        <v>3316</v>
      </c>
      <c r="S25" s="15" t="s">
        <v>3247</v>
      </c>
    </row>
    <row r="26" spans="1:20" x14ac:dyDescent="0.25">
      <c r="A26" s="4" t="s">
        <v>3317</v>
      </c>
      <c r="B26" s="4" t="s">
        <v>3243</v>
      </c>
      <c r="C26" s="4" t="s">
        <v>3318</v>
      </c>
      <c r="D26" s="3" t="str">
        <f t="shared" si="0"/>
        <v>ELA</v>
      </c>
      <c r="E26" s="3" t="str">
        <f t="shared" si="1"/>
        <v>M</v>
      </c>
      <c r="F26" s="3" t="str">
        <f t="shared" si="2"/>
        <v>006</v>
      </c>
      <c r="G26" s="3" t="str">
        <f t="shared" si="3"/>
        <v>ST</v>
      </c>
      <c r="H26" s="3" t="str">
        <f t="shared" si="4"/>
        <v>000</v>
      </c>
      <c r="I26" s="3" t="str">
        <f t="shared" si="5"/>
        <v>01</v>
      </c>
      <c r="L26" s="3" t="s">
        <v>3309</v>
      </c>
      <c r="R26" s="3" t="s">
        <v>3319</v>
      </c>
      <c r="S26" s="15" t="s">
        <v>3247</v>
      </c>
    </row>
    <row r="27" spans="1:20" x14ac:dyDescent="0.25">
      <c r="A27" s="4" t="s">
        <v>3320</v>
      </c>
      <c r="B27" s="4" t="s">
        <v>3243</v>
      </c>
      <c r="C27" s="4" t="s">
        <v>3321</v>
      </c>
      <c r="D27" s="3" t="str">
        <f t="shared" si="0"/>
        <v>ELA</v>
      </c>
      <c r="E27" s="3" t="str">
        <f t="shared" si="1"/>
        <v>R</v>
      </c>
      <c r="F27" s="3" t="str">
        <f t="shared" si="2"/>
        <v>007</v>
      </c>
      <c r="G27" s="3" t="str">
        <f t="shared" si="3"/>
        <v>ST</v>
      </c>
      <c r="H27" s="3" t="str">
        <f t="shared" si="4"/>
        <v>000</v>
      </c>
      <c r="I27" s="3" t="str">
        <f t="shared" si="5"/>
        <v>01</v>
      </c>
      <c r="L27" s="3" t="s">
        <v>3309</v>
      </c>
      <c r="R27" s="3" t="s">
        <v>3322</v>
      </c>
      <c r="S27" s="15" t="s">
        <v>3247</v>
      </c>
    </row>
    <row r="28" spans="1:20" x14ac:dyDescent="0.25">
      <c r="A28" s="4" t="s">
        <v>3323</v>
      </c>
      <c r="B28" s="4" t="s">
        <v>3243</v>
      </c>
      <c r="C28" s="4" t="s">
        <v>3324</v>
      </c>
      <c r="D28" s="3" t="str">
        <f t="shared" si="0"/>
        <v>ELA</v>
      </c>
      <c r="E28" s="3" t="str">
        <f t="shared" si="1"/>
        <v>R</v>
      </c>
      <c r="F28" s="3" t="str">
        <f t="shared" si="2"/>
        <v>004</v>
      </c>
      <c r="G28" s="3" t="str">
        <f t="shared" si="3"/>
        <v>ST</v>
      </c>
      <c r="H28" s="3" t="str">
        <f t="shared" si="4"/>
        <v>000</v>
      </c>
      <c r="I28" s="3" t="str">
        <f t="shared" si="5"/>
        <v>01</v>
      </c>
      <c r="L28" s="3" t="s">
        <v>3309</v>
      </c>
      <c r="R28" s="3" t="s">
        <v>3325</v>
      </c>
      <c r="S28" s="15" t="s">
        <v>3247</v>
      </c>
      <c r="T28" s="14"/>
    </row>
    <row r="29" spans="1:20" x14ac:dyDescent="0.25">
      <c r="A29" s="4" t="s">
        <v>3326</v>
      </c>
      <c r="B29" s="4" t="s">
        <v>3243</v>
      </c>
      <c r="C29" s="4" t="s">
        <v>3327</v>
      </c>
      <c r="D29" s="3" t="str">
        <f t="shared" si="0"/>
        <v>ELA</v>
      </c>
      <c r="E29" s="3" t="str">
        <f t="shared" si="1"/>
        <v>M</v>
      </c>
      <c r="F29" s="3" t="str">
        <f t="shared" si="2"/>
        <v>006</v>
      </c>
      <c r="G29" s="3" t="str">
        <f t="shared" si="3"/>
        <v>ST</v>
      </c>
      <c r="H29" s="3" t="str">
        <f t="shared" si="4"/>
        <v>000</v>
      </c>
      <c r="I29" s="3" t="str">
        <f t="shared" si="5"/>
        <v>03</v>
      </c>
      <c r="L29" s="3" t="s">
        <v>3309</v>
      </c>
      <c r="R29" s="3" t="s">
        <v>3328</v>
      </c>
      <c r="S29" s="15" t="s">
        <v>3247</v>
      </c>
      <c r="T29" s="14"/>
    </row>
    <row r="30" spans="1:20" ht="30" x14ac:dyDescent="0.25">
      <c r="A30" s="4" t="s">
        <v>3329</v>
      </c>
      <c r="B30" s="4" t="s">
        <v>3243</v>
      </c>
      <c r="C30" s="4" t="s">
        <v>3330</v>
      </c>
      <c r="D30" s="3" t="str">
        <f t="shared" si="0"/>
        <v>ELA</v>
      </c>
      <c r="E30" s="3" t="str">
        <f t="shared" si="1"/>
        <v>P</v>
      </c>
      <c r="F30" s="3" t="str">
        <f t="shared" si="2"/>
        <v>002</v>
      </c>
      <c r="G30" s="3" t="str">
        <f t="shared" si="3"/>
        <v>DT</v>
      </c>
      <c r="H30" s="3" t="str">
        <f t="shared" si="4"/>
        <v>001</v>
      </c>
      <c r="I30" s="3" t="str">
        <f t="shared" si="5"/>
        <v>00</v>
      </c>
      <c r="L30" s="3" t="s">
        <v>3309</v>
      </c>
      <c r="R30" s="3" t="s">
        <v>3331</v>
      </c>
      <c r="S30" s="15" t="s">
        <v>3247</v>
      </c>
      <c r="T30" s="14"/>
    </row>
    <row r="31" spans="1:20" ht="30" x14ac:dyDescent="0.25">
      <c r="A31" s="4" t="s">
        <v>3332</v>
      </c>
      <c r="B31" s="4" t="s">
        <v>3243</v>
      </c>
      <c r="C31" s="4" t="s">
        <v>3333</v>
      </c>
      <c r="D31" s="3" t="str">
        <f t="shared" si="0"/>
        <v>ELA</v>
      </c>
      <c r="E31" s="3" t="str">
        <f t="shared" si="1"/>
        <v>P</v>
      </c>
      <c r="F31" s="3" t="str">
        <f t="shared" si="2"/>
        <v>003</v>
      </c>
      <c r="G31" s="3" t="str">
        <f t="shared" si="3"/>
        <v>DT</v>
      </c>
      <c r="H31" s="3" t="str">
        <f t="shared" si="4"/>
        <v>001</v>
      </c>
      <c r="I31" s="3" t="str">
        <f t="shared" si="5"/>
        <v>00</v>
      </c>
      <c r="L31" s="3" t="s">
        <v>3309</v>
      </c>
      <c r="R31" s="3" t="s">
        <v>3334</v>
      </c>
      <c r="S31" s="15" t="s">
        <v>3247</v>
      </c>
      <c r="T31" s="14"/>
    </row>
    <row r="32" spans="1:20" x14ac:dyDescent="0.25">
      <c r="A32" s="4" t="s">
        <v>3335</v>
      </c>
      <c r="B32" s="4" t="s">
        <v>3243</v>
      </c>
      <c r="C32" s="4" t="s">
        <v>3336</v>
      </c>
      <c r="D32" s="3" t="str">
        <f t="shared" si="0"/>
        <v>ELA</v>
      </c>
      <c r="E32" s="3" t="str">
        <f t="shared" si="1"/>
        <v>C</v>
      </c>
      <c r="F32" s="3" t="str">
        <f t="shared" si="2"/>
        <v>001</v>
      </c>
      <c r="G32" s="3" t="str">
        <f t="shared" si="3"/>
        <v>ST</v>
      </c>
      <c r="H32" s="3" t="str">
        <f t="shared" si="4"/>
        <v>000</v>
      </c>
      <c r="I32" s="3" t="str">
        <f t="shared" si="5"/>
        <v>00</v>
      </c>
      <c r="L32" s="3" t="s">
        <v>3309</v>
      </c>
      <c r="R32" s="3" t="s">
        <v>3337</v>
      </c>
      <c r="S32" s="15" t="s">
        <v>3247</v>
      </c>
    </row>
    <row r="33" spans="1:19" x14ac:dyDescent="0.25">
      <c r="A33" s="4" t="s">
        <v>3338</v>
      </c>
      <c r="B33" s="4" t="s">
        <v>3243</v>
      </c>
      <c r="C33" s="4" t="s">
        <v>363</v>
      </c>
      <c r="D33" s="3" t="str">
        <f t="shared" si="0"/>
        <v>ELA</v>
      </c>
      <c r="E33" s="3" t="str">
        <f t="shared" si="1"/>
        <v>B</v>
      </c>
      <c r="F33" s="3" t="str">
        <f t="shared" si="2"/>
        <v>024</v>
      </c>
      <c r="G33" s="3" t="str">
        <f t="shared" si="3"/>
        <v>VS</v>
      </c>
      <c r="H33" s="3" t="str">
        <f t="shared" si="4"/>
        <v>000</v>
      </c>
      <c r="I33" s="3" t="str">
        <f t="shared" si="5"/>
        <v>00</v>
      </c>
      <c r="L33" s="3" t="s">
        <v>3309</v>
      </c>
      <c r="R33" s="3" t="s">
        <v>3339</v>
      </c>
      <c r="S33" s="15" t="s">
        <v>3247</v>
      </c>
    </row>
    <row r="34" spans="1:19" x14ac:dyDescent="0.25">
      <c r="A34" s="4" t="s">
        <v>3340</v>
      </c>
      <c r="B34" s="4" t="s">
        <v>3243</v>
      </c>
      <c r="C34" s="4" t="s">
        <v>363</v>
      </c>
      <c r="D34" s="3" t="str">
        <f t="shared" si="0"/>
        <v>ELA</v>
      </c>
      <c r="E34" s="3" t="str">
        <f t="shared" si="1"/>
        <v>B</v>
      </c>
      <c r="F34" s="3" t="str">
        <f t="shared" si="2"/>
        <v>024</v>
      </c>
      <c r="G34" s="3" t="str">
        <f t="shared" si="3"/>
        <v>ST</v>
      </c>
      <c r="H34" s="3" t="str">
        <f t="shared" si="4"/>
        <v>000</v>
      </c>
      <c r="I34" s="3" t="str">
        <f t="shared" si="5"/>
        <v>00</v>
      </c>
      <c r="L34" s="3" t="s">
        <v>3309</v>
      </c>
      <c r="R34" s="3" t="s">
        <v>3341</v>
      </c>
      <c r="S34" s="15">
        <v>200</v>
      </c>
    </row>
    <row r="35" spans="1:19" x14ac:dyDescent="0.25">
      <c r="A35" s="4" t="s">
        <v>3342</v>
      </c>
      <c r="B35" s="4" t="s">
        <v>3243</v>
      </c>
      <c r="C35" s="4" t="s">
        <v>3343</v>
      </c>
      <c r="D35" s="3" t="str">
        <f t="shared" si="0"/>
        <v>ELA</v>
      </c>
      <c r="E35" s="3" t="str">
        <f t="shared" si="1"/>
        <v>B</v>
      </c>
      <c r="F35" s="3" t="str">
        <f t="shared" si="2"/>
        <v>017</v>
      </c>
      <c r="G35" s="3" t="str">
        <f t="shared" si="3"/>
        <v>AE</v>
      </c>
      <c r="H35" s="3" t="str">
        <f t="shared" si="4"/>
        <v>000</v>
      </c>
      <c r="I35" s="3" t="str">
        <f t="shared" si="5"/>
        <v>00</v>
      </c>
      <c r="L35" s="3" t="s">
        <v>3309</v>
      </c>
      <c r="R35" s="3" t="s">
        <v>3344</v>
      </c>
      <c r="S35" s="15" t="s">
        <v>3247</v>
      </c>
    </row>
    <row r="36" spans="1:19" x14ac:dyDescent="0.25">
      <c r="A36" s="4" t="s">
        <v>3345</v>
      </c>
      <c r="B36" s="4" t="s">
        <v>3243</v>
      </c>
      <c r="C36" s="4" t="s">
        <v>3346</v>
      </c>
      <c r="D36" s="3" t="str">
        <f t="shared" si="0"/>
        <v>ELA</v>
      </c>
      <c r="E36" s="3" t="str">
        <f t="shared" si="1"/>
        <v>B</v>
      </c>
      <c r="F36" s="3" t="str">
        <f t="shared" si="2"/>
        <v>007</v>
      </c>
      <c r="G36" s="3" t="str">
        <f t="shared" si="3"/>
        <v>AE</v>
      </c>
      <c r="H36" s="3" t="str">
        <f t="shared" si="4"/>
        <v>000</v>
      </c>
      <c r="I36" s="3" t="str">
        <f t="shared" si="5"/>
        <v>00</v>
      </c>
      <c r="L36" s="3" t="s">
        <v>3309</v>
      </c>
      <c r="R36" s="3" t="s">
        <v>3347</v>
      </c>
      <c r="S36" s="15" t="s">
        <v>3247</v>
      </c>
    </row>
    <row r="37" spans="1:19" x14ac:dyDescent="0.25">
      <c r="A37" s="4" t="s">
        <v>3348</v>
      </c>
      <c r="B37" s="4" t="s">
        <v>3243</v>
      </c>
      <c r="C37" s="4" t="s">
        <v>3349</v>
      </c>
      <c r="D37" s="3" t="str">
        <f t="shared" si="0"/>
        <v>ELA</v>
      </c>
      <c r="E37" s="3" t="str">
        <f t="shared" si="1"/>
        <v>B</v>
      </c>
      <c r="F37" s="3" t="str">
        <f t="shared" si="2"/>
        <v>002</v>
      </c>
      <c r="G37" s="3" t="str">
        <f t="shared" si="3"/>
        <v>AE</v>
      </c>
      <c r="H37" s="3" t="str">
        <f t="shared" si="4"/>
        <v>000</v>
      </c>
      <c r="I37" s="3" t="str">
        <f t="shared" si="5"/>
        <v>00</v>
      </c>
      <c r="L37" s="3" t="s">
        <v>3309</v>
      </c>
      <c r="R37" s="3" t="s">
        <v>3350</v>
      </c>
      <c r="S37" s="15" t="s">
        <v>3247</v>
      </c>
    </row>
    <row r="38" spans="1:19" x14ac:dyDescent="0.25">
      <c r="A38" s="4" t="s">
        <v>3351</v>
      </c>
      <c r="B38" s="4" t="s">
        <v>3243</v>
      </c>
      <c r="C38" s="4" t="s">
        <v>3352</v>
      </c>
      <c r="D38" s="3" t="str">
        <f t="shared" si="0"/>
        <v>ELA</v>
      </c>
      <c r="E38" s="3" t="str">
        <f t="shared" si="1"/>
        <v>D</v>
      </c>
      <c r="F38" s="3" t="str">
        <f t="shared" si="2"/>
        <v>003</v>
      </c>
      <c r="G38" s="3" t="str">
        <f t="shared" si="3"/>
        <v>RE</v>
      </c>
      <c r="H38" s="3" t="str">
        <f t="shared" si="4"/>
        <v>000</v>
      </c>
      <c r="I38" s="3" t="str">
        <f t="shared" si="5"/>
        <v>00</v>
      </c>
      <c r="L38" s="3" t="s">
        <v>3309</v>
      </c>
      <c r="R38" s="3" t="s">
        <v>3353</v>
      </c>
      <c r="S38" s="15" t="s">
        <v>3247</v>
      </c>
    </row>
    <row r="39" spans="1:19" x14ac:dyDescent="0.25">
      <c r="A39" s="4" t="s">
        <v>3354</v>
      </c>
      <c r="B39" s="4" t="s">
        <v>3243</v>
      </c>
      <c r="C39" s="4" t="s">
        <v>3355</v>
      </c>
      <c r="D39" s="3" t="str">
        <f t="shared" si="0"/>
        <v>ELA</v>
      </c>
      <c r="E39" s="3" t="str">
        <f t="shared" si="1"/>
        <v>E</v>
      </c>
      <c r="F39" s="3" t="str">
        <f t="shared" si="2"/>
        <v>003</v>
      </c>
      <c r="G39" s="3" t="str">
        <f t="shared" si="3"/>
        <v>ST</v>
      </c>
      <c r="H39" s="3" t="str">
        <f t="shared" si="4"/>
        <v>000</v>
      </c>
      <c r="I39" s="3" t="str">
        <f t="shared" si="5"/>
        <v>04</v>
      </c>
      <c r="L39" s="3" t="s">
        <v>3309</v>
      </c>
      <c r="R39" s="3" t="s">
        <v>3356</v>
      </c>
      <c r="S39" s="15" t="s">
        <v>3247</v>
      </c>
    </row>
    <row r="40" spans="1:19" x14ac:dyDescent="0.25">
      <c r="A40" s="4" t="s">
        <v>3357</v>
      </c>
      <c r="B40" s="4" t="s">
        <v>3243</v>
      </c>
      <c r="C40" s="4" t="s">
        <v>3358</v>
      </c>
      <c r="D40" s="3" t="str">
        <f t="shared" si="0"/>
        <v>ELA</v>
      </c>
      <c r="E40" s="3" t="str">
        <f t="shared" si="1"/>
        <v>D</v>
      </c>
      <c r="F40" s="3" t="str">
        <f t="shared" si="2"/>
        <v>003</v>
      </c>
      <c r="G40" s="3" t="str">
        <f t="shared" si="3"/>
        <v>ST</v>
      </c>
      <c r="H40" s="3" t="str">
        <f t="shared" si="4"/>
        <v>000</v>
      </c>
      <c r="I40" s="3" t="str">
        <f t="shared" si="5"/>
        <v>0</v>
      </c>
      <c r="L40" s="3" t="s">
        <v>3309</v>
      </c>
      <c r="R40" s="3" t="s">
        <v>3359</v>
      </c>
      <c r="S40" s="15" t="s">
        <v>3247</v>
      </c>
    </row>
    <row r="41" spans="1:19" x14ac:dyDescent="0.25">
      <c r="A41" s="4" t="s">
        <v>3360</v>
      </c>
      <c r="B41" s="4" t="s">
        <v>3243</v>
      </c>
      <c r="C41" s="4" t="s">
        <v>3361</v>
      </c>
      <c r="D41" s="3" t="str">
        <f t="shared" si="0"/>
        <v>ELA</v>
      </c>
      <c r="E41" s="3" t="str">
        <f t="shared" si="1"/>
        <v>Q</v>
      </c>
      <c r="F41" s="3" t="str">
        <f t="shared" si="2"/>
        <v>001</v>
      </c>
      <c r="G41" s="3" t="str">
        <f t="shared" si="3"/>
        <v>SC</v>
      </c>
      <c r="H41" s="3" t="str">
        <f t="shared" si="4"/>
        <v>000</v>
      </c>
      <c r="I41" s="3" t="str">
        <f t="shared" si="5"/>
        <v>0</v>
      </c>
      <c r="L41" s="3" t="s">
        <v>3309</v>
      </c>
      <c r="R41" s="3" t="s">
        <v>3362</v>
      </c>
      <c r="S41" s="15" t="s">
        <v>3247</v>
      </c>
    </row>
    <row r="42" spans="1:19" x14ac:dyDescent="0.25">
      <c r="A42" s="4" t="s">
        <v>3363</v>
      </c>
      <c r="B42" s="4" t="s">
        <v>3243</v>
      </c>
      <c r="C42" s="4" t="s">
        <v>3364</v>
      </c>
      <c r="D42" s="3" t="str">
        <f t="shared" si="0"/>
        <v>ELA</v>
      </c>
      <c r="E42" s="3" t="str">
        <f t="shared" si="1"/>
        <v>B</v>
      </c>
      <c r="F42" s="3" t="str">
        <f t="shared" si="2"/>
        <v>019</v>
      </c>
      <c r="G42" s="3" t="str">
        <f t="shared" si="3"/>
        <v>VS</v>
      </c>
      <c r="H42" s="3" t="str">
        <f t="shared" si="4"/>
        <v>000</v>
      </c>
      <c r="I42" s="3" t="str">
        <f t="shared" si="5"/>
        <v>00</v>
      </c>
      <c r="L42" s="3" t="s">
        <v>3309</v>
      </c>
      <c r="R42" s="3" t="s">
        <v>3365</v>
      </c>
      <c r="S42" s="15" t="s">
        <v>3247</v>
      </c>
    </row>
    <row r="43" spans="1:19" x14ac:dyDescent="0.25">
      <c r="A43" s="4" t="s">
        <v>3366</v>
      </c>
      <c r="B43" s="4" t="s">
        <v>3243</v>
      </c>
      <c r="C43" s="4" t="s">
        <v>3367</v>
      </c>
      <c r="D43" s="3" t="str">
        <f t="shared" si="0"/>
        <v>ELA</v>
      </c>
      <c r="E43" s="3" t="str">
        <f t="shared" si="1"/>
        <v>B</v>
      </c>
      <c r="F43" s="3" t="str">
        <f t="shared" si="2"/>
        <v>020</v>
      </c>
      <c r="G43" s="3" t="str">
        <f t="shared" si="3"/>
        <v>VS</v>
      </c>
      <c r="H43" s="3" t="str">
        <f t="shared" si="4"/>
        <v>000</v>
      </c>
      <c r="I43" s="3" t="str">
        <f t="shared" si="5"/>
        <v>00</v>
      </c>
      <c r="L43" s="3" t="s">
        <v>3309</v>
      </c>
      <c r="R43" s="3" t="s">
        <v>3368</v>
      </c>
      <c r="S43" s="15" t="s">
        <v>3247</v>
      </c>
    </row>
    <row r="44" spans="1:19" x14ac:dyDescent="0.25">
      <c r="A44" s="4" t="s">
        <v>3369</v>
      </c>
      <c r="B44" s="4" t="s">
        <v>3243</v>
      </c>
      <c r="C44" s="4" t="s">
        <v>3370</v>
      </c>
      <c r="D44" s="3" t="str">
        <f t="shared" si="0"/>
        <v>ELA</v>
      </c>
      <c r="E44" s="3" t="str">
        <f t="shared" si="1"/>
        <v>B</v>
      </c>
      <c r="F44" s="3" t="str">
        <f t="shared" si="2"/>
        <v>021</v>
      </c>
      <c r="G44" s="3" t="str">
        <f t="shared" si="3"/>
        <v>VS</v>
      </c>
      <c r="H44" s="3" t="str">
        <f t="shared" si="4"/>
        <v>000</v>
      </c>
      <c r="I44" s="3" t="str">
        <f t="shared" si="5"/>
        <v>00</v>
      </c>
      <c r="L44" s="3" t="s">
        <v>3309</v>
      </c>
      <c r="R44" s="3" t="s">
        <v>3371</v>
      </c>
      <c r="S44" s="15" t="s">
        <v>3247</v>
      </c>
    </row>
    <row r="45" spans="1:19" x14ac:dyDescent="0.25">
      <c r="A45" s="4" t="s">
        <v>3372</v>
      </c>
      <c r="B45" s="4" t="s">
        <v>3243</v>
      </c>
      <c r="C45" s="4" t="s">
        <v>3373</v>
      </c>
      <c r="D45" s="3" t="str">
        <f t="shared" si="0"/>
        <v>ELA</v>
      </c>
      <c r="E45" s="3" t="str">
        <f t="shared" si="1"/>
        <v>B</v>
      </c>
      <c r="F45" s="3" t="str">
        <f t="shared" si="2"/>
        <v>022</v>
      </c>
      <c r="G45" s="3" t="str">
        <f t="shared" si="3"/>
        <v>VS</v>
      </c>
      <c r="H45" s="3" t="str">
        <f t="shared" si="4"/>
        <v>000</v>
      </c>
      <c r="I45" s="3" t="str">
        <f t="shared" si="5"/>
        <v>00</v>
      </c>
      <c r="L45" s="3" t="s">
        <v>3309</v>
      </c>
      <c r="R45" s="3" t="s">
        <v>3374</v>
      </c>
      <c r="S45" s="15" t="s">
        <v>3247</v>
      </c>
    </row>
    <row r="46" spans="1:19" x14ac:dyDescent="0.25">
      <c r="A46" s="4" t="s">
        <v>3375</v>
      </c>
      <c r="B46" s="4" t="s">
        <v>3243</v>
      </c>
      <c r="C46" s="4" t="s">
        <v>3376</v>
      </c>
      <c r="D46" s="3" t="str">
        <f t="shared" si="0"/>
        <v>ELA</v>
      </c>
      <c r="E46" s="3" t="str">
        <f t="shared" si="1"/>
        <v>D</v>
      </c>
      <c r="F46" s="3" t="str">
        <f t="shared" si="2"/>
        <v>005</v>
      </c>
      <c r="G46" s="3" t="str">
        <f t="shared" si="3"/>
        <v>VS</v>
      </c>
      <c r="H46" s="3" t="str">
        <f t="shared" si="4"/>
        <v>000</v>
      </c>
      <c r="I46" s="3" t="str">
        <f t="shared" si="5"/>
        <v>00</v>
      </c>
      <c r="L46" s="3" t="s">
        <v>3309</v>
      </c>
      <c r="R46" s="3" t="s">
        <v>3377</v>
      </c>
      <c r="S46" s="15" t="s">
        <v>3247</v>
      </c>
    </row>
    <row r="47" spans="1:19" x14ac:dyDescent="0.25">
      <c r="A47" s="4" t="s">
        <v>3378</v>
      </c>
      <c r="B47" s="4" t="s">
        <v>3243</v>
      </c>
      <c r="C47" s="4" t="s">
        <v>3379</v>
      </c>
      <c r="D47" s="3" t="str">
        <f t="shared" si="0"/>
        <v>ELA</v>
      </c>
      <c r="E47" s="3" t="str">
        <f t="shared" si="1"/>
        <v>C</v>
      </c>
      <c r="F47" s="3" t="str">
        <f t="shared" si="2"/>
        <v>002</v>
      </c>
      <c r="G47" s="3" t="str">
        <f t="shared" si="3"/>
        <v>VS</v>
      </c>
      <c r="H47" s="3" t="str">
        <f t="shared" si="4"/>
        <v>000</v>
      </c>
      <c r="I47" s="3" t="str">
        <f t="shared" si="5"/>
        <v>00</v>
      </c>
      <c r="L47" s="3" t="s">
        <v>3309</v>
      </c>
      <c r="R47" s="3" t="s">
        <v>3380</v>
      </c>
      <c r="S47" s="15" t="s">
        <v>3247</v>
      </c>
    </row>
    <row r="48" spans="1:19" x14ac:dyDescent="0.25">
      <c r="A48" s="4" t="s">
        <v>3381</v>
      </c>
      <c r="B48" s="4" t="s">
        <v>3243</v>
      </c>
      <c r="C48" s="4" t="s">
        <v>3382</v>
      </c>
      <c r="D48" s="3" t="str">
        <f t="shared" si="0"/>
        <v>ELA</v>
      </c>
      <c r="E48" s="3" t="str">
        <f t="shared" si="1"/>
        <v>C</v>
      </c>
      <c r="F48" s="3" t="str">
        <f t="shared" si="2"/>
        <v>003</v>
      </c>
      <c r="G48" s="3" t="str">
        <f t="shared" si="3"/>
        <v>VS</v>
      </c>
      <c r="H48" s="3" t="str">
        <f t="shared" si="4"/>
        <v>000</v>
      </c>
      <c r="I48" s="3" t="str">
        <f t="shared" si="5"/>
        <v>00</v>
      </c>
      <c r="L48" s="3" t="s">
        <v>3309</v>
      </c>
      <c r="R48" s="3" t="s">
        <v>3383</v>
      </c>
      <c r="S48" s="15" t="s">
        <v>3247</v>
      </c>
    </row>
    <row r="49" spans="1:19" x14ac:dyDescent="0.25">
      <c r="A49" s="4" t="s">
        <v>3384</v>
      </c>
      <c r="B49" s="4" t="s">
        <v>3243</v>
      </c>
      <c r="C49" s="4" t="s">
        <v>3385</v>
      </c>
      <c r="D49" s="3" t="str">
        <f t="shared" si="0"/>
        <v>ELA</v>
      </c>
      <c r="E49" s="3" t="str">
        <f t="shared" si="1"/>
        <v>F</v>
      </c>
      <c r="F49" s="3" t="str">
        <f t="shared" si="2"/>
        <v>001</v>
      </c>
      <c r="G49" s="3" t="str">
        <f t="shared" si="3"/>
        <v>VS</v>
      </c>
      <c r="H49" s="3" t="str">
        <f t="shared" si="4"/>
        <v>002</v>
      </c>
      <c r="I49" s="3" t="str">
        <f t="shared" si="5"/>
        <v>00</v>
      </c>
      <c r="L49" s="3" t="s">
        <v>3309</v>
      </c>
      <c r="R49" s="3" t="s">
        <v>3386</v>
      </c>
      <c r="S49" s="15" t="s">
        <v>3247</v>
      </c>
    </row>
    <row r="50" spans="1:19" x14ac:dyDescent="0.25">
      <c r="A50" s="4" t="s">
        <v>3387</v>
      </c>
      <c r="B50" s="4" t="s">
        <v>3243</v>
      </c>
      <c r="C50" s="4" t="s">
        <v>3388</v>
      </c>
      <c r="D50" s="3" t="str">
        <f t="shared" si="0"/>
        <v>ELA</v>
      </c>
      <c r="E50" s="3" t="str">
        <f t="shared" si="1"/>
        <v>B</v>
      </c>
      <c r="F50" s="3" t="str">
        <f t="shared" si="2"/>
        <v>023</v>
      </c>
      <c r="G50" s="3" t="str">
        <f t="shared" si="3"/>
        <v>VS</v>
      </c>
      <c r="H50" s="3" t="str">
        <f t="shared" si="4"/>
        <v>000</v>
      </c>
      <c r="I50" s="3" t="str">
        <f t="shared" si="5"/>
        <v>00</v>
      </c>
      <c r="L50" s="3" t="s">
        <v>3309</v>
      </c>
      <c r="R50" s="3" t="s">
        <v>3389</v>
      </c>
      <c r="S50" s="15" t="s">
        <v>3247</v>
      </c>
    </row>
    <row r="51" spans="1:19" x14ac:dyDescent="0.25">
      <c r="A51" s="4" t="s">
        <v>3390</v>
      </c>
      <c r="B51" s="4" t="s">
        <v>3243</v>
      </c>
      <c r="C51" s="4" t="s">
        <v>3391</v>
      </c>
      <c r="D51" s="3" t="str">
        <f t="shared" si="0"/>
        <v>ELA</v>
      </c>
      <c r="E51" s="3" t="str">
        <f t="shared" si="1"/>
        <v>G</v>
      </c>
      <c r="F51" s="3" t="str">
        <f t="shared" si="2"/>
        <v>001</v>
      </c>
      <c r="G51" s="3" t="str">
        <f t="shared" si="3"/>
        <v>VS</v>
      </c>
      <c r="H51" s="3" t="str">
        <f t="shared" si="4"/>
        <v>000</v>
      </c>
      <c r="I51" s="3" t="str">
        <f t="shared" si="5"/>
        <v>00</v>
      </c>
      <c r="L51" s="3" t="s">
        <v>3309</v>
      </c>
      <c r="R51" s="3" t="s">
        <v>3392</v>
      </c>
      <c r="S51" s="15" t="s">
        <v>3247</v>
      </c>
    </row>
    <row r="52" spans="1:19" x14ac:dyDescent="0.25">
      <c r="A52" s="4" t="s">
        <v>3393</v>
      </c>
      <c r="B52" s="4" t="s">
        <v>3243</v>
      </c>
      <c r="C52" s="4" t="s">
        <v>3394</v>
      </c>
      <c r="D52" s="3" t="str">
        <f t="shared" si="0"/>
        <v>ELA</v>
      </c>
      <c r="E52" s="3" t="str">
        <f t="shared" si="1"/>
        <v>T</v>
      </c>
      <c r="F52" s="3" t="str">
        <f t="shared" si="2"/>
        <v>001</v>
      </c>
      <c r="G52" s="3" t="str">
        <f t="shared" si="3"/>
        <v>VS</v>
      </c>
      <c r="H52" s="3" t="str">
        <f t="shared" si="4"/>
        <v>000</v>
      </c>
      <c r="I52" s="3" t="str">
        <f t="shared" si="5"/>
        <v>00</v>
      </c>
      <c r="L52" s="3" t="s">
        <v>3309</v>
      </c>
      <c r="R52" s="3" t="s">
        <v>3395</v>
      </c>
      <c r="S52" s="15" t="s">
        <v>3247</v>
      </c>
    </row>
    <row r="53" spans="1:19" x14ac:dyDescent="0.25">
      <c r="A53" s="4" t="s">
        <v>3396</v>
      </c>
      <c r="B53" s="4" t="s">
        <v>3243</v>
      </c>
      <c r="C53" s="4" t="s">
        <v>3397</v>
      </c>
      <c r="D53" s="3" t="str">
        <f t="shared" si="0"/>
        <v>ELA</v>
      </c>
      <c r="E53" s="3" t="str">
        <f t="shared" si="1"/>
        <v>A</v>
      </c>
      <c r="F53" s="3" t="str">
        <f t="shared" si="2"/>
        <v>075</v>
      </c>
      <c r="G53" s="3" t="str">
        <f t="shared" si="3"/>
        <v>KS</v>
      </c>
      <c r="H53" s="3" t="str">
        <f t="shared" si="4"/>
        <v>000</v>
      </c>
      <c r="I53" s="3" t="str">
        <f t="shared" si="5"/>
        <v>05</v>
      </c>
      <c r="L53" s="3" t="s">
        <v>3309</v>
      </c>
      <c r="R53" s="3" t="s">
        <v>3398</v>
      </c>
      <c r="S53" s="15" t="s">
        <v>3247</v>
      </c>
    </row>
    <row r="54" spans="1:19" ht="45" x14ac:dyDescent="0.25">
      <c r="A54" s="4" t="s">
        <v>3399</v>
      </c>
      <c r="B54" s="4" t="s">
        <v>3243</v>
      </c>
      <c r="C54" s="4" t="s">
        <v>3400</v>
      </c>
      <c r="D54" s="3" t="str">
        <f t="shared" si="0"/>
        <v>ELA</v>
      </c>
      <c r="E54" s="3" t="str">
        <f t="shared" si="1"/>
        <v>V</v>
      </c>
      <c r="F54" s="3" t="str">
        <f t="shared" si="2"/>
        <v>001</v>
      </c>
      <c r="G54" s="3" t="str">
        <f t="shared" si="3"/>
        <v>NO</v>
      </c>
      <c r="H54" s="3" t="str">
        <f t="shared" si="4"/>
        <v>003</v>
      </c>
      <c r="I54" s="3" t="str">
        <f t="shared" si="5"/>
        <v>06</v>
      </c>
      <c r="L54" s="3" t="s">
        <v>3309</v>
      </c>
      <c r="R54" s="3" t="s">
        <v>3401</v>
      </c>
      <c r="S54" s="15" t="s">
        <v>3247</v>
      </c>
    </row>
    <row r="55" spans="1:19" x14ac:dyDescent="0.25">
      <c r="A55" s="4" t="s">
        <v>3402</v>
      </c>
      <c r="B55" s="4" t="s">
        <v>3243</v>
      </c>
      <c r="C55" s="4" t="s">
        <v>3403</v>
      </c>
      <c r="D55" s="3" t="str">
        <f t="shared" si="0"/>
        <v>ELA</v>
      </c>
      <c r="E55" s="3" t="str">
        <f t="shared" si="1"/>
        <v>D</v>
      </c>
      <c r="F55" s="3" t="str">
        <f t="shared" si="2"/>
        <v>006</v>
      </c>
      <c r="G55" s="3" t="str">
        <f t="shared" si="3"/>
        <v>AE</v>
      </c>
      <c r="H55" s="3" t="str">
        <f t="shared" si="4"/>
        <v>000</v>
      </c>
      <c r="I55" s="3" t="str">
        <f t="shared" si="5"/>
        <v>00</v>
      </c>
      <c r="L55" s="3" t="s">
        <v>3309</v>
      </c>
      <c r="R55" s="3" t="s">
        <v>3404</v>
      </c>
      <c r="S55" s="15" t="s">
        <v>3247</v>
      </c>
    </row>
    <row r="56" spans="1:19" x14ac:dyDescent="0.25">
      <c r="A56" s="4" t="s">
        <v>3405</v>
      </c>
      <c r="B56" s="4" t="s">
        <v>3243</v>
      </c>
      <c r="C56" s="4" t="s">
        <v>3406</v>
      </c>
      <c r="D56" s="3" t="str">
        <f t="shared" si="0"/>
        <v>ELA</v>
      </c>
      <c r="E56" s="3" t="str">
        <f t="shared" si="1"/>
        <v>D</v>
      </c>
      <c r="F56" s="3" t="str">
        <f t="shared" si="2"/>
        <v>007</v>
      </c>
      <c r="G56" s="3" t="str">
        <f t="shared" si="3"/>
        <v>AE</v>
      </c>
      <c r="H56" s="3" t="str">
        <f t="shared" si="4"/>
        <v>000</v>
      </c>
      <c r="I56" s="3" t="str">
        <f t="shared" si="5"/>
        <v>00</v>
      </c>
      <c r="L56" s="3" t="s">
        <v>3309</v>
      </c>
      <c r="R56" s="3" t="s">
        <v>3407</v>
      </c>
      <c r="S56" s="15" t="s">
        <v>3247</v>
      </c>
    </row>
    <row r="57" spans="1:19" x14ac:dyDescent="0.25">
      <c r="A57" s="4" t="s">
        <v>3408</v>
      </c>
      <c r="B57" s="4" t="s">
        <v>3243</v>
      </c>
      <c r="C57" s="4" t="s">
        <v>3409</v>
      </c>
      <c r="D57" s="3" t="str">
        <f t="shared" si="0"/>
        <v>ELA</v>
      </c>
      <c r="E57" s="3" t="str">
        <f t="shared" si="1"/>
        <v>K</v>
      </c>
      <c r="F57" s="3" t="str">
        <f t="shared" si="2"/>
        <v>004</v>
      </c>
      <c r="G57" s="3" t="str">
        <f t="shared" si="3"/>
        <v>LB</v>
      </c>
      <c r="H57" s="3" t="str">
        <f t="shared" si="4"/>
        <v>000</v>
      </c>
      <c r="I57" s="3" t="str">
        <f t="shared" si="5"/>
        <v>00</v>
      </c>
      <c r="L57" s="3" t="s">
        <v>3309</v>
      </c>
      <c r="R57" s="3" t="s">
        <v>3410</v>
      </c>
      <c r="S57" s="15" t="s">
        <v>3247</v>
      </c>
    </row>
    <row r="58" spans="1:19" x14ac:dyDescent="0.25">
      <c r="A58" s="4" t="s">
        <v>3411</v>
      </c>
      <c r="B58" s="4" t="s">
        <v>3243</v>
      </c>
      <c r="C58" s="4" t="s">
        <v>3409</v>
      </c>
      <c r="D58" s="3" t="str">
        <f t="shared" si="0"/>
        <v>ELA</v>
      </c>
      <c r="E58" s="3" t="str">
        <f t="shared" si="1"/>
        <v>K</v>
      </c>
      <c r="F58" s="3" t="str">
        <f t="shared" si="2"/>
        <v>004</v>
      </c>
      <c r="G58" s="3" t="str">
        <f t="shared" si="3"/>
        <v>NA</v>
      </c>
      <c r="H58" s="3" t="str">
        <f t="shared" si="4"/>
        <v>000</v>
      </c>
      <c r="I58" s="3" t="str">
        <f t="shared" si="5"/>
        <v>00</v>
      </c>
      <c r="L58" s="3" t="s">
        <v>3245</v>
      </c>
      <c r="R58" s="3" t="s">
        <v>3412</v>
      </c>
      <c r="S58" s="15" t="s">
        <v>3247</v>
      </c>
    </row>
    <row r="59" spans="1:19" x14ac:dyDescent="0.25">
      <c r="A59" s="4" t="s">
        <v>3413</v>
      </c>
      <c r="B59" s="4" t="s">
        <v>3243</v>
      </c>
      <c r="C59" s="4" t="s">
        <v>364</v>
      </c>
      <c r="D59" s="3" t="str">
        <f t="shared" si="0"/>
        <v>ELA</v>
      </c>
      <c r="E59" s="3" t="str">
        <f t="shared" si="1"/>
        <v>B</v>
      </c>
      <c r="F59" s="3" t="str">
        <f t="shared" si="2"/>
        <v>025</v>
      </c>
      <c r="G59" s="3" t="str">
        <f t="shared" si="3"/>
        <v>VS</v>
      </c>
      <c r="H59" s="3" t="str">
        <f t="shared" si="4"/>
        <v>000</v>
      </c>
      <c r="I59" s="3" t="str">
        <f t="shared" si="5"/>
        <v>00</v>
      </c>
      <c r="L59" s="3" t="s">
        <v>3309</v>
      </c>
      <c r="R59" s="3" t="s">
        <v>3414</v>
      </c>
      <c r="S59" s="15" t="s">
        <v>3247</v>
      </c>
    </row>
    <row r="60" spans="1:19" x14ac:dyDescent="0.25">
      <c r="A60" s="4" t="s">
        <v>3415</v>
      </c>
      <c r="B60" s="4" t="s">
        <v>3243</v>
      </c>
      <c r="C60" s="4" t="s">
        <v>366</v>
      </c>
      <c r="D60" s="3" t="str">
        <f t="shared" si="0"/>
        <v>ELA</v>
      </c>
      <c r="E60" s="3" t="str">
        <f t="shared" si="1"/>
        <v>B</v>
      </c>
      <c r="F60" s="3" t="str">
        <f t="shared" si="2"/>
        <v>026</v>
      </c>
      <c r="G60" s="3" t="str">
        <f t="shared" si="3"/>
        <v>VS</v>
      </c>
      <c r="H60" s="3" t="str">
        <f t="shared" si="4"/>
        <v>000</v>
      </c>
      <c r="I60" s="3" t="str">
        <f t="shared" si="5"/>
        <v>00</v>
      </c>
      <c r="L60" s="3" t="s">
        <v>3309</v>
      </c>
      <c r="R60" s="3" t="s">
        <v>3416</v>
      </c>
      <c r="S60" s="15" t="s">
        <v>3247</v>
      </c>
    </row>
    <row r="61" spans="1:19" x14ac:dyDescent="0.25">
      <c r="A61" s="4" t="s">
        <v>3417</v>
      </c>
      <c r="B61" s="4" t="s">
        <v>3243</v>
      </c>
      <c r="C61" s="4" t="s">
        <v>368</v>
      </c>
      <c r="D61" s="3" t="str">
        <f t="shared" si="0"/>
        <v>ELA</v>
      </c>
      <c r="E61" s="3" t="str">
        <f t="shared" si="1"/>
        <v>B</v>
      </c>
      <c r="F61" s="3" t="str">
        <f t="shared" si="2"/>
        <v>027</v>
      </c>
      <c r="G61" s="3" t="str">
        <f t="shared" si="3"/>
        <v>VS</v>
      </c>
      <c r="H61" s="3" t="str">
        <f t="shared" si="4"/>
        <v>000</v>
      </c>
      <c r="I61" s="3" t="str">
        <f t="shared" si="5"/>
        <v>00</v>
      </c>
      <c r="L61" s="3" t="s">
        <v>3309</v>
      </c>
      <c r="R61" s="3" t="s">
        <v>3418</v>
      </c>
      <c r="S61" s="15" t="s">
        <v>3247</v>
      </c>
    </row>
    <row r="62" spans="1:19" x14ac:dyDescent="0.25">
      <c r="A62" s="4" t="s">
        <v>3419</v>
      </c>
      <c r="B62" s="4" t="s">
        <v>3243</v>
      </c>
      <c r="C62" s="4" t="s">
        <v>3420</v>
      </c>
      <c r="D62" s="3" t="str">
        <f t="shared" si="0"/>
        <v>ELA</v>
      </c>
      <c r="E62" s="3" t="str">
        <f t="shared" si="1"/>
        <v>A</v>
      </c>
      <c r="F62" s="3" t="str">
        <f t="shared" si="2"/>
        <v>200</v>
      </c>
      <c r="G62" s="3" t="str">
        <f t="shared" si="3"/>
        <v>VS</v>
      </c>
      <c r="H62" s="3" t="str">
        <f t="shared" si="4"/>
        <v>000</v>
      </c>
      <c r="I62" s="3" t="str">
        <f t="shared" si="5"/>
        <v>00</v>
      </c>
      <c r="L62" s="3" t="s">
        <v>3309</v>
      </c>
      <c r="R62" s="3" t="s">
        <v>3421</v>
      </c>
      <c r="S62" s="15" t="s">
        <v>3247</v>
      </c>
    </row>
    <row r="63" spans="1:19" x14ac:dyDescent="0.25">
      <c r="A63" s="4" t="s">
        <v>3422</v>
      </c>
      <c r="B63" s="4" t="s">
        <v>3243</v>
      </c>
      <c r="C63" s="4" t="s">
        <v>370</v>
      </c>
      <c r="D63" s="3" t="str">
        <f t="shared" si="0"/>
        <v>ELA</v>
      </c>
      <c r="E63" s="3" t="str">
        <f t="shared" si="1"/>
        <v>B</v>
      </c>
      <c r="F63" s="3" t="str">
        <f t="shared" si="2"/>
        <v>028</v>
      </c>
      <c r="G63" s="3" t="str">
        <f t="shared" si="3"/>
        <v>VS</v>
      </c>
      <c r="H63" s="3" t="str">
        <f t="shared" si="4"/>
        <v>000</v>
      </c>
      <c r="I63" s="3" t="str">
        <f t="shared" si="5"/>
        <v>00</v>
      </c>
      <c r="L63" s="3" t="s">
        <v>3309</v>
      </c>
      <c r="R63" s="3" t="s">
        <v>3423</v>
      </c>
      <c r="S63" s="15" t="s">
        <v>3247</v>
      </c>
    </row>
    <row r="64" spans="1:19" x14ac:dyDescent="0.25">
      <c r="A64" s="4" t="s">
        <v>3424</v>
      </c>
      <c r="B64" s="4" t="s">
        <v>3243</v>
      </c>
      <c r="C64" s="4" t="s">
        <v>489</v>
      </c>
      <c r="D64" s="3" t="str">
        <f t="shared" si="0"/>
        <v>ELA</v>
      </c>
      <c r="E64" s="3" t="str">
        <f t="shared" si="1"/>
        <v>D</v>
      </c>
      <c r="F64" s="3" t="str">
        <f t="shared" si="2"/>
        <v>008</v>
      </c>
      <c r="G64" s="3" t="str">
        <f t="shared" si="3"/>
        <v>VS</v>
      </c>
      <c r="H64" s="3" t="str">
        <f t="shared" si="4"/>
        <v>000</v>
      </c>
      <c r="I64" s="3" t="str">
        <f t="shared" si="5"/>
        <v>00</v>
      </c>
      <c r="L64" s="3" t="s">
        <v>3309</v>
      </c>
      <c r="R64" s="3" t="s">
        <v>3425</v>
      </c>
      <c r="S64" s="15" t="s">
        <v>3247</v>
      </c>
    </row>
    <row r="65" spans="1:19" x14ac:dyDescent="0.25">
      <c r="A65" s="4" t="s">
        <v>3426</v>
      </c>
      <c r="B65" s="4" t="s">
        <v>3243</v>
      </c>
      <c r="C65" s="4" t="s">
        <v>490</v>
      </c>
      <c r="D65" s="3" t="str">
        <f t="shared" si="0"/>
        <v>ELA</v>
      </c>
      <c r="E65" s="3" t="str">
        <f t="shared" si="1"/>
        <v>D</v>
      </c>
      <c r="F65" s="3" t="str">
        <f t="shared" si="2"/>
        <v>009</v>
      </c>
      <c r="G65" s="3" t="str">
        <f t="shared" si="3"/>
        <v>VS</v>
      </c>
      <c r="H65" s="3" t="str">
        <f t="shared" si="4"/>
        <v>000</v>
      </c>
      <c r="I65" s="3" t="str">
        <f t="shared" si="5"/>
        <v>00</v>
      </c>
      <c r="L65" s="3" t="s">
        <v>3309</v>
      </c>
      <c r="R65" s="3" t="s">
        <v>3427</v>
      </c>
      <c r="S65" s="15" t="s">
        <v>3247</v>
      </c>
    </row>
    <row r="66" spans="1:19" x14ac:dyDescent="0.25">
      <c r="A66" s="4" t="s">
        <v>3428</v>
      </c>
      <c r="B66" s="4" t="s">
        <v>3243</v>
      </c>
      <c r="C66" s="4" t="s">
        <v>491</v>
      </c>
      <c r="D66" s="3" t="str">
        <f t="shared" ref="D66:D129" si="6">LEFT(A66,3)</f>
        <v>ELA</v>
      </c>
      <c r="E66" s="3" t="str">
        <f t="shared" ref="E66:E129" si="7">MID(A66,4,1)</f>
        <v>D</v>
      </c>
      <c r="F66" s="3" t="str">
        <f t="shared" ref="F66:F129" si="8">MID(A66,5,3)</f>
        <v>010</v>
      </c>
      <c r="G66" s="3" t="str">
        <f t="shared" ref="G66:G129" si="9">MID(A66,8,2)</f>
        <v>VS</v>
      </c>
      <c r="H66" s="3" t="str">
        <f t="shared" ref="H66:H129" si="10">MID(A66,10,3)</f>
        <v>000</v>
      </c>
      <c r="I66" s="3" t="str">
        <f t="shared" ref="I66:I129" si="11">MID(A66,13,2)</f>
        <v>00</v>
      </c>
      <c r="L66" s="3" t="s">
        <v>3309</v>
      </c>
      <c r="R66" s="3" t="s">
        <v>3429</v>
      </c>
      <c r="S66" s="15" t="s">
        <v>3247</v>
      </c>
    </row>
    <row r="67" spans="1:19" x14ac:dyDescent="0.25">
      <c r="A67" s="4" t="s">
        <v>3430</v>
      </c>
      <c r="B67" s="4" t="s">
        <v>3243</v>
      </c>
      <c r="C67" s="4" t="s">
        <v>492</v>
      </c>
      <c r="D67" s="3" t="str">
        <f t="shared" si="6"/>
        <v>ELA</v>
      </c>
      <c r="E67" s="3" t="str">
        <f t="shared" si="7"/>
        <v>D</v>
      </c>
      <c r="F67" s="3" t="str">
        <f t="shared" si="8"/>
        <v>011</v>
      </c>
      <c r="G67" s="3" t="str">
        <f t="shared" si="9"/>
        <v>VS</v>
      </c>
      <c r="H67" s="3" t="str">
        <f t="shared" si="10"/>
        <v>000</v>
      </c>
      <c r="I67" s="3" t="str">
        <f t="shared" si="11"/>
        <v>00</v>
      </c>
      <c r="L67" s="3" t="s">
        <v>3309</v>
      </c>
      <c r="R67" s="3" t="s">
        <v>3431</v>
      </c>
      <c r="S67" s="15" t="s">
        <v>3247</v>
      </c>
    </row>
    <row r="68" spans="1:19" x14ac:dyDescent="0.25">
      <c r="A68" s="4" t="s">
        <v>3432</v>
      </c>
      <c r="B68" s="4" t="s">
        <v>3243</v>
      </c>
      <c r="C68" s="4" t="s">
        <v>493</v>
      </c>
      <c r="D68" s="3" t="str">
        <f t="shared" si="6"/>
        <v>ELA</v>
      </c>
      <c r="E68" s="3" t="str">
        <f t="shared" si="7"/>
        <v>D</v>
      </c>
      <c r="F68" s="3" t="str">
        <f t="shared" si="8"/>
        <v>012</v>
      </c>
      <c r="G68" s="3" t="str">
        <f t="shared" si="9"/>
        <v>VS</v>
      </c>
      <c r="H68" s="3" t="str">
        <f t="shared" si="10"/>
        <v>000</v>
      </c>
      <c r="I68" s="3" t="str">
        <f t="shared" si="11"/>
        <v>00</v>
      </c>
      <c r="L68" s="3" t="s">
        <v>3309</v>
      </c>
      <c r="R68" s="3" t="s">
        <v>3433</v>
      </c>
      <c r="S68" s="15" t="s">
        <v>3247</v>
      </c>
    </row>
    <row r="69" spans="1:19" x14ac:dyDescent="0.25">
      <c r="A69" s="4" t="s">
        <v>3434</v>
      </c>
      <c r="B69" s="4" t="s">
        <v>3243</v>
      </c>
      <c r="C69" s="4" t="s">
        <v>494</v>
      </c>
      <c r="D69" s="3" t="str">
        <f t="shared" si="6"/>
        <v>ELA</v>
      </c>
      <c r="E69" s="3" t="str">
        <f t="shared" si="7"/>
        <v>D</v>
      </c>
      <c r="F69" s="3" t="str">
        <f t="shared" si="8"/>
        <v>013</v>
      </c>
      <c r="G69" s="3" t="str">
        <f t="shared" si="9"/>
        <v>VS</v>
      </c>
      <c r="H69" s="3" t="str">
        <f t="shared" si="10"/>
        <v>000</v>
      </c>
      <c r="I69" s="3" t="str">
        <f t="shared" si="11"/>
        <v>00</v>
      </c>
      <c r="L69" s="3" t="s">
        <v>3309</v>
      </c>
      <c r="R69" s="3" t="s">
        <v>3435</v>
      </c>
      <c r="S69" s="15" t="s">
        <v>3247</v>
      </c>
    </row>
    <row r="70" spans="1:19" x14ac:dyDescent="0.25">
      <c r="A70" s="4" t="s">
        <v>3436</v>
      </c>
      <c r="B70" s="4" t="s">
        <v>3243</v>
      </c>
      <c r="C70" s="4" t="s">
        <v>495</v>
      </c>
      <c r="D70" s="3" t="str">
        <f t="shared" si="6"/>
        <v>ELA</v>
      </c>
      <c r="E70" s="3" t="str">
        <f t="shared" si="7"/>
        <v>D</v>
      </c>
      <c r="F70" s="3" t="str">
        <f t="shared" si="8"/>
        <v>014</v>
      </c>
      <c r="G70" s="3" t="str">
        <f t="shared" si="9"/>
        <v>VS</v>
      </c>
      <c r="H70" s="3" t="str">
        <f t="shared" si="10"/>
        <v>000</v>
      </c>
      <c r="I70" s="3" t="str">
        <f t="shared" si="11"/>
        <v>00</v>
      </c>
      <c r="L70" s="3" t="s">
        <v>3309</v>
      </c>
      <c r="R70" s="3" t="s">
        <v>3437</v>
      </c>
      <c r="S70" s="15" t="s">
        <v>3247</v>
      </c>
    </row>
    <row r="71" spans="1:19" x14ac:dyDescent="0.25">
      <c r="A71" s="4" t="s">
        <v>3438</v>
      </c>
      <c r="B71" s="4" t="s">
        <v>3243</v>
      </c>
      <c r="C71" s="4" t="s">
        <v>496</v>
      </c>
      <c r="D71" s="3" t="str">
        <f t="shared" si="6"/>
        <v>ELA</v>
      </c>
      <c r="E71" s="3" t="str">
        <f t="shared" si="7"/>
        <v>D</v>
      </c>
      <c r="F71" s="3" t="str">
        <f t="shared" si="8"/>
        <v>015</v>
      </c>
      <c r="G71" s="3" t="str">
        <f t="shared" si="9"/>
        <v>VS</v>
      </c>
      <c r="H71" s="3" t="str">
        <f t="shared" si="10"/>
        <v>000</v>
      </c>
      <c r="I71" s="3" t="str">
        <f t="shared" si="11"/>
        <v>00</v>
      </c>
      <c r="L71" s="3" t="s">
        <v>3309</v>
      </c>
      <c r="R71" s="3" t="s">
        <v>3439</v>
      </c>
      <c r="S71" s="15" t="s">
        <v>3247</v>
      </c>
    </row>
    <row r="72" spans="1:19" x14ac:dyDescent="0.25">
      <c r="A72" s="4" t="s">
        <v>3440</v>
      </c>
      <c r="B72" s="4" t="s">
        <v>3243</v>
      </c>
      <c r="C72" s="4" t="s">
        <v>497</v>
      </c>
      <c r="D72" s="3" t="str">
        <f t="shared" si="6"/>
        <v>ELA</v>
      </c>
      <c r="E72" s="3" t="str">
        <f t="shared" si="7"/>
        <v>D</v>
      </c>
      <c r="F72" s="3" t="str">
        <f t="shared" si="8"/>
        <v>016</v>
      </c>
      <c r="G72" s="3" t="str">
        <f t="shared" si="9"/>
        <v>VS</v>
      </c>
      <c r="H72" s="3" t="str">
        <f t="shared" si="10"/>
        <v>000</v>
      </c>
      <c r="I72" s="3" t="str">
        <f t="shared" si="11"/>
        <v>00</v>
      </c>
      <c r="L72" s="3" t="s">
        <v>3309</v>
      </c>
      <c r="R72" s="3" t="s">
        <v>3441</v>
      </c>
      <c r="S72" s="15" t="s">
        <v>3247</v>
      </c>
    </row>
    <row r="73" spans="1:19" x14ac:dyDescent="0.25">
      <c r="A73" s="4" t="s">
        <v>3442</v>
      </c>
      <c r="B73" s="4" t="s">
        <v>3243</v>
      </c>
      <c r="C73" s="4" t="s">
        <v>498</v>
      </c>
      <c r="D73" s="3" t="str">
        <f t="shared" si="6"/>
        <v>ELA</v>
      </c>
      <c r="E73" s="3" t="str">
        <f t="shared" si="7"/>
        <v>D</v>
      </c>
      <c r="F73" s="3" t="str">
        <f t="shared" si="8"/>
        <v>017</v>
      </c>
      <c r="G73" s="3" t="str">
        <f t="shared" si="9"/>
        <v>VS</v>
      </c>
      <c r="H73" s="3" t="str">
        <f t="shared" si="10"/>
        <v>000</v>
      </c>
      <c r="I73" s="3" t="str">
        <f t="shared" si="11"/>
        <v>00</v>
      </c>
      <c r="L73" s="3" t="s">
        <v>3309</v>
      </c>
      <c r="R73" s="3" t="s">
        <v>3443</v>
      </c>
      <c r="S73" s="15" t="s">
        <v>3247</v>
      </c>
    </row>
    <row r="74" spans="1:19" x14ac:dyDescent="0.25">
      <c r="A74" s="4" t="s">
        <v>3444</v>
      </c>
      <c r="B74" s="4" t="s">
        <v>3243</v>
      </c>
      <c r="C74" s="4" t="s">
        <v>519</v>
      </c>
      <c r="D74" s="3" t="str">
        <f t="shared" si="6"/>
        <v>ELA</v>
      </c>
      <c r="E74" s="3" t="str">
        <f t="shared" si="7"/>
        <v>H</v>
      </c>
      <c r="F74" s="3" t="str">
        <f t="shared" si="8"/>
        <v>001</v>
      </c>
      <c r="G74" s="3" t="str">
        <f t="shared" si="9"/>
        <v>VS</v>
      </c>
      <c r="H74" s="3" t="str">
        <f t="shared" si="10"/>
        <v>000</v>
      </c>
      <c r="I74" s="3" t="str">
        <f t="shared" si="11"/>
        <v>00</v>
      </c>
      <c r="L74" s="3" t="s">
        <v>3309</v>
      </c>
      <c r="R74" s="3" t="s">
        <v>3445</v>
      </c>
      <c r="S74" s="15" t="s">
        <v>3247</v>
      </c>
    </row>
    <row r="75" spans="1:19" x14ac:dyDescent="0.25">
      <c r="A75" s="4" t="s">
        <v>3446</v>
      </c>
      <c r="B75" s="4" t="s">
        <v>3243</v>
      </c>
      <c r="C75" s="4" t="s">
        <v>3447</v>
      </c>
      <c r="D75" s="3" t="str">
        <f t="shared" si="6"/>
        <v>ELA</v>
      </c>
      <c r="E75" s="3" t="str">
        <f t="shared" si="7"/>
        <v>B</v>
      </c>
      <c r="F75" s="3" t="str">
        <f t="shared" si="8"/>
        <v>029</v>
      </c>
      <c r="G75" s="3" t="str">
        <f t="shared" si="9"/>
        <v>VS</v>
      </c>
      <c r="H75" s="3" t="str">
        <f t="shared" si="10"/>
        <v>000</v>
      </c>
      <c r="I75" s="3" t="str">
        <f t="shared" si="11"/>
        <v>00</v>
      </c>
      <c r="L75" s="3" t="s">
        <v>3309</v>
      </c>
      <c r="R75" s="3" t="s">
        <v>3448</v>
      </c>
      <c r="S75" s="15" t="s">
        <v>3247</v>
      </c>
    </row>
    <row r="76" spans="1:19" x14ac:dyDescent="0.25">
      <c r="A76" s="4" t="s">
        <v>3449</v>
      </c>
      <c r="B76" s="4" t="s">
        <v>3243</v>
      </c>
      <c r="C76" s="4" t="s">
        <v>3450</v>
      </c>
      <c r="D76" s="3" t="str">
        <f t="shared" si="6"/>
        <v>MOD</v>
      </c>
      <c r="E76" s="3" t="str">
        <f t="shared" si="7"/>
        <v>M</v>
      </c>
      <c r="F76" s="3" t="str">
        <f t="shared" si="8"/>
        <v>006</v>
      </c>
      <c r="G76" s="3" t="str">
        <f t="shared" si="9"/>
        <v>AD</v>
      </c>
      <c r="H76" s="3" t="str">
        <f t="shared" si="10"/>
        <v>000</v>
      </c>
      <c r="I76" s="3" t="str">
        <f t="shared" si="11"/>
        <v>00</v>
      </c>
      <c r="L76" s="3" t="s">
        <v>3309</v>
      </c>
      <c r="R76" s="3" t="s">
        <v>3451</v>
      </c>
      <c r="S76" s="15">
        <v>1</v>
      </c>
    </row>
    <row r="77" spans="1:19" x14ac:dyDescent="0.25">
      <c r="A77" s="4" t="s">
        <v>3452</v>
      </c>
      <c r="B77" s="4" t="s">
        <v>3243</v>
      </c>
      <c r="C77" s="4" t="s">
        <v>522</v>
      </c>
      <c r="D77" s="3" t="str">
        <f t="shared" si="6"/>
        <v>ELA</v>
      </c>
      <c r="E77" s="3" t="str">
        <f t="shared" si="7"/>
        <v>W</v>
      </c>
      <c r="F77" s="3" t="str">
        <f t="shared" si="8"/>
        <v>001</v>
      </c>
      <c r="G77" s="3" t="str">
        <f t="shared" si="9"/>
        <v>JK</v>
      </c>
      <c r="H77" s="3" t="str">
        <f t="shared" si="10"/>
        <v>000</v>
      </c>
      <c r="I77" s="3" t="str">
        <f t="shared" si="11"/>
        <v>00</v>
      </c>
      <c r="L77" s="3" t="s">
        <v>3309</v>
      </c>
      <c r="R77" s="3" t="s">
        <v>3453</v>
      </c>
      <c r="S77" s="15" t="s">
        <v>3247</v>
      </c>
    </row>
    <row r="78" spans="1:19" x14ac:dyDescent="0.25">
      <c r="A78" s="4" t="s">
        <v>3454</v>
      </c>
      <c r="B78" s="4" t="s">
        <v>3243</v>
      </c>
      <c r="C78" s="4" t="s">
        <v>448</v>
      </c>
      <c r="D78" s="3" t="str">
        <f t="shared" si="6"/>
        <v>ELA</v>
      </c>
      <c r="E78" s="3" t="str">
        <f t="shared" si="7"/>
        <v>M</v>
      </c>
      <c r="F78" s="3" t="str">
        <f t="shared" si="8"/>
        <v>108</v>
      </c>
      <c r="G78" s="3" t="str">
        <f t="shared" si="9"/>
        <v>VS</v>
      </c>
      <c r="H78" s="3" t="str">
        <f t="shared" si="10"/>
        <v>004</v>
      </c>
      <c r="I78" s="3" t="str">
        <f t="shared" si="11"/>
        <v>00</v>
      </c>
      <c r="L78" s="3" t="s">
        <v>3309</v>
      </c>
      <c r="R78" s="3" t="s">
        <v>3455</v>
      </c>
      <c r="S78" s="15">
        <v>50</v>
      </c>
    </row>
    <row r="79" spans="1:19" x14ac:dyDescent="0.25">
      <c r="A79" s="4" t="s">
        <v>3456</v>
      </c>
      <c r="B79" s="4" t="s">
        <v>3243</v>
      </c>
      <c r="C79" s="4" t="s">
        <v>449</v>
      </c>
      <c r="D79" s="3" t="str">
        <f t="shared" si="6"/>
        <v>ELA</v>
      </c>
      <c r="E79" s="3" t="str">
        <f t="shared" si="7"/>
        <v>M</v>
      </c>
      <c r="F79" s="3" t="str">
        <f t="shared" si="8"/>
        <v>109</v>
      </c>
      <c r="G79" s="3" t="str">
        <f t="shared" si="9"/>
        <v>VS</v>
      </c>
      <c r="H79" s="3" t="str">
        <f t="shared" si="10"/>
        <v>005</v>
      </c>
      <c r="I79" s="3" t="str">
        <f t="shared" si="11"/>
        <v>00</v>
      </c>
      <c r="L79" s="3" t="s">
        <v>3309</v>
      </c>
      <c r="R79" s="3" t="s">
        <v>3457</v>
      </c>
      <c r="S79" s="15">
        <v>50</v>
      </c>
    </row>
    <row r="80" spans="1:19" x14ac:dyDescent="0.25">
      <c r="A80" s="4" t="s">
        <v>3458</v>
      </c>
      <c r="B80" s="4" t="s">
        <v>3243</v>
      </c>
      <c r="C80" s="4" t="s">
        <v>3459</v>
      </c>
      <c r="D80" s="3" t="str">
        <f t="shared" si="6"/>
        <v>ELA</v>
      </c>
      <c r="E80" s="3" t="str">
        <f t="shared" si="7"/>
        <v>M</v>
      </c>
      <c r="F80" s="3" t="str">
        <f t="shared" si="8"/>
        <v>006</v>
      </c>
      <c r="G80" s="3" t="str">
        <f t="shared" si="9"/>
        <v>PC</v>
      </c>
      <c r="H80" s="3" t="str">
        <f t="shared" si="10"/>
        <v>000</v>
      </c>
      <c r="I80" s="3" t="str">
        <f t="shared" si="11"/>
        <v>02</v>
      </c>
      <c r="L80" s="3" t="s">
        <v>3309</v>
      </c>
      <c r="R80" s="3" t="s">
        <v>3460</v>
      </c>
      <c r="S80" s="15" t="s">
        <v>3247</v>
      </c>
    </row>
    <row r="81" spans="1:19" x14ac:dyDescent="0.25">
      <c r="A81" s="4" t="s">
        <v>3461</v>
      </c>
      <c r="B81" s="4" t="s">
        <v>3243</v>
      </c>
      <c r="C81" s="4" t="s">
        <v>450</v>
      </c>
      <c r="D81" s="3" t="str">
        <f t="shared" si="6"/>
        <v>ELA</v>
      </c>
      <c r="E81" s="3" t="str">
        <f t="shared" si="7"/>
        <v>M</v>
      </c>
      <c r="F81" s="3" t="str">
        <f t="shared" si="8"/>
        <v>110</v>
      </c>
      <c r="G81" s="3" t="str">
        <f t="shared" si="9"/>
        <v>PR</v>
      </c>
      <c r="H81" s="3" t="str">
        <f t="shared" si="10"/>
        <v>000</v>
      </c>
      <c r="I81" s="3" t="str">
        <f t="shared" si="11"/>
        <v>00</v>
      </c>
      <c r="L81" s="3" t="s">
        <v>3309</v>
      </c>
      <c r="R81" s="3" t="s">
        <v>3462</v>
      </c>
      <c r="S81" s="15" t="s">
        <v>3247</v>
      </c>
    </row>
    <row r="82" spans="1:19" x14ac:dyDescent="0.25">
      <c r="A82" s="4" t="s">
        <v>3463</v>
      </c>
      <c r="B82" s="4" t="s">
        <v>3243</v>
      </c>
      <c r="C82" s="4" t="s">
        <v>451</v>
      </c>
      <c r="D82" s="3" t="str">
        <f t="shared" si="6"/>
        <v>ELA</v>
      </c>
      <c r="E82" s="3" t="str">
        <f t="shared" si="7"/>
        <v>M</v>
      </c>
      <c r="F82" s="3" t="str">
        <f t="shared" si="8"/>
        <v>111</v>
      </c>
      <c r="G82" s="3" t="str">
        <f t="shared" si="9"/>
        <v>PR</v>
      </c>
      <c r="H82" s="3" t="str">
        <f t="shared" si="10"/>
        <v>000</v>
      </c>
      <c r="I82" s="3" t="str">
        <f t="shared" si="11"/>
        <v>00</v>
      </c>
      <c r="L82" s="3" t="s">
        <v>3309</v>
      </c>
      <c r="R82" s="3" t="s">
        <v>3464</v>
      </c>
      <c r="S82" s="15" t="s">
        <v>3247</v>
      </c>
    </row>
    <row r="83" spans="1:19" x14ac:dyDescent="0.25">
      <c r="A83" s="4" t="s">
        <v>3465</v>
      </c>
      <c r="B83" s="4" t="s">
        <v>3243</v>
      </c>
      <c r="C83" s="4" t="s">
        <v>3466</v>
      </c>
      <c r="D83" s="3" t="str">
        <f t="shared" si="6"/>
        <v>ELA</v>
      </c>
      <c r="E83" s="3" t="str">
        <f t="shared" si="7"/>
        <v>X</v>
      </c>
      <c r="F83" s="3" t="str">
        <f t="shared" si="8"/>
        <v>001</v>
      </c>
      <c r="G83" s="3" t="str">
        <f t="shared" si="9"/>
        <v>CB</v>
      </c>
      <c r="H83" s="3" t="str">
        <f t="shared" si="10"/>
        <v>000</v>
      </c>
      <c r="I83" s="3" t="str">
        <f t="shared" si="11"/>
        <v>00</v>
      </c>
      <c r="L83" s="3" t="s">
        <v>3309</v>
      </c>
      <c r="R83" s="3" t="s">
        <v>3467</v>
      </c>
      <c r="S83" s="15" t="s">
        <v>3247</v>
      </c>
    </row>
    <row r="84" spans="1:19" x14ac:dyDescent="0.25">
      <c r="A84" s="4" t="s">
        <v>3468</v>
      </c>
      <c r="B84" s="4" t="s">
        <v>3243</v>
      </c>
      <c r="C84" s="4" t="s">
        <v>350</v>
      </c>
      <c r="D84" s="3" t="str">
        <f t="shared" si="6"/>
        <v>ELA</v>
      </c>
      <c r="E84" s="3" t="str">
        <f t="shared" si="7"/>
        <v>B</v>
      </c>
      <c r="F84" s="3" t="str">
        <f t="shared" si="8"/>
        <v>017</v>
      </c>
      <c r="G84" s="3" t="str">
        <f t="shared" si="9"/>
        <v>VS</v>
      </c>
      <c r="H84" s="3" t="str">
        <f t="shared" si="10"/>
        <v>000</v>
      </c>
      <c r="I84" s="3" t="str">
        <f t="shared" si="11"/>
        <v>00</v>
      </c>
      <c r="L84" s="3" t="s">
        <v>3309</v>
      </c>
      <c r="R84" s="3" t="s">
        <v>3469</v>
      </c>
      <c r="S84" s="15" t="s">
        <v>3247</v>
      </c>
    </row>
    <row r="85" spans="1:19" x14ac:dyDescent="0.25">
      <c r="A85" s="4" t="s">
        <v>3470</v>
      </c>
      <c r="B85" s="4" t="s">
        <v>3243</v>
      </c>
      <c r="C85" s="4" t="s">
        <v>3471</v>
      </c>
      <c r="D85" s="3" t="str">
        <f t="shared" si="6"/>
        <v>ELA</v>
      </c>
      <c r="E85" s="3" t="str">
        <f t="shared" si="7"/>
        <v>M</v>
      </c>
      <c r="F85" s="3" t="str">
        <f t="shared" si="8"/>
        <v>103</v>
      </c>
      <c r="G85" s="3" t="str">
        <f t="shared" si="9"/>
        <v>VS</v>
      </c>
      <c r="H85" s="3" t="str">
        <f t="shared" si="10"/>
        <v>000</v>
      </c>
      <c r="I85" s="3" t="str">
        <f t="shared" si="11"/>
        <v>00</v>
      </c>
      <c r="L85" s="3" t="s">
        <v>3309</v>
      </c>
      <c r="R85" s="3" t="s">
        <v>3472</v>
      </c>
      <c r="S85" s="15" t="s">
        <v>3247</v>
      </c>
    </row>
    <row r="86" spans="1:19" x14ac:dyDescent="0.25">
      <c r="A86" s="4" t="s">
        <v>3473</v>
      </c>
      <c r="B86" s="4" t="s">
        <v>3243</v>
      </c>
      <c r="C86" s="4" t="s">
        <v>3474</v>
      </c>
      <c r="D86" s="3" t="str">
        <f t="shared" si="6"/>
        <v>ELA</v>
      </c>
      <c r="E86" s="3" t="str">
        <f t="shared" si="7"/>
        <v>P</v>
      </c>
      <c r="F86" s="3" t="str">
        <f t="shared" si="8"/>
        <v>003</v>
      </c>
      <c r="G86" s="3" t="str">
        <f t="shared" si="9"/>
        <v>DT</v>
      </c>
      <c r="H86" s="3" t="str">
        <f t="shared" si="10"/>
        <v>004</v>
      </c>
      <c r="I86" s="3" t="str">
        <f t="shared" si="11"/>
        <v>00</v>
      </c>
      <c r="L86" s="3" t="s">
        <v>3309</v>
      </c>
      <c r="R86" s="3" t="s">
        <v>3475</v>
      </c>
      <c r="S86" s="15" t="s">
        <v>3247</v>
      </c>
    </row>
    <row r="87" spans="1:19" ht="30" x14ac:dyDescent="0.25">
      <c r="A87" s="4" t="s">
        <v>3476</v>
      </c>
      <c r="B87" s="4" t="s">
        <v>3243</v>
      </c>
      <c r="C87" s="4" t="s">
        <v>335</v>
      </c>
      <c r="D87" s="3" t="str">
        <f t="shared" si="6"/>
        <v>ELA</v>
      </c>
      <c r="E87" s="3" t="str">
        <f t="shared" si="7"/>
        <v>B</v>
      </c>
      <c r="F87" s="3" t="str">
        <f t="shared" si="8"/>
        <v>004</v>
      </c>
      <c r="G87" s="3" t="str">
        <f t="shared" si="9"/>
        <v>ST</v>
      </c>
      <c r="H87" s="3" t="str">
        <f t="shared" si="10"/>
        <v>000</v>
      </c>
      <c r="I87" s="3" t="str">
        <f t="shared" si="11"/>
        <v>00</v>
      </c>
      <c r="L87" s="3" t="s">
        <v>3309</v>
      </c>
      <c r="R87" s="3" t="s">
        <v>3477</v>
      </c>
      <c r="S87" s="15" t="s">
        <v>3247</v>
      </c>
    </row>
    <row r="88" spans="1:19" ht="30" x14ac:dyDescent="0.25">
      <c r="A88" s="4" t="s">
        <v>3478</v>
      </c>
      <c r="B88" s="4" t="s">
        <v>3243</v>
      </c>
      <c r="C88" s="4" t="s">
        <v>337</v>
      </c>
      <c r="D88" s="3" t="str">
        <f t="shared" si="6"/>
        <v>ELA</v>
      </c>
      <c r="E88" s="3" t="str">
        <f t="shared" si="7"/>
        <v>B</v>
      </c>
      <c r="F88" s="3" t="str">
        <f t="shared" si="8"/>
        <v>006</v>
      </c>
      <c r="G88" s="3" t="str">
        <f t="shared" si="9"/>
        <v>ST</v>
      </c>
      <c r="H88" s="3" t="str">
        <f t="shared" si="10"/>
        <v>000</v>
      </c>
      <c r="I88" s="3" t="str">
        <f t="shared" si="11"/>
        <v>00</v>
      </c>
      <c r="L88" s="3" t="s">
        <v>3309</v>
      </c>
      <c r="R88" s="3" t="s">
        <v>3479</v>
      </c>
      <c r="S88" s="15" t="s">
        <v>3247</v>
      </c>
    </row>
    <row r="89" spans="1:19" x14ac:dyDescent="0.25">
      <c r="A89" s="4" t="s">
        <v>3480</v>
      </c>
      <c r="B89" s="4" t="s">
        <v>3243</v>
      </c>
      <c r="C89" s="4" t="s">
        <v>327</v>
      </c>
      <c r="D89" s="3" t="str">
        <f t="shared" si="6"/>
        <v>ELA</v>
      </c>
      <c r="E89" s="3" t="str">
        <f t="shared" si="7"/>
        <v>A</v>
      </c>
      <c r="F89" s="3" t="str">
        <f t="shared" si="8"/>
        <v>001</v>
      </c>
      <c r="G89" s="3" t="str">
        <f t="shared" si="9"/>
        <v>ST</v>
      </c>
      <c r="H89" s="3" t="str">
        <f t="shared" si="10"/>
        <v>000</v>
      </c>
      <c r="I89" s="3" t="str">
        <f t="shared" si="11"/>
        <v>00</v>
      </c>
      <c r="L89" s="3" t="s">
        <v>3309</v>
      </c>
      <c r="R89" s="3" t="s">
        <v>3481</v>
      </c>
      <c r="S89" s="15" t="s">
        <v>3247</v>
      </c>
    </row>
    <row r="90" spans="1:19" x14ac:dyDescent="0.25">
      <c r="A90" s="4" t="s">
        <v>3482</v>
      </c>
      <c r="B90" s="4" t="s">
        <v>3243</v>
      </c>
      <c r="C90" s="4" t="s">
        <v>3483</v>
      </c>
      <c r="D90" s="3" t="str">
        <f t="shared" si="6"/>
        <v>ELA</v>
      </c>
      <c r="E90" s="3" t="str">
        <f t="shared" si="7"/>
        <v>A</v>
      </c>
      <c r="F90" s="3" t="str">
        <f t="shared" si="8"/>
        <v>002</v>
      </c>
      <c r="G90" s="3" t="str">
        <f t="shared" si="9"/>
        <v>ST</v>
      </c>
      <c r="H90" s="3" t="str">
        <f t="shared" si="10"/>
        <v>000</v>
      </c>
      <c r="I90" s="3" t="str">
        <f t="shared" si="11"/>
        <v>00</v>
      </c>
      <c r="L90" s="3" t="s">
        <v>3309</v>
      </c>
      <c r="R90" s="3" t="s">
        <v>3484</v>
      </c>
      <c r="S90" s="15" t="s">
        <v>3247</v>
      </c>
    </row>
    <row r="91" spans="1:19" x14ac:dyDescent="0.25">
      <c r="A91" s="4" t="s">
        <v>3485</v>
      </c>
      <c r="B91" s="4" t="s">
        <v>3243</v>
      </c>
      <c r="C91" s="4" t="s">
        <v>3486</v>
      </c>
      <c r="D91" s="3" t="str">
        <f t="shared" si="6"/>
        <v>ELA</v>
      </c>
      <c r="E91" s="3" t="str">
        <f t="shared" si="7"/>
        <v>H</v>
      </c>
      <c r="F91" s="3" t="str">
        <f t="shared" si="8"/>
        <v>002</v>
      </c>
      <c r="G91" s="3" t="str">
        <f t="shared" si="9"/>
        <v>ST</v>
      </c>
      <c r="H91" s="3" t="str">
        <f t="shared" si="10"/>
        <v>000</v>
      </c>
      <c r="I91" s="3" t="str">
        <f t="shared" si="11"/>
        <v>00</v>
      </c>
      <c r="L91" s="3" t="s">
        <v>3309</v>
      </c>
      <c r="R91" s="3" t="s">
        <v>3487</v>
      </c>
      <c r="S91" s="15" t="s">
        <v>3247</v>
      </c>
    </row>
    <row r="92" spans="1:19" x14ac:dyDescent="0.25">
      <c r="A92" s="4" t="s">
        <v>3488</v>
      </c>
      <c r="B92" s="4" t="s">
        <v>3243</v>
      </c>
      <c r="C92" s="4" t="s">
        <v>3489</v>
      </c>
      <c r="D92" s="3" t="str">
        <f t="shared" si="6"/>
        <v>ELA</v>
      </c>
      <c r="E92" s="3" t="str">
        <f t="shared" si="7"/>
        <v>M</v>
      </c>
      <c r="F92" s="3" t="str">
        <f t="shared" si="8"/>
        <v>002</v>
      </c>
      <c r="G92" s="3" t="str">
        <f t="shared" si="9"/>
        <v>PR</v>
      </c>
      <c r="H92" s="3" t="str">
        <f t="shared" si="10"/>
        <v>000</v>
      </c>
      <c r="I92" s="3" t="str">
        <f t="shared" si="11"/>
        <v>01</v>
      </c>
      <c r="L92" s="3" t="s">
        <v>3309</v>
      </c>
      <c r="R92" s="3" t="s">
        <v>3490</v>
      </c>
      <c r="S92" s="15" t="s">
        <v>3247</v>
      </c>
    </row>
    <row r="93" spans="1:19" x14ac:dyDescent="0.25">
      <c r="A93" s="4" t="s">
        <v>3491</v>
      </c>
      <c r="B93" s="4" t="s">
        <v>3243</v>
      </c>
      <c r="C93" s="4" t="s">
        <v>3492</v>
      </c>
      <c r="D93" s="3" t="str">
        <f t="shared" si="6"/>
        <v>ELA</v>
      </c>
      <c r="E93" s="3" t="str">
        <f t="shared" si="7"/>
        <v>M</v>
      </c>
      <c r="F93" s="3" t="str">
        <f t="shared" si="8"/>
        <v>006</v>
      </c>
      <c r="G93" s="3" t="str">
        <f t="shared" si="9"/>
        <v>PR</v>
      </c>
      <c r="H93" s="3" t="str">
        <f t="shared" si="10"/>
        <v>000</v>
      </c>
      <c r="I93" s="3" t="str">
        <f t="shared" si="11"/>
        <v>01</v>
      </c>
      <c r="L93" s="3" t="s">
        <v>3309</v>
      </c>
      <c r="R93" s="3" t="s">
        <v>3493</v>
      </c>
      <c r="S93" s="15" t="s">
        <v>3247</v>
      </c>
    </row>
    <row r="94" spans="1:19" x14ac:dyDescent="0.25">
      <c r="A94" s="4" t="s">
        <v>3494</v>
      </c>
      <c r="B94" s="4" t="s">
        <v>3243</v>
      </c>
      <c r="C94" s="4" t="s">
        <v>3495</v>
      </c>
      <c r="D94" s="3" t="str">
        <f t="shared" si="6"/>
        <v>ELA</v>
      </c>
      <c r="E94" s="3" t="str">
        <f t="shared" si="7"/>
        <v>O</v>
      </c>
      <c r="F94" s="3" t="str">
        <f t="shared" si="8"/>
        <v>007</v>
      </c>
      <c r="G94" s="3" t="str">
        <f t="shared" si="9"/>
        <v>ST</v>
      </c>
      <c r="H94" s="3" t="str">
        <f t="shared" si="10"/>
        <v>000</v>
      </c>
      <c r="I94" s="3" t="str">
        <f t="shared" si="11"/>
        <v>00</v>
      </c>
      <c r="L94" s="3" t="s">
        <v>3309</v>
      </c>
      <c r="R94" s="3" t="s">
        <v>3496</v>
      </c>
      <c r="S94" s="15" t="s">
        <v>3247</v>
      </c>
    </row>
    <row r="95" spans="1:19" x14ac:dyDescent="0.25">
      <c r="A95" s="4" t="s">
        <v>3497</v>
      </c>
      <c r="B95" s="4" t="s">
        <v>3243</v>
      </c>
      <c r="C95" s="4" t="s">
        <v>3498</v>
      </c>
      <c r="D95" s="3" t="str">
        <f t="shared" si="6"/>
        <v>MOD</v>
      </c>
      <c r="E95" s="3" t="str">
        <f t="shared" si="7"/>
        <v>M</v>
      </c>
      <c r="F95" s="3" t="str">
        <f t="shared" si="8"/>
        <v>003</v>
      </c>
      <c r="G95" s="3" t="str">
        <f t="shared" si="9"/>
        <v>DY</v>
      </c>
      <c r="H95" s="3" t="str">
        <f t="shared" si="10"/>
        <v>000</v>
      </c>
      <c r="I95" s="3" t="str">
        <f t="shared" si="11"/>
        <v>00</v>
      </c>
      <c r="L95" s="3" t="s">
        <v>3309</v>
      </c>
      <c r="R95" s="3" t="s">
        <v>3499</v>
      </c>
      <c r="S95" s="15" t="s">
        <v>3247</v>
      </c>
    </row>
    <row r="96" spans="1:19" x14ac:dyDescent="0.25">
      <c r="A96" s="4" t="s">
        <v>3500</v>
      </c>
      <c r="B96" s="4" t="s">
        <v>3243</v>
      </c>
      <c r="C96" s="4" t="s">
        <v>3501</v>
      </c>
      <c r="D96" s="3" t="str">
        <f t="shared" si="6"/>
        <v>ELA</v>
      </c>
      <c r="E96" s="3" t="str">
        <f t="shared" si="7"/>
        <v>B</v>
      </c>
      <c r="F96" s="3" t="str">
        <f t="shared" si="8"/>
        <v>031</v>
      </c>
      <c r="G96" s="3" t="str">
        <f t="shared" si="9"/>
        <v>ST</v>
      </c>
      <c r="H96" s="3" t="str">
        <f t="shared" si="10"/>
        <v>000</v>
      </c>
      <c r="I96" s="3" t="str">
        <f t="shared" si="11"/>
        <v>00</v>
      </c>
      <c r="L96" s="3" t="s">
        <v>3309</v>
      </c>
      <c r="R96" s="3" t="s">
        <v>3502</v>
      </c>
      <c r="S96" s="15" t="s">
        <v>3247</v>
      </c>
    </row>
    <row r="97" spans="1:19" x14ac:dyDescent="0.25">
      <c r="A97" s="4" t="s">
        <v>3503</v>
      </c>
      <c r="B97" s="4" t="s">
        <v>3243</v>
      </c>
      <c r="C97" s="4" t="s">
        <v>3504</v>
      </c>
      <c r="D97" s="3" t="str">
        <f t="shared" si="6"/>
        <v>ELA</v>
      </c>
      <c r="E97" s="3" t="str">
        <f t="shared" si="7"/>
        <v>B</v>
      </c>
      <c r="F97" s="3" t="str">
        <f t="shared" si="8"/>
        <v>032</v>
      </c>
      <c r="G97" s="3" t="str">
        <f t="shared" si="9"/>
        <v>ST</v>
      </c>
      <c r="H97" s="3" t="str">
        <f t="shared" si="10"/>
        <v>000</v>
      </c>
      <c r="I97" s="3" t="str">
        <f t="shared" si="11"/>
        <v>00</v>
      </c>
      <c r="L97" s="3" t="s">
        <v>3309</v>
      </c>
      <c r="R97" s="3" t="s">
        <v>3505</v>
      </c>
      <c r="S97" s="15" t="s">
        <v>3247</v>
      </c>
    </row>
    <row r="98" spans="1:19" x14ac:dyDescent="0.25">
      <c r="A98" s="4" t="s">
        <v>3506</v>
      </c>
      <c r="B98" s="4" t="s">
        <v>3243</v>
      </c>
      <c r="C98" s="4" t="s">
        <v>3507</v>
      </c>
      <c r="D98" s="3" t="str">
        <f t="shared" si="6"/>
        <v>ELA</v>
      </c>
      <c r="E98" s="3" t="str">
        <f t="shared" si="7"/>
        <v>K</v>
      </c>
      <c r="F98" s="3" t="str">
        <f t="shared" si="8"/>
        <v>005</v>
      </c>
      <c r="G98" s="3" t="str">
        <f t="shared" si="9"/>
        <v>ST</v>
      </c>
      <c r="H98" s="3" t="str">
        <f t="shared" si="10"/>
        <v>000</v>
      </c>
      <c r="I98" s="3" t="str">
        <f t="shared" si="11"/>
        <v>00</v>
      </c>
      <c r="L98" s="3" t="s">
        <v>3245</v>
      </c>
      <c r="R98" s="3" t="s">
        <v>3508</v>
      </c>
      <c r="S98" s="15" t="s">
        <v>3247</v>
      </c>
    </row>
    <row r="99" spans="1:19" x14ac:dyDescent="0.25">
      <c r="A99" s="4" t="s">
        <v>3509</v>
      </c>
      <c r="B99" s="4" t="s">
        <v>3243</v>
      </c>
      <c r="C99" s="4" t="s">
        <v>3510</v>
      </c>
      <c r="D99" s="3" t="str">
        <f t="shared" si="6"/>
        <v>ELA</v>
      </c>
      <c r="E99" s="3" t="str">
        <f t="shared" si="7"/>
        <v>L</v>
      </c>
      <c r="F99" s="3" t="str">
        <f t="shared" si="8"/>
        <v>005</v>
      </c>
      <c r="G99" s="3" t="str">
        <f t="shared" si="9"/>
        <v>ST</v>
      </c>
      <c r="H99" s="3" t="str">
        <f t="shared" si="10"/>
        <v>000</v>
      </c>
      <c r="I99" s="3" t="str">
        <f t="shared" si="11"/>
        <v>00</v>
      </c>
      <c r="L99" s="3" t="s">
        <v>3309</v>
      </c>
      <c r="R99" s="3" t="s">
        <v>3511</v>
      </c>
      <c r="S99" s="15" t="s">
        <v>3247</v>
      </c>
    </row>
    <row r="100" spans="1:19" x14ac:dyDescent="0.25">
      <c r="A100" s="4" t="s">
        <v>3512</v>
      </c>
      <c r="B100" s="4" t="s">
        <v>3243</v>
      </c>
      <c r="C100" s="4" t="s">
        <v>3513</v>
      </c>
      <c r="D100" s="3" t="str">
        <f t="shared" si="6"/>
        <v>ELA</v>
      </c>
      <c r="E100" s="3" t="str">
        <f t="shared" si="7"/>
        <v>N</v>
      </c>
      <c r="F100" s="3" t="str">
        <f t="shared" si="8"/>
        <v>007</v>
      </c>
      <c r="G100" s="3" t="str">
        <f t="shared" si="9"/>
        <v>NA</v>
      </c>
      <c r="H100" s="3" t="str">
        <f t="shared" si="10"/>
        <v>000</v>
      </c>
      <c r="I100" s="3" t="str">
        <f t="shared" si="11"/>
        <v>00</v>
      </c>
      <c r="L100" s="3" t="s">
        <v>3309</v>
      </c>
      <c r="R100" s="3" t="s">
        <v>3514</v>
      </c>
      <c r="S100" s="15" t="s">
        <v>3247</v>
      </c>
    </row>
    <row r="101" spans="1:19" x14ac:dyDescent="0.25">
      <c r="A101" s="4" t="s">
        <v>3515</v>
      </c>
      <c r="B101" s="4" t="s">
        <v>3243</v>
      </c>
      <c r="C101" s="4" t="s">
        <v>3516</v>
      </c>
      <c r="D101" s="3" t="str">
        <f t="shared" si="6"/>
        <v>ELA</v>
      </c>
      <c r="E101" s="3" t="str">
        <f t="shared" si="7"/>
        <v>O</v>
      </c>
      <c r="F101" s="3" t="str">
        <f t="shared" si="8"/>
        <v>002</v>
      </c>
      <c r="G101" s="3" t="str">
        <f t="shared" si="9"/>
        <v>NA</v>
      </c>
      <c r="H101" s="3" t="str">
        <f t="shared" si="10"/>
        <v>000</v>
      </c>
      <c r="I101" s="3" t="str">
        <f t="shared" si="11"/>
        <v>00</v>
      </c>
      <c r="L101" s="3" t="s">
        <v>3309</v>
      </c>
      <c r="R101" s="3" t="s">
        <v>3517</v>
      </c>
      <c r="S101" s="15" t="s">
        <v>3247</v>
      </c>
    </row>
    <row r="102" spans="1:19" x14ac:dyDescent="0.25">
      <c r="A102" s="4" t="s">
        <v>3518</v>
      </c>
      <c r="B102" s="4" t="s">
        <v>3243</v>
      </c>
      <c r="C102" s="4" t="s">
        <v>3519</v>
      </c>
      <c r="D102" s="3" t="str">
        <f t="shared" si="6"/>
        <v>ELA</v>
      </c>
      <c r="E102" s="3" t="str">
        <f t="shared" si="7"/>
        <v>P</v>
      </c>
      <c r="F102" s="3" t="str">
        <f t="shared" si="8"/>
        <v>006</v>
      </c>
      <c r="G102" s="3" t="str">
        <f t="shared" si="9"/>
        <v>DT</v>
      </c>
      <c r="H102" s="3" t="str">
        <f t="shared" si="10"/>
        <v>001</v>
      </c>
      <c r="I102" s="3" t="str">
        <f t="shared" si="11"/>
        <v>07</v>
      </c>
      <c r="L102" s="3" t="s">
        <v>3309</v>
      </c>
      <c r="R102" s="3" t="s">
        <v>3520</v>
      </c>
      <c r="S102" s="15" t="s">
        <v>3247</v>
      </c>
    </row>
    <row r="103" spans="1:19" x14ac:dyDescent="0.25">
      <c r="A103" s="4" t="s">
        <v>3521</v>
      </c>
      <c r="B103" s="4" t="s">
        <v>3243</v>
      </c>
      <c r="C103" s="4" t="s">
        <v>3522</v>
      </c>
      <c r="D103" s="3" t="str">
        <f t="shared" si="6"/>
        <v>ELA</v>
      </c>
      <c r="E103" s="3" t="str">
        <f t="shared" si="7"/>
        <v>B</v>
      </c>
      <c r="F103" s="3" t="str">
        <f t="shared" si="8"/>
        <v>006</v>
      </c>
      <c r="G103" s="3" t="str">
        <f t="shared" si="9"/>
        <v>ST</v>
      </c>
      <c r="H103" s="3" t="str">
        <f t="shared" si="10"/>
        <v>000</v>
      </c>
      <c r="I103" s="3" t="str">
        <f t="shared" si="11"/>
        <v>01</v>
      </c>
      <c r="L103" s="3" t="s">
        <v>3309</v>
      </c>
      <c r="R103" s="3" t="s">
        <v>3523</v>
      </c>
      <c r="S103" s="15" t="s">
        <v>3247</v>
      </c>
    </row>
    <row r="104" spans="1:19" x14ac:dyDescent="0.25">
      <c r="A104" s="4" t="s">
        <v>3524</v>
      </c>
      <c r="B104" s="4" t="s">
        <v>3243</v>
      </c>
      <c r="C104" s="4" t="s">
        <v>3525</v>
      </c>
      <c r="D104" s="3" t="str">
        <f t="shared" si="6"/>
        <v>MOD</v>
      </c>
      <c r="E104" s="3" t="str">
        <f t="shared" si="7"/>
        <v>F</v>
      </c>
      <c r="F104" s="3" t="str">
        <f t="shared" si="8"/>
        <v>002</v>
      </c>
      <c r="G104" s="3" t="str">
        <f t="shared" si="9"/>
        <v>WI</v>
      </c>
      <c r="H104" s="3" t="str">
        <f t="shared" si="10"/>
        <v>003</v>
      </c>
      <c r="I104" s="3" t="str">
        <f t="shared" si="11"/>
        <v>04</v>
      </c>
      <c r="L104" s="3" t="s">
        <v>3309</v>
      </c>
      <c r="R104" s="3" t="s">
        <v>3526</v>
      </c>
      <c r="S104" s="15" t="s">
        <v>3247</v>
      </c>
    </row>
    <row r="105" spans="1:19" ht="30" x14ac:dyDescent="0.25">
      <c r="A105" s="4" t="s">
        <v>3527</v>
      </c>
      <c r="B105" s="4" t="s">
        <v>3243</v>
      </c>
      <c r="C105" s="4" t="s">
        <v>3528</v>
      </c>
      <c r="D105" s="3" t="str">
        <f t="shared" si="6"/>
        <v>MOD</v>
      </c>
      <c r="E105" s="3" t="str">
        <f t="shared" si="7"/>
        <v>L</v>
      </c>
      <c r="F105" s="3" t="str">
        <f t="shared" si="8"/>
        <v>000</v>
      </c>
      <c r="G105" s="3" t="str">
        <f t="shared" si="9"/>
        <v>SB</v>
      </c>
      <c r="H105" s="3" t="str">
        <f t="shared" si="10"/>
        <v>004</v>
      </c>
      <c r="I105" s="3" t="str">
        <f t="shared" si="11"/>
        <v>00</v>
      </c>
      <c r="L105" s="3" t="s">
        <v>3309</v>
      </c>
      <c r="R105" s="3" t="s">
        <v>3529</v>
      </c>
      <c r="S105" s="15" t="s">
        <v>3247</v>
      </c>
    </row>
    <row r="106" spans="1:19" ht="30" x14ac:dyDescent="0.25">
      <c r="A106" s="4" t="s">
        <v>3530</v>
      </c>
      <c r="B106" s="4" t="s">
        <v>3243</v>
      </c>
      <c r="C106" s="4" t="s">
        <v>3531</v>
      </c>
      <c r="D106" s="3" t="str">
        <f t="shared" si="6"/>
        <v>ONG</v>
      </c>
      <c r="E106" s="3" t="str">
        <f t="shared" si="7"/>
        <v>A</v>
      </c>
      <c r="F106" s="3" t="str">
        <f t="shared" si="8"/>
        <v>101</v>
      </c>
      <c r="G106" s="3" t="str">
        <f t="shared" si="9"/>
        <v>ZU</v>
      </c>
      <c r="H106" s="3" t="str">
        <f t="shared" si="10"/>
        <v>000</v>
      </c>
      <c r="I106" s="3" t="str">
        <f t="shared" si="11"/>
        <v>01</v>
      </c>
      <c r="L106" s="3" t="s">
        <v>3245</v>
      </c>
      <c r="R106" s="3" t="s">
        <v>3532</v>
      </c>
      <c r="S106" s="15" t="s">
        <v>3247</v>
      </c>
    </row>
    <row r="107" spans="1:19" ht="30" x14ac:dyDescent="0.25">
      <c r="A107" s="4" t="s">
        <v>3533</v>
      </c>
      <c r="B107" s="4" t="s">
        <v>3243</v>
      </c>
      <c r="C107" s="4" t="s">
        <v>3531</v>
      </c>
      <c r="D107" s="3" t="str">
        <f t="shared" si="6"/>
        <v>ONG</v>
      </c>
      <c r="E107" s="3" t="str">
        <f t="shared" si="7"/>
        <v>A</v>
      </c>
      <c r="F107" s="3" t="str">
        <f t="shared" si="8"/>
        <v>101</v>
      </c>
      <c r="G107" s="3" t="str">
        <f t="shared" si="9"/>
        <v>MC</v>
      </c>
      <c r="H107" s="3" t="str">
        <f t="shared" si="10"/>
        <v>000</v>
      </c>
      <c r="I107" s="3" t="str">
        <f t="shared" si="11"/>
        <v>01</v>
      </c>
      <c r="L107" s="3" t="s">
        <v>3309</v>
      </c>
      <c r="R107" s="3" t="s">
        <v>3534</v>
      </c>
      <c r="S107" s="15">
        <v>57</v>
      </c>
    </row>
    <row r="108" spans="1:19" ht="30" x14ac:dyDescent="0.25">
      <c r="A108" s="4" t="s">
        <v>3535</v>
      </c>
      <c r="B108" s="4" t="s">
        <v>3243</v>
      </c>
      <c r="C108" s="4" t="s">
        <v>3536</v>
      </c>
      <c r="D108" s="3" t="str">
        <f t="shared" si="6"/>
        <v>MOD</v>
      </c>
      <c r="E108" s="3" t="str">
        <f t="shared" si="7"/>
        <v>N</v>
      </c>
      <c r="F108" s="3" t="str">
        <f t="shared" si="8"/>
        <v>000</v>
      </c>
      <c r="G108" s="3" t="str">
        <f t="shared" si="9"/>
        <v>NA</v>
      </c>
      <c r="H108" s="3" t="str">
        <f t="shared" si="10"/>
        <v>000</v>
      </c>
      <c r="I108" s="3" t="str">
        <f t="shared" si="11"/>
        <v>00</v>
      </c>
      <c r="L108" s="3" t="s">
        <v>3309</v>
      </c>
      <c r="R108" s="3" t="s">
        <v>3537</v>
      </c>
      <c r="S108" s="15" t="s">
        <v>3247</v>
      </c>
    </row>
    <row r="109" spans="1:19" ht="30" x14ac:dyDescent="0.25">
      <c r="A109" s="4" t="s">
        <v>3538</v>
      </c>
      <c r="B109" s="4" t="s">
        <v>3243</v>
      </c>
      <c r="C109" s="4" t="s">
        <v>3539</v>
      </c>
      <c r="D109" s="3" t="str">
        <f t="shared" si="6"/>
        <v>ELA</v>
      </c>
      <c r="E109" s="3" t="str">
        <f t="shared" si="7"/>
        <v>J</v>
      </c>
      <c r="F109" s="3" t="str">
        <f t="shared" si="8"/>
        <v>001</v>
      </c>
      <c r="G109" s="3" t="str">
        <f t="shared" si="9"/>
        <v>CT</v>
      </c>
      <c r="H109" s="3" t="str">
        <f t="shared" si="10"/>
        <v>000</v>
      </c>
      <c r="I109" s="3" t="str">
        <f t="shared" si="11"/>
        <v>00</v>
      </c>
      <c r="L109" s="3" t="s">
        <v>3309</v>
      </c>
      <c r="R109" s="3" t="s">
        <v>3540</v>
      </c>
      <c r="S109" s="15" t="s">
        <v>3247</v>
      </c>
    </row>
    <row r="110" spans="1:19" ht="30" x14ac:dyDescent="0.25">
      <c r="A110" s="4" t="s">
        <v>3541</v>
      </c>
      <c r="B110" s="4" t="s">
        <v>3243</v>
      </c>
      <c r="C110" s="4" t="s">
        <v>3542</v>
      </c>
      <c r="D110" s="3" t="str">
        <f t="shared" si="6"/>
        <v>ELA</v>
      </c>
      <c r="E110" s="3" t="str">
        <f t="shared" si="7"/>
        <v>D</v>
      </c>
      <c r="F110" s="3" t="str">
        <f t="shared" si="8"/>
        <v>003</v>
      </c>
      <c r="G110" s="3" t="str">
        <f t="shared" si="9"/>
        <v>CT</v>
      </c>
      <c r="H110" s="3" t="str">
        <f t="shared" si="10"/>
        <v>000</v>
      </c>
      <c r="I110" s="3" t="str">
        <f t="shared" si="11"/>
        <v>00</v>
      </c>
      <c r="L110" s="3" t="s">
        <v>3309</v>
      </c>
      <c r="R110" s="3" t="s">
        <v>3543</v>
      </c>
      <c r="S110" s="15" t="s">
        <v>3247</v>
      </c>
    </row>
    <row r="111" spans="1:19" x14ac:dyDescent="0.25">
      <c r="A111" s="4" t="s">
        <v>3544</v>
      </c>
      <c r="B111" s="4" t="s">
        <v>3243</v>
      </c>
      <c r="C111" s="4" t="s">
        <v>3545</v>
      </c>
      <c r="D111" s="3" t="str">
        <f t="shared" si="6"/>
        <v>ELA</v>
      </c>
      <c r="E111" s="3" t="str">
        <f t="shared" si="7"/>
        <v>Z</v>
      </c>
      <c r="F111" s="3" t="str">
        <f t="shared" si="8"/>
        <v>104</v>
      </c>
      <c r="G111" s="3" t="str">
        <f t="shared" si="9"/>
        <v>FB</v>
      </c>
      <c r="H111" s="3" t="str">
        <f t="shared" si="10"/>
        <v>000</v>
      </c>
      <c r="I111" s="3" t="str">
        <f t="shared" si="11"/>
        <v>00</v>
      </c>
      <c r="L111" s="3" t="s">
        <v>3309</v>
      </c>
      <c r="R111" s="3" t="s">
        <v>3546</v>
      </c>
      <c r="S111" s="15" t="s">
        <v>3247</v>
      </c>
    </row>
    <row r="112" spans="1:19" x14ac:dyDescent="0.25">
      <c r="A112" s="4" t="s">
        <v>3547</v>
      </c>
      <c r="B112" s="4" t="s">
        <v>3243</v>
      </c>
      <c r="C112" s="4" t="s">
        <v>3548</v>
      </c>
      <c r="D112" s="3" t="str">
        <f t="shared" si="6"/>
        <v>ELA</v>
      </c>
      <c r="E112" s="3" t="str">
        <f t="shared" si="7"/>
        <v>R</v>
      </c>
      <c r="F112" s="3" t="str">
        <f t="shared" si="8"/>
        <v>001</v>
      </c>
      <c r="G112" s="3" t="str">
        <f t="shared" si="9"/>
        <v>ST</v>
      </c>
      <c r="H112" s="3" t="str">
        <f t="shared" si="10"/>
        <v>000</v>
      </c>
      <c r="I112" s="3" t="str">
        <f t="shared" si="11"/>
        <v>02</v>
      </c>
      <c r="L112" s="3" t="s">
        <v>3309</v>
      </c>
      <c r="R112" s="3" t="s">
        <v>3549</v>
      </c>
      <c r="S112" s="15" t="s">
        <v>3247</v>
      </c>
    </row>
    <row r="113" spans="1:19" x14ac:dyDescent="0.25">
      <c r="A113" s="4" t="s">
        <v>3550</v>
      </c>
      <c r="B113" s="4" t="s">
        <v>3243</v>
      </c>
      <c r="C113" s="4" t="s">
        <v>3551</v>
      </c>
      <c r="D113" s="3" t="str">
        <f t="shared" si="6"/>
        <v>ELA</v>
      </c>
      <c r="E113" s="3" t="str">
        <f t="shared" si="7"/>
        <v>D</v>
      </c>
      <c r="F113" s="3" t="str">
        <f t="shared" si="8"/>
        <v>009</v>
      </c>
      <c r="G113" s="3" t="str">
        <f t="shared" si="9"/>
        <v>ST</v>
      </c>
      <c r="H113" s="3" t="str">
        <f t="shared" si="10"/>
        <v>000</v>
      </c>
      <c r="I113" s="3" t="str">
        <f t="shared" si="11"/>
        <v>02</v>
      </c>
      <c r="L113" s="3" t="s">
        <v>3309</v>
      </c>
      <c r="R113" s="3" t="s">
        <v>3552</v>
      </c>
      <c r="S113" s="15" t="s">
        <v>3247</v>
      </c>
    </row>
    <row r="114" spans="1:19" x14ac:dyDescent="0.25">
      <c r="A114" s="4" t="s">
        <v>3553</v>
      </c>
      <c r="B114" s="4" t="s">
        <v>3243</v>
      </c>
      <c r="C114" s="4" t="s">
        <v>3554</v>
      </c>
      <c r="D114" s="3" t="str">
        <f t="shared" si="6"/>
        <v>ELA</v>
      </c>
      <c r="E114" s="3" t="str">
        <f t="shared" si="7"/>
        <v>D</v>
      </c>
      <c r="F114" s="3" t="str">
        <f t="shared" si="8"/>
        <v>012</v>
      </c>
      <c r="G114" s="3" t="str">
        <f t="shared" si="9"/>
        <v>ST</v>
      </c>
      <c r="H114" s="3" t="str">
        <f t="shared" si="10"/>
        <v>000</v>
      </c>
      <c r="I114" s="3" t="str">
        <f t="shared" si="11"/>
        <v>02</v>
      </c>
      <c r="L114" s="3" t="s">
        <v>3309</v>
      </c>
      <c r="R114" s="3" t="s">
        <v>3555</v>
      </c>
      <c r="S114" s="15" t="s">
        <v>3247</v>
      </c>
    </row>
    <row r="115" spans="1:19" x14ac:dyDescent="0.25">
      <c r="A115" s="4" t="s">
        <v>3556</v>
      </c>
      <c r="B115" s="4" t="s">
        <v>3243</v>
      </c>
      <c r="C115" s="4" t="s">
        <v>3557</v>
      </c>
      <c r="D115" s="3" t="str">
        <f t="shared" si="6"/>
        <v>MOD</v>
      </c>
      <c r="E115" s="3" t="str">
        <f t="shared" si="7"/>
        <v>N</v>
      </c>
      <c r="F115" s="3" t="str">
        <f t="shared" si="8"/>
        <v>007</v>
      </c>
      <c r="G115" s="3" t="str">
        <f t="shared" si="9"/>
        <v>NA</v>
      </c>
      <c r="H115" s="3" t="str">
        <f t="shared" si="10"/>
        <v>000</v>
      </c>
      <c r="I115" s="3" t="str">
        <f t="shared" si="11"/>
        <v>00</v>
      </c>
      <c r="L115" s="3" t="s">
        <v>3309</v>
      </c>
      <c r="R115" s="3" t="s">
        <v>3558</v>
      </c>
      <c r="S115" s="15">
        <v>2</v>
      </c>
    </row>
    <row r="116" spans="1:19" x14ac:dyDescent="0.25">
      <c r="A116" s="4" t="s">
        <v>3559</v>
      </c>
      <c r="B116" s="4" t="s">
        <v>3243</v>
      </c>
      <c r="C116" s="4" t="s">
        <v>3560</v>
      </c>
      <c r="D116" s="3" t="str">
        <f t="shared" si="6"/>
        <v>ELA</v>
      </c>
      <c r="E116" s="3" t="str">
        <f t="shared" si="7"/>
        <v>B</v>
      </c>
      <c r="F116" s="3" t="str">
        <f t="shared" si="8"/>
        <v>052</v>
      </c>
      <c r="G116" s="3" t="str">
        <f t="shared" si="9"/>
        <v>ST</v>
      </c>
      <c r="H116" s="3" t="str">
        <f t="shared" si="10"/>
        <v>000</v>
      </c>
      <c r="I116" s="3" t="str">
        <f t="shared" si="11"/>
        <v>07</v>
      </c>
      <c r="L116" s="3" t="s">
        <v>3309</v>
      </c>
      <c r="R116" s="3" t="s">
        <v>3561</v>
      </c>
      <c r="S116" s="15" t="s">
        <v>3247</v>
      </c>
    </row>
    <row r="117" spans="1:19" x14ac:dyDescent="0.25">
      <c r="A117" s="4" t="s">
        <v>3562</v>
      </c>
      <c r="B117" s="4" t="s">
        <v>3243</v>
      </c>
      <c r="C117" s="4" t="s">
        <v>3563</v>
      </c>
      <c r="D117" s="3" t="str">
        <f t="shared" si="6"/>
        <v>ELA</v>
      </c>
      <c r="E117" s="3" t="str">
        <f t="shared" si="7"/>
        <v>B</v>
      </c>
      <c r="F117" s="3" t="str">
        <f t="shared" si="8"/>
        <v>059</v>
      </c>
      <c r="G117" s="3" t="str">
        <f t="shared" si="9"/>
        <v>ST</v>
      </c>
      <c r="H117" s="3" t="str">
        <f t="shared" si="10"/>
        <v>000</v>
      </c>
      <c r="I117" s="3" t="str">
        <f t="shared" si="11"/>
        <v>07</v>
      </c>
      <c r="L117" s="3" t="s">
        <v>3309</v>
      </c>
      <c r="R117" s="3" t="s">
        <v>3564</v>
      </c>
      <c r="S117" s="15" t="s">
        <v>3247</v>
      </c>
    </row>
    <row r="118" spans="1:19" x14ac:dyDescent="0.25">
      <c r="A118" s="4" t="s">
        <v>3565</v>
      </c>
      <c r="B118" s="4" t="s">
        <v>3243</v>
      </c>
      <c r="C118" s="4" t="s">
        <v>3566</v>
      </c>
      <c r="D118" s="3" t="str">
        <f t="shared" si="6"/>
        <v>ELA</v>
      </c>
      <c r="E118" s="3" t="str">
        <f t="shared" si="7"/>
        <v>B</v>
      </c>
      <c r="F118" s="3" t="str">
        <f t="shared" si="8"/>
        <v>060</v>
      </c>
      <c r="G118" s="3" t="str">
        <f t="shared" si="9"/>
        <v>ST</v>
      </c>
      <c r="H118" s="3" t="str">
        <f t="shared" si="10"/>
        <v>000</v>
      </c>
      <c r="I118" s="3" t="str">
        <f t="shared" si="11"/>
        <v>07</v>
      </c>
      <c r="L118" s="3" t="s">
        <v>3309</v>
      </c>
      <c r="R118" s="3" t="s">
        <v>3567</v>
      </c>
      <c r="S118" s="15" t="s">
        <v>3247</v>
      </c>
    </row>
    <row r="119" spans="1:19" ht="30" x14ac:dyDescent="0.25">
      <c r="A119" s="4" t="s">
        <v>3568</v>
      </c>
      <c r="B119" s="4" t="s">
        <v>3243</v>
      </c>
      <c r="C119" s="4" t="s">
        <v>3569</v>
      </c>
      <c r="D119" s="3" t="str">
        <f t="shared" si="6"/>
        <v>ELA</v>
      </c>
      <c r="E119" s="3" t="str">
        <f t="shared" si="7"/>
        <v>D</v>
      </c>
      <c r="F119" s="3" t="str">
        <f t="shared" si="8"/>
        <v>019</v>
      </c>
      <c r="G119" s="3" t="str">
        <f t="shared" si="9"/>
        <v>ST</v>
      </c>
      <c r="H119" s="3" t="str">
        <f t="shared" si="10"/>
        <v>000</v>
      </c>
      <c r="I119" s="3" t="str">
        <f t="shared" si="11"/>
        <v>00</v>
      </c>
      <c r="L119" s="3" t="s">
        <v>3309</v>
      </c>
      <c r="R119" s="3" t="s">
        <v>3570</v>
      </c>
      <c r="S119" s="15" t="s">
        <v>3247</v>
      </c>
    </row>
    <row r="120" spans="1:19" ht="30" x14ac:dyDescent="0.25">
      <c r="A120" s="4" t="s">
        <v>3571</v>
      </c>
      <c r="B120" s="4" t="s">
        <v>3243</v>
      </c>
      <c r="C120" s="4" t="s">
        <v>3572</v>
      </c>
      <c r="D120" s="3" t="str">
        <f t="shared" si="6"/>
        <v>ELA</v>
      </c>
      <c r="E120" s="3" t="str">
        <f t="shared" si="7"/>
        <v>D</v>
      </c>
      <c r="F120" s="3" t="str">
        <f t="shared" si="8"/>
        <v>020</v>
      </c>
      <c r="G120" s="3" t="str">
        <f t="shared" si="9"/>
        <v>ST</v>
      </c>
      <c r="H120" s="3" t="str">
        <f t="shared" si="10"/>
        <v>000</v>
      </c>
      <c r="I120" s="3" t="str">
        <f t="shared" si="11"/>
        <v>00</v>
      </c>
      <c r="L120" s="3" t="s">
        <v>3309</v>
      </c>
      <c r="R120" s="3" t="s">
        <v>3573</v>
      </c>
      <c r="S120" s="15" t="s">
        <v>3247</v>
      </c>
    </row>
    <row r="121" spans="1:19" ht="30" x14ac:dyDescent="0.25">
      <c r="A121" s="4" t="s">
        <v>3574</v>
      </c>
      <c r="B121" s="4" t="s">
        <v>3243</v>
      </c>
      <c r="C121" s="4" t="s">
        <v>3575</v>
      </c>
      <c r="D121" s="3" t="str">
        <f t="shared" si="6"/>
        <v>ELA</v>
      </c>
      <c r="E121" s="3" t="str">
        <f t="shared" si="7"/>
        <v>D</v>
      </c>
      <c r="F121" s="3" t="str">
        <f t="shared" si="8"/>
        <v>021</v>
      </c>
      <c r="G121" s="3" t="str">
        <f t="shared" si="9"/>
        <v>ST</v>
      </c>
      <c r="H121" s="3" t="str">
        <f t="shared" si="10"/>
        <v>000</v>
      </c>
      <c r="I121" s="3" t="str">
        <f t="shared" si="11"/>
        <v>00</v>
      </c>
      <c r="L121" s="3" t="s">
        <v>3309</v>
      </c>
      <c r="R121" s="3" t="s">
        <v>3576</v>
      </c>
      <c r="S121" s="15" t="s">
        <v>3247</v>
      </c>
    </row>
    <row r="122" spans="1:19" ht="30" x14ac:dyDescent="0.25">
      <c r="A122" s="4" t="s">
        <v>3577</v>
      </c>
      <c r="B122" s="4" t="s">
        <v>3243</v>
      </c>
      <c r="C122" s="4" t="s">
        <v>3578</v>
      </c>
      <c r="D122" s="3" t="str">
        <f t="shared" si="6"/>
        <v>ELA</v>
      </c>
      <c r="E122" s="3" t="str">
        <f t="shared" si="7"/>
        <v>D</v>
      </c>
      <c r="F122" s="3" t="str">
        <f t="shared" si="8"/>
        <v>022</v>
      </c>
      <c r="G122" s="3" t="str">
        <f t="shared" si="9"/>
        <v>ST</v>
      </c>
      <c r="H122" s="3" t="str">
        <f t="shared" si="10"/>
        <v>000</v>
      </c>
      <c r="I122" s="3" t="str">
        <f t="shared" si="11"/>
        <v>00</v>
      </c>
      <c r="L122" s="3" t="s">
        <v>3309</v>
      </c>
      <c r="R122" s="3" t="s">
        <v>3579</v>
      </c>
      <c r="S122" s="15" t="s">
        <v>3247</v>
      </c>
    </row>
    <row r="123" spans="1:19" ht="30" x14ac:dyDescent="0.25">
      <c r="A123" s="4" t="s">
        <v>3580</v>
      </c>
      <c r="B123" s="4" t="s">
        <v>3243</v>
      </c>
      <c r="C123" s="4" t="s">
        <v>3581</v>
      </c>
      <c r="D123" s="3" t="str">
        <f t="shared" si="6"/>
        <v>ELA</v>
      </c>
      <c r="E123" s="3" t="str">
        <f t="shared" si="7"/>
        <v>B</v>
      </c>
      <c r="F123" s="3" t="str">
        <f t="shared" si="8"/>
        <v>001</v>
      </c>
      <c r="G123" s="3" t="str">
        <f t="shared" si="9"/>
        <v>ST</v>
      </c>
      <c r="H123" s="3" t="str">
        <f t="shared" si="10"/>
        <v>000</v>
      </c>
      <c r="I123" s="3" t="str">
        <f t="shared" si="11"/>
        <v>00</v>
      </c>
      <c r="L123" s="3" t="s">
        <v>3309</v>
      </c>
      <c r="R123" s="3" t="s">
        <v>3582</v>
      </c>
      <c r="S123" s="15" t="s">
        <v>3247</v>
      </c>
    </row>
    <row r="124" spans="1:19" x14ac:dyDescent="0.25">
      <c r="A124" s="4" t="s">
        <v>3583</v>
      </c>
      <c r="B124" s="4" t="s">
        <v>3243</v>
      </c>
      <c r="C124" s="4" t="s">
        <v>3584</v>
      </c>
      <c r="D124" s="3" t="str">
        <f t="shared" si="6"/>
        <v>ELA</v>
      </c>
      <c r="E124" s="3" t="str">
        <f t="shared" si="7"/>
        <v>Y</v>
      </c>
      <c r="F124" s="3" t="str">
        <f t="shared" si="8"/>
        <v>006</v>
      </c>
      <c r="G124" s="3" t="str">
        <f t="shared" si="9"/>
        <v>ST</v>
      </c>
      <c r="H124" s="3" t="str">
        <f t="shared" si="10"/>
        <v>000</v>
      </c>
      <c r="I124" s="3" t="str">
        <f t="shared" si="11"/>
        <v>00</v>
      </c>
      <c r="L124" s="3" t="s">
        <v>3309</v>
      </c>
      <c r="R124" s="3" t="s">
        <v>3585</v>
      </c>
      <c r="S124" s="15" t="s">
        <v>3247</v>
      </c>
    </row>
    <row r="125" spans="1:19" ht="30" x14ac:dyDescent="0.25">
      <c r="A125" s="4" t="s">
        <v>3586</v>
      </c>
      <c r="B125" s="4" t="s">
        <v>3243</v>
      </c>
      <c r="C125" s="4" t="s">
        <v>3587</v>
      </c>
      <c r="D125" s="3" t="str">
        <f t="shared" si="6"/>
        <v>ELA</v>
      </c>
      <c r="E125" s="3" t="str">
        <f t="shared" si="7"/>
        <v>D</v>
      </c>
      <c r="F125" s="3" t="str">
        <f t="shared" si="8"/>
        <v>023</v>
      </c>
      <c r="G125" s="3" t="str">
        <f t="shared" si="9"/>
        <v>ST</v>
      </c>
      <c r="H125" s="3" t="str">
        <f t="shared" si="10"/>
        <v>000</v>
      </c>
      <c r="I125" s="3" t="str">
        <f t="shared" si="11"/>
        <v>00</v>
      </c>
      <c r="L125" s="3" t="s">
        <v>3309</v>
      </c>
      <c r="R125" s="3" t="s">
        <v>3588</v>
      </c>
      <c r="S125" s="15" t="s">
        <v>3247</v>
      </c>
    </row>
    <row r="126" spans="1:19" ht="30" x14ac:dyDescent="0.25">
      <c r="A126" s="4" t="s">
        <v>3589</v>
      </c>
      <c r="B126" s="4" t="s">
        <v>3243</v>
      </c>
      <c r="C126" s="4" t="s">
        <v>3590</v>
      </c>
      <c r="D126" s="3" t="str">
        <f t="shared" si="6"/>
        <v>ELA</v>
      </c>
      <c r="E126" s="3" t="str">
        <f t="shared" si="7"/>
        <v>D</v>
      </c>
      <c r="F126" s="3" t="str">
        <f t="shared" si="8"/>
        <v>024</v>
      </c>
      <c r="G126" s="3" t="str">
        <f t="shared" si="9"/>
        <v>ST</v>
      </c>
      <c r="H126" s="3" t="str">
        <f t="shared" si="10"/>
        <v>000</v>
      </c>
      <c r="I126" s="3" t="str">
        <f t="shared" si="11"/>
        <v>00</v>
      </c>
      <c r="L126" s="3" t="s">
        <v>3309</v>
      </c>
      <c r="R126" s="3" t="s">
        <v>3591</v>
      </c>
      <c r="S126" s="15" t="s">
        <v>3247</v>
      </c>
    </row>
    <row r="127" spans="1:19" ht="30" x14ac:dyDescent="0.25">
      <c r="A127" s="4" t="s">
        <v>3592</v>
      </c>
      <c r="B127" s="4" t="s">
        <v>3243</v>
      </c>
      <c r="C127" s="4" t="s">
        <v>3593</v>
      </c>
      <c r="D127" s="3" t="str">
        <f t="shared" si="6"/>
        <v>ELA</v>
      </c>
      <c r="E127" s="3" t="str">
        <f t="shared" si="7"/>
        <v>D</v>
      </c>
      <c r="F127" s="3" t="str">
        <f t="shared" si="8"/>
        <v>025</v>
      </c>
      <c r="G127" s="3" t="str">
        <f t="shared" si="9"/>
        <v>ST</v>
      </c>
      <c r="H127" s="3" t="str">
        <f t="shared" si="10"/>
        <v>000</v>
      </c>
      <c r="I127" s="3" t="str">
        <f t="shared" si="11"/>
        <v>00</v>
      </c>
      <c r="L127" s="3" t="s">
        <v>3309</v>
      </c>
      <c r="R127" s="3" t="s">
        <v>3594</v>
      </c>
      <c r="S127" s="15" t="s">
        <v>3247</v>
      </c>
    </row>
    <row r="128" spans="1:19" ht="30" x14ac:dyDescent="0.25">
      <c r="A128" s="4" t="s">
        <v>3595</v>
      </c>
      <c r="B128" s="4" t="s">
        <v>3243</v>
      </c>
      <c r="C128" s="4" t="s">
        <v>3596</v>
      </c>
      <c r="D128" s="3" t="str">
        <f t="shared" si="6"/>
        <v>MOD</v>
      </c>
      <c r="E128" s="3" t="str">
        <f t="shared" si="7"/>
        <v>M</v>
      </c>
      <c r="F128" s="3" t="str">
        <f t="shared" si="8"/>
        <v>008</v>
      </c>
      <c r="G128" s="3" t="str">
        <f t="shared" si="9"/>
        <v>SC</v>
      </c>
      <c r="H128" s="3" t="str">
        <f t="shared" si="10"/>
        <v>005</v>
      </c>
      <c r="I128" s="3" t="str">
        <f t="shared" si="11"/>
        <v>00</v>
      </c>
      <c r="L128" s="3" t="s">
        <v>3309</v>
      </c>
      <c r="R128" s="3" t="s">
        <v>3597</v>
      </c>
      <c r="S128" s="15" t="s">
        <v>3247</v>
      </c>
    </row>
    <row r="129" spans="1:19" x14ac:dyDescent="0.25">
      <c r="A129" s="4" t="s">
        <v>3598</v>
      </c>
      <c r="B129" s="4" t="s">
        <v>3243</v>
      </c>
      <c r="C129" s="4" t="s">
        <v>546</v>
      </c>
      <c r="D129" s="3" t="str">
        <f t="shared" si="6"/>
        <v>ELA</v>
      </c>
      <c r="E129" s="3" t="str">
        <f t="shared" si="7"/>
        <v>U</v>
      </c>
      <c r="F129" s="3" t="str">
        <f t="shared" si="8"/>
        <v>000</v>
      </c>
      <c r="G129" s="3" t="str">
        <f t="shared" si="9"/>
        <v>NA</v>
      </c>
      <c r="H129" s="3" t="str">
        <f t="shared" si="10"/>
        <v>000</v>
      </c>
      <c r="I129" s="3" t="str">
        <f t="shared" si="11"/>
        <v>00</v>
      </c>
      <c r="L129" s="3" t="s">
        <v>3309</v>
      </c>
      <c r="R129" s="3" t="s">
        <v>3599</v>
      </c>
      <c r="S129" s="15">
        <v>2</v>
      </c>
    </row>
    <row r="130" spans="1:19" x14ac:dyDescent="0.25">
      <c r="A130" s="4" t="s">
        <v>3600</v>
      </c>
      <c r="B130" s="4" t="s">
        <v>3243</v>
      </c>
      <c r="C130" s="4" t="s">
        <v>3601</v>
      </c>
      <c r="D130" s="3" t="str">
        <f t="shared" ref="D130:D193" si="12">LEFT(A130,3)</f>
        <v>ELA</v>
      </c>
      <c r="E130" s="3" t="str">
        <f t="shared" ref="E130:E193" si="13">MID(A130,4,1)</f>
        <v>P</v>
      </c>
      <c r="F130" s="3" t="str">
        <f t="shared" ref="F130:F193" si="14">MID(A130,5,3)</f>
        <v>007</v>
      </c>
      <c r="G130" s="3" t="str">
        <f t="shared" ref="G130:G193" si="15">MID(A130,8,2)</f>
        <v>NA</v>
      </c>
      <c r="H130" s="3" t="str">
        <f t="shared" ref="H130:H193" si="16">MID(A130,10,3)</f>
        <v>000</v>
      </c>
      <c r="I130" s="3" t="str">
        <f t="shared" ref="I130:I193" si="17">MID(A130,13,2)</f>
        <v>00</v>
      </c>
      <c r="L130" s="3" t="s">
        <v>3309</v>
      </c>
      <c r="R130" s="3" t="s">
        <v>3602</v>
      </c>
      <c r="S130" s="15" t="s">
        <v>3247</v>
      </c>
    </row>
    <row r="131" spans="1:19" x14ac:dyDescent="0.25">
      <c r="A131" s="4" t="s">
        <v>3603</v>
      </c>
      <c r="B131" s="4" t="s">
        <v>3243</v>
      </c>
      <c r="C131" s="4" t="s">
        <v>3604</v>
      </c>
      <c r="D131" s="3" t="str">
        <f t="shared" si="12"/>
        <v>ONG</v>
      </c>
      <c r="E131" s="3" t="str">
        <f t="shared" si="13"/>
        <v>B</v>
      </c>
      <c r="F131" s="3" t="str">
        <f t="shared" si="14"/>
        <v>101</v>
      </c>
      <c r="G131" s="3" t="str">
        <f t="shared" si="15"/>
        <v>SA</v>
      </c>
      <c r="H131" s="3" t="str">
        <f t="shared" si="16"/>
        <v>000</v>
      </c>
      <c r="I131" s="3" t="str">
        <f t="shared" si="17"/>
        <v>01</v>
      </c>
      <c r="L131" s="3" t="s">
        <v>3309</v>
      </c>
      <c r="R131" s="3" t="s">
        <v>3605</v>
      </c>
      <c r="S131" s="15" t="s">
        <v>3247</v>
      </c>
    </row>
    <row r="132" spans="1:19" x14ac:dyDescent="0.25">
      <c r="A132" s="4" t="s">
        <v>3606</v>
      </c>
      <c r="B132" s="4" t="s">
        <v>3243</v>
      </c>
      <c r="C132" s="4" t="s">
        <v>3607</v>
      </c>
      <c r="D132" s="3" t="str">
        <f t="shared" si="12"/>
        <v>ELA</v>
      </c>
      <c r="E132" s="3" t="str">
        <f t="shared" si="13"/>
        <v>D</v>
      </c>
      <c r="F132" s="3" t="str">
        <f t="shared" si="14"/>
        <v>013</v>
      </c>
      <c r="G132" s="3" t="str">
        <f t="shared" si="15"/>
        <v>NA</v>
      </c>
      <c r="H132" s="3" t="str">
        <f t="shared" si="16"/>
        <v>000</v>
      </c>
      <c r="I132" s="3" t="str">
        <f t="shared" si="17"/>
        <v>00</v>
      </c>
      <c r="L132" s="3" t="s">
        <v>3608</v>
      </c>
      <c r="R132" s="3" t="s">
        <v>3609</v>
      </c>
      <c r="S132" s="15" t="s">
        <v>3247</v>
      </c>
    </row>
    <row r="133" spans="1:19" x14ac:dyDescent="0.25">
      <c r="A133" s="4" t="s">
        <v>3610</v>
      </c>
      <c r="B133" s="4" t="s">
        <v>3243</v>
      </c>
      <c r="C133" s="4" t="s">
        <v>511</v>
      </c>
      <c r="D133" s="3" t="str">
        <f t="shared" si="12"/>
        <v>ELA</v>
      </c>
      <c r="E133" s="3" t="str">
        <f t="shared" si="13"/>
        <v>S</v>
      </c>
      <c r="F133" s="3" t="str">
        <f t="shared" si="14"/>
        <v>002</v>
      </c>
      <c r="G133" s="3" t="str">
        <f t="shared" si="15"/>
        <v>ST</v>
      </c>
      <c r="H133" s="3" t="str">
        <f t="shared" si="16"/>
        <v>000</v>
      </c>
      <c r="I133" s="3" t="str">
        <f t="shared" si="17"/>
        <v>00</v>
      </c>
      <c r="L133" s="3" t="s">
        <v>3608</v>
      </c>
      <c r="R133" s="3" t="s">
        <v>3611</v>
      </c>
      <c r="S133" s="15" t="s">
        <v>3247</v>
      </c>
    </row>
    <row r="134" spans="1:19" x14ac:dyDescent="0.25">
      <c r="A134" s="4" t="s">
        <v>3612</v>
      </c>
      <c r="B134" s="4" t="s">
        <v>3243</v>
      </c>
      <c r="C134" s="4" t="s">
        <v>3613</v>
      </c>
      <c r="D134" s="3" t="str">
        <f t="shared" si="12"/>
        <v>ELA</v>
      </c>
      <c r="E134" s="3" t="str">
        <f t="shared" si="13"/>
        <v>Z</v>
      </c>
      <c r="F134" s="3" t="str">
        <f t="shared" si="14"/>
        <v>007</v>
      </c>
      <c r="G134" s="3" t="str">
        <f t="shared" si="15"/>
        <v>NA</v>
      </c>
      <c r="H134" s="3" t="str">
        <f t="shared" si="16"/>
        <v>000</v>
      </c>
      <c r="I134" s="3" t="str">
        <f t="shared" si="17"/>
        <v>00</v>
      </c>
      <c r="L134" s="3" t="s">
        <v>3309</v>
      </c>
      <c r="R134" s="3" t="s">
        <v>3614</v>
      </c>
      <c r="S134" s="15" t="s">
        <v>3247</v>
      </c>
    </row>
    <row r="135" spans="1:19" x14ac:dyDescent="0.25">
      <c r="A135" s="4" t="s">
        <v>3615</v>
      </c>
      <c r="B135" s="4" t="s">
        <v>3243</v>
      </c>
      <c r="C135" s="4" t="s">
        <v>3616</v>
      </c>
      <c r="D135" s="3" t="str">
        <f t="shared" si="12"/>
        <v>ELA</v>
      </c>
      <c r="E135" s="3" t="str">
        <f t="shared" si="13"/>
        <v>P</v>
      </c>
      <c r="F135" s="3" t="str">
        <f t="shared" si="14"/>
        <v>008</v>
      </c>
      <c r="G135" s="3" t="str">
        <f t="shared" si="15"/>
        <v>NA</v>
      </c>
      <c r="H135" s="3" t="str">
        <f t="shared" si="16"/>
        <v>001</v>
      </c>
      <c r="I135" s="3" t="str">
        <f t="shared" si="17"/>
        <v>00</v>
      </c>
      <c r="L135" s="3" t="s">
        <v>3309</v>
      </c>
      <c r="R135" s="3" t="s">
        <v>3617</v>
      </c>
      <c r="S135" s="15" t="s">
        <v>3247</v>
      </c>
    </row>
    <row r="136" spans="1:19" x14ac:dyDescent="0.25">
      <c r="A136" s="4" t="s">
        <v>3618</v>
      </c>
      <c r="B136" s="4" t="s">
        <v>3243</v>
      </c>
      <c r="C136" s="4" t="s">
        <v>3619</v>
      </c>
      <c r="D136" s="3" t="str">
        <f t="shared" si="12"/>
        <v>MOD</v>
      </c>
      <c r="E136" s="3" t="str">
        <f t="shared" si="13"/>
        <v>O</v>
      </c>
      <c r="F136" s="3" t="str">
        <f t="shared" si="14"/>
        <v>001</v>
      </c>
      <c r="G136" s="3" t="str">
        <f t="shared" si="15"/>
        <v>NL</v>
      </c>
      <c r="H136" s="3" t="str">
        <f t="shared" si="16"/>
        <v>000</v>
      </c>
      <c r="I136" s="3" t="str">
        <f t="shared" si="17"/>
        <v>00</v>
      </c>
      <c r="L136" s="3" t="s">
        <v>3309</v>
      </c>
      <c r="R136" s="3" t="s">
        <v>3620</v>
      </c>
      <c r="S136" s="15" t="s">
        <v>3247</v>
      </c>
    </row>
    <row r="137" spans="1:19" x14ac:dyDescent="0.25">
      <c r="A137" s="4" t="s">
        <v>3621</v>
      </c>
      <c r="B137" s="4" t="s">
        <v>3243</v>
      </c>
      <c r="C137" s="4" t="s">
        <v>3622</v>
      </c>
      <c r="D137" s="3" t="str">
        <f t="shared" si="12"/>
        <v>MOD</v>
      </c>
      <c r="E137" s="3" t="str">
        <f t="shared" si="13"/>
        <v>O</v>
      </c>
      <c r="F137" s="3" t="str">
        <f t="shared" si="14"/>
        <v>002</v>
      </c>
      <c r="G137" s="3" t="str">
        <f t="shared" si="15"/>
        <v>NL</v>
      </c>
      <c r="H137" s="3" t="str">
        <f t="shared" si="16"/>
        <v>000</v>
      </c>
      <c r="I137" s="3" t="str">
        <f t="shared" si="17"/>
        <v>00</v>
      </c>
      <c r="L137" s="3" t="s">
        <v>3309</v>
      </c>
      <c r="R137" s="3" t="s">
        <v>3623</v>
      </c>
      <c r="S137" s="15" t="s">
        <v>3247</v>
      </c>
    </row>
    <row r="138" spans="1:19" x14ac:dyDescent="0.25">
      <c r="A138" s="4" t="s">
        <v>3624</v>
      </c>
      <c r="B138" s="4" t="s">
        <v>3243</v>
      </c>
      <c r="C138" s="4" t="s">
        <v>3625</v>
      </c>
      <c r="D138" s="3" t="str">
        <f t="shared" si="12"/>
        <v>MOD</v>
      </c>
      <c r="E138" s="3" t="str">
        <f t="shared" si="13"/>
        <v>O</v>
      </c>
      <c r="F138" s="3" t="str">
        <f t="shared" si="14"/>
        <v>003</v>
      </c>
      <c r="G138" s="3" t="str">
        <f t="shared" si="15"/>
        <v>NL</v>
      </c>
      <c r="H138" s="3" t="str">
        <f t="shared" si="16"/>
        <v>000</v>
      </c>
      <c r="I138" s="3" t="str">
        <f t="shared" si="17"/>
        <v>00</v>
      </c>
      <c r="L138" s="3" t="s">
        <v>3309</v>
      </c>
      <c r="R138" s="3" t="s">
        <v>3626</v>
      </c>
      <c r="S138" s="15" t="s">
        <v>3247</v>
      </c>
    </row>
    <row r="139" spans="1:19" x14ac:dyDescent="0.25">
      <c r="A139" s="4" t="s">
        <v>3627</v>
      </c>
      <c r="B139" s="4" t="s">
        <v>3243</v>
      </c>
      <c r="C139" s="4" t="s">
        <v>3628</v>
      </c>
      <c r="D139" s="3" t="str">
        <f t="shared" si="12"/>
        <v>MOD</v>
      </c>
      <c r="E139" s="3" t="str">
        <f t="shared" si="13"/>
        <v>O</v>
      </c>
      <c r="F139" s="3" t="str">
        <f t="shared" si="14"/>
        <v>004</v>
      </c>
      <c r="G139" s="3" t="str">
        <f t="shared" si="15"/>
        <v>NL</v>
      </c>
      <c r="H139" s="3" t="str">
        <f t="shared" si="16"/>
        <v>000</v>
      </c>
      <c r="I139" s="3" t="str">
        <f t="shared" si="17"/>
        <v>00</v>
      </c>
      <c r="L139" s="3" t="s">
        <v>3309</v>
      </c>
      <c r="R139" s="3" t="s">
        <v>3629</v>
      </c>
      <c r="S139" s="15" t="s">
        <v>3247</v>
      </c>
    </row>
    <row r="140" spans="1:19" x14ac:dyDescent="0.25">
      <c r="A140" s="4" t="s">
        <v>3630</v>
      </c>
      <c r="B140" s="4" t="s">
        <v>3243</v>
      </c>
      <c r="C140" s="4" t="s">
        <v>3631</v>
      </c>
      <c r="D140" s="3" t="str">
        <f t="shared" si="12"/>
        <v>ELA</v>
      </c>
      <c r="E140" s="3" t="str">
        <f t="shared" si="13"/>
        <v>B</v>
      </c>
      <c r="F140" s="3" t="str">
        <f t="shared" si="14"/>
        <v>061</v>
      </c>
      <c r="G140" s="3" t="str">
        <f t="shared" si="15"/>
        <v>ST</v>
      </c>
      <c r="H140" s="3" t="str">
        <f t="shared" si="16"/>
        <v>000</v>
      </c>
      <c r="I140" s="3" t="str">
        <f t="shared" si="17"/>
        <v>00</v>
      </c>
      <c r="L140" s="3" t="s">
        <v>3309</v>
      </c>
      <c r="R140" s="3" t="s">
        <v>3632</v>
      </c>
      <c r="S140" s="15" t="s">
        <v>3247</v>
      </c>
    </row>
    <row r="141" spans="1:19" ht="45" x14ac:dyDescent="0.25">
      <c r="A141" s="4" t="s">
        <v>3633</v>
      </c>
      <c r="B141" s="4" t="s">
        <v>3243</v>
      </c>
      <c r="C141" s="4" t="s">
        <v>3634</v>
      </c>
      <c r="D141" s="3" t="str">
        <f t="shared" si="12"/>
        <v>ELA</v>
      </c>
      <c r="E141" s="3" t="str">
        <f t="shared" si="13"/>
        <v>P</v>
      </c>
      <c r="F141" s="3" t="str">
        <f t="shared" si="14"/>
        <v>003</v>
      </c>
      <c r="G141" s="3" t="str">
        <f t="shared" si="15"/>
        <v>ST</v>
      </c>
      <c r="H141" s="3" t="str">
        <f t="shared" si="16"/>
        <v>000</v>
      </c>
      <c r="I141" s="3" t="str">
        <f t="shared" si="17"/>
        <v>00</v>
      </c>
      <c r="L141" s="3" t="s">
        <v>3309</v>
      </c>
      <c r="R141" s="3" t="s">
        <v>3635</v>
      </c>
      <c r="S141" s="15" t="s">
        <v>3247</v>
      </c>
    </row>
    <row r="142" spans="1:19" ht="45" x14ac:dyDescent="0.25">
      <c r="A142" s="4" t="s">
        <v>3636</v>
      </c>
      <c r="B142" s="4" t="s">
        <v>3243</v>
      </c>
      <c r="C142" s="4" t="s">
        <v>3637</v>
      </c>
      <c r="D142" s="3" t="str">
        <f t="shared" si="12"/>
        <v>ELA</v>
      </c>
      <c r="E142" s="3" t="str">
        <f t="shared" si="13"/>
        <v>P</v>
      </c>
      <c r="F142" s="3" t="str">
        <f t="shared" si="14"/>
        <v>002</v>
      </c>
      <c r="G142" s="3" t="str">
        <f t="shared" si="15"/>
        <v>ST</v>
      </c>
      <c r="H142" s="3" t="str">
        <f t="shared" si="16"/>
        <v>000</v>
      </c>
      <c r="I142" s="3" t="str">
        <f t="shared" si="17"/>
        <v>00</v>
      </c>
      <c r="L142" s="3" t="s">
        <v>3309</v>
      </c>
      <c r="R142" s="3" t="s">
        <v>3638</v>
      </c>
      <c r="S142" s="15" t="s">
        <v>3247</v>
      </c>
    </row>
    <row r="143" spans="1:19" x14ac:dyDescent="0.25">
      <c r="A143" s="4" t="s">
        <v>3639</v>
      </c>
      <c r="B143" s="4" t="s">
        <v>3243</v>
      </c>
      <c r="C143" s="4" t="s">
        <v>3640</v>
      </c>
      <c r="D143" s="3" t="str">
        <f t="shared" si="12"/>
        <v>ELA</v>
      </c>
      <c r="E143" s="3" t="str">
        <f t="shared" si="13"/>
        <v>L</v>
      </c>
      <c r="F143" s="3" t="str">
        <f t="shared" si="14"/>
        <v>006</v>
      </c>
      <c r="G143" s="3" t="str">
        <f t="shared" si="15"/>
        <v>ST</v>
      </c>
      <c r="H143" s="3" t="str">
        <f t="shared" si="16"/>
        <v>000</v>
      </c>
      <c r="I143" s="3" t="str">
        <f t="shared" si="17"/>
        <v>00</v>
      </c>
      <c r="L143" s="3" t="s">
        <v>3309</v>
      </c>
      <c r="R143" s="3" t="s">
        <v>3641</v>
      </c>
      <c r="S143" s="15" t="s">
        <v>3247</v>
      </c>
    </row>
    <row r="144" spans="1:19" x14ac:dyDescent="0.25">
      <c r="A144" s="4" t="s">
        <v>3642</v>
      </c>
      <c r="B144" s="4" t="s">
        <v>3243</v>
      </c>
      <c r="C144" s="4" t="s">
        <v>3643</v>
      </c>
      <c r="D144" s="3" t="str">
        <f t="shared" si="12"/>
        <v>ELA</v>
      </c>
      <c r="E144" s="3" t="str">
        <f t="shared" si="13"/>
        <v>L</v>
      </c>
      <c r="F144" s="3" t="str">
        <f t="shared" si="14"/>
        <v>007</v>
      </c>
      <c r="G144" s="3" t="str">
        <f t="shared" si="15"/>
        <v>ST</v>
      </c>
      <c r="H144" s="3" t="str">
        <f t="shared" si="16"/>
        <v>000</v>
      </c>
      <c r="I144" s="3" t="str">
        <f t="shared" si="17"/>
        <v>00</v>
      </c>
      <c r="L144" s="3" t="s">
        <v>3309</v>
      </c>
      <c r="R144" s="3" t="s">
        <v>3644</v>
      </c>
      <c r="S144" s="15" t="s">
        <v>3247</v>
      </c>
    </row>
    <row r="145" spans="1:20" x14ac:dyDescent="0.25">
      <c r="A145" s="4" t="s">
        <v>3645</v>
      </c>
      <c r="B145" s="4" t="s">
        <v>3243</v>
      </c>
      <c r="C145" s="4" t="s">
        <v>3646</v>
      </c>
      <c r="D145" s="3" t="str">
        <f t="shared" si="12"/>
        <v>ELA</v>
      </c>
      <c r="E145" s="3" t="str">
        <f t="shared" si="13"/>
        <v>K</v>
      </c>
      <c r="F145" s="3" t="str">
        <f t="shared" si="14"/>
        <v>006</v>
      </c>
      <c r="G145" s="3" t="str">
        <f t="shared" si="15"/>
        <v>NA</v>
      </c>
      <c r="H145" s="3" t="str">
        <f t="shared" si="16"/>
        <v>000</v>
      </c>
      <c r="I145" s="3" t="str">
        <f t="shared" si="17"/>
        <v>00</v>
      </c>
      <c r="L145" s="3" t="s">
        <v>3309</v>
      </c>
      <c r="R145" s="3" t="s">
        <v>3647</v>
      </c>
      <c r="S145" s="15" t="s">
        <v>3247</v>
      </c>
    </row>
    <row r="146" spans="1:20" x14ac:dyDescent="0.25">
      <c r="A146" s="4" t="s">
        <v>3648</v>
      </c>
      <c r="B146" s="4" t="s">
        <v>3243</v>
      </c>
      <c r="C146" s="4" t="s">
        <v>3649</v>
      </c>
      <c r="D146" s="3" t="str">
        <f t="shared" si="12"/>
        <v>ELA</v>
      </c>
      <c r="E146" s="3" t="str">
        <f t="shared" si="13"/>
        <v>A</v>
      </c>
      <c r="F146" s="3" t="str">
        <f t="shared" si="14"/>
        <v>E00</v>
      </c>
      <c r="G146" s="3" t="str">
        <f t="shared" si="15"/>
        <v>1S</v>
      </c>
      <c r="H146" s="3" t="str">
        <f t="shared" si="16"/>
        <v>T00</v>
      </c>
      <c r="I146" s="3" t="str">
        <f t="shared" si="17"/>
        <v>00</v>
      </c>
      <c r="L146" s="3" t="s">
        <v>3309</v>
      </c>
      <c r="R146" s="3" t="s">
        <v>3650</v>
      </c>
      <c r="S146" s="15" t="s">
        <v>3247</v>
      </c>
    </row>
    <row r="147" spans="1:20" x14ac:dyDescent="0.25">
      <c r="A147" s="4" t="s">
        <v>3651</v>
      </c>
      <c r="B147" s="4" t="s">
        <v>3243</v>
      </c>
      <c r="C147" s="4" t="s">
        <v>3652</v>
      </c>
      <c r="D147" s="3" t="str">
        <f t="shared" si="12"/>
        <v>ELA</v>
      </c>
      <c r="E147" s="3" t="str">
        <f t="shared" si="13"/>
        <v>B</v>
      </c>
      <c r="F147" s="3" t="str">
        <f t="shared" si="14"/>
        <v>042</v>
      </c>
      <c r="G147" s="3" t="str">
        <f t="shared" si="15"/>
        <v>VS</v>
      </c>
      <c r="H147" s="3" t="str">
        <f t="shared" si="16"/>
        <v>000</v>
      </c>
      <c r="I147" s="3" t="str">
        <f t="shared" si="17"/>
        <v>00</v>
      </c>
      <c r="L147" s="3" t="s">
        <v>3309</v>
      </c>
      <c r="R147" s="3" t="s">
        <v>3653</v>
      </c>
      <c r="S147" s="15" t="s">
        <v>3247</v>
      </c>
    </row>
    <row r="148" spans="1:20" x14ac:dyDescent="0.25">
      <c r="A148" s="4" t="s">
        <v>3654</v>
      </c>
      <c r="B148" s="4" t="s">
        <v>3243</v>
      </c>
      <c r="C148" s="4" t="s">
        <v>3655</v>
      </c>
      <c r="D148" s="3" t="str">
        <f t="shared" si="12"/>
        <v>ELA</v>
      </c>
      <c r="E148" s="3" t="str">
        <f t="shared" si="13"/>
        <v>D</v>
      </c>
      <c r="F148" s="3" t="str">
        <f t="shared" si="14"/>
        <v>026</v>
      </c>
      <c r="G148" s="3" t="str">
        <f t="shared" si="15"/>
        <v>VS</v>
      </c>
      <c r="H148" s="3" t="str">
        <f t="shared" si="16"/>
        <v>000</v>
      </c>
      <c r="I148" s="3" t="str">
        <f t="shared" si="17"/>
        <v>00</v>
      </c>
      <c r="L148" s="3" t="s">
        <v>3309</v>
      </c>
      <c r="R148" s="3" t="s">
        <v>3656</v>
      </c>
      <c r="S148" s="15" t="s">
        <v>3247</v>
      </c>
    </row>
    <row r="149" spans="1:20" x14ac:dyDescent="0.25">
      <c r="A149" s="4" t="s">
        <v>3657</v>
      </c>
      <c r="B149" s="4" t="s">
        <v>3243</v>
      </c>
      <c r="C149" s="4" t="s">
        <v>3658</v>
      </c>
      <c r="D149" s="3" t="str">
        <f t="shared" si="12"/>
        <v>ELA</v>
      </c>
      <c r="E149" s="3" t="str">
        <f t="shared" si="13"/>
        <v>D</v>
      </c>
      <c r="F149" s="3" t="str">
        <f t="shared" si="14"/>
        <v>027</v>
      </c>
      <c r="G149" s="3" t="str">
        <f t="shared" si="15"/>
        <v>VS</v>
      </c>
      <c r="H149" s="3" t="str">
        <f t="shared" si="16"/>
        <v>000</v>
      </c>
      <c r="I149" s="3" t="str">
        <f t="shared" si="17"/>
        <v>00</v>
      </c>
      <c r="L149" s="3" t="s">
        <v>3309</v>
      </c>
      <c r="R149" s="3" t="s">
        <v>3659</v>
      </c>
      <c r="S149" s="15" t="s">
        <v>3247</v>
      </c>
    </row>
    <row r="150" spans="1:20" x14ac:dyDescent="0.25">
      <c r="A150" s="4" t="s">
        <v>3660</v>
      </c>
      <c r="B150" s="4" t="s">
        <v>3243</v>
      </c>
      <c r="C150" s="4" t="s">
        <v>3661</v>
      </c>
      <c r="D150" s="3" t="str">
        <f t="shared" si="12"/>
        <v>ELA</v>
      </c>
      <c r="E150" s="3" t="str">
        <f t="shared" si="13"/>
        <v>D</v>
      </c>
      <c r="F150" s="3" t="str">
        <f t="shared" si="14"/>
        <v>028</v>
      </c>
      <c r="G150" s="3" t="str">
        <f t="shared" si="15"/>
        <v>VS</v>
      </c>
      <c r="H150" s="3" t="str">
        <f t="shared" si="16"/>
        <v>000</v>
      </c>
      <c r="I150" s="3" t="str">
        <f t="shared" si="17"/>
        <v>00</v>
      </c>
      <c r="L150" s="3" t="s">
        <v>3309</v>
      </c>
      <c r="R150" s="3" t="s">
        <v>3662</v>
      </c>
      <c r="S150" s="15" t="s">
        <v>3247</v>
      </c>
    </row>
    <row r="151" spans="1:20" x14ac:dyDescent="0.25">
      <c r="A151" s="4" t="s">
        <v>3663</v>
      </c>
      <c r="B151" s="4" t="s">
        <v>3243</v>
      </c>
      <c r="C151" s="4" t="s">
        <v>3664</v>
      </c>
      <c r="D151" s="3" t="str">
        <f t="shared" si="12"/>
        <v>ELA</v>
      </c>
      <c r="E151" s="3" t="str">
        <f t="shared" si="13"/>
        <v>K</v>
      </c>
      <c r="F151" s="3" t="str">
        <f t="shared" si="14"/>
        <v>003</v>
      </c>
      <c r="G151" s="3" t="str">
        <f t="shared" si="15"/>
        <v>LB</v>
      </c>
      <c r="H151" s="3" t="str">
        <f t="shared" si="16"/>
        <v>000</v>
      </c>
      <c r="I151" s="3" t="str">
        <f t="shared" si="17"/>
        <v>00</v>
      </c>
      <c r="L151" s="3" t="s">
        <v>3309</v>
      </c>
      <c r="R151" s="3" t="s">
        <v>3665</v>
      </c>
      <c r="S151" s="15" t="s">
        <v>3247</v>
      </c>
    </row>
    <row r="152" spans="1:20" x14ac:dyDescent="0.25">
      <c r="A152" s="4" t="s">
        <v>3666</v>
      </c>
      <c r="B152" s="4" t="s">
        <v>3243</v>
      </c>
      <c r="C152" s="4" t="s">
        <v>3667</v>
      </c>
      <c r="D152" s="3" t="str">
        <f t="shared" si="12"/>
        <v>ONG</v>
      </c>
      <c r="E152" s="3" t="str">
        <f t="shared" si="13"/>
        <v>A</v>
      </c>
      <c r="F152" s="3" t="str">
        <f t="shared" si="14"/>
        <v>101</v>
      </c>
      <c r="G152" s="3" t="str">
        <f t="shared" si="15"/>
        <v>Z0</v>
      </c>
      <c r="H152" s="3" t="str">
        <f t="shared" si="16"/>
        <v>000</v>
      </c>
      <c r="I152" s="3" t="str">
        <f t="shared" si="17"/>
        <v>01</v>
      </c>
      <c r="L152" s="3" t="s">
        <v>3309</v>
      </c>
      <c r="R152" s="3" t="s">
        <v>3668</v>
      </c>
      <c r="S152" s="15">
        <v>2</v>
      </c>
    </row>
    <row r="153" spans="1:20" x14ac:dyDescent="0.25">
      <c r="A153" s="4" t="s">
        <v>3669</v>
      </c>
      <c r="B153" s="4" t="s">
        <v>3243</v>
      </c>
      <c r="C153" s="4" t="s">
        <v>3664</v>
      </c>
      <c r="D153" s="3" t="str">
        <f t="shared" si="12"/>
        <v>ELA</v>
      </c>
      <c r="E153" s="3" t="str">
        <f t="shared" si="13"/>
        <v>K</v>
      </c>
      <c r="F153" s="3" t="str">
        <f t="shared" si="14"/>
        <v>003</v>
      </c>
      <c r="G153" s="3" t="str">
        <f t="shared" si="15"/>
        <v>NA</v>
      </c>
      <c r="H153" s="3" t="str">
        <f t="shared" si="16"/>
        <v>000</v>
      </c>
      <c r="I153" s="3" t="str">
        <f t="shared" si="17"/>
        <v>00</v>
      </c>
      <c r="L153" s="3" t="s">
        <v>3309</v>
      </c>
      <c r="R153" s="3" t="s">
        <v>3670</v>
      </c>
      <c r="S153" s="15" t="s">
        <v>3247</v>
      </c>
    </row>
    <row r="154" spans="1:20" x14ac:dyDescent="0.25">
      <c r="A154" s="4" t="s">
        <v>3671</v>
      </c>
      <c r="B154" s="4" t="s">
        <v>3243</v>
      </c>
      <c r="C154" s="4" t="s">
        <v>3672</v>
      </c>
      <c r="D154" s="3" t="str">
        <f t="shared" si="12"/>
        <v>ELA</v>
      </c>
      <c r="E154" s="3" t="str">
        <f t="shared" si="13"/>
        <v>Z</v>
      </c>
      <c r="F154" s="3" t="str">
        <f t="shared" si="14"/>
        <v>101</v>
      </c>
      <c r="G154" s="3" t="str">
        <f t="shared" si="15"/>
        <v>NA</v>
      </c>
      <c r="H154" s="3" t="str">
        <f t="shared" si="16"/>
        <v>000</v>
      </c>
      <c r="I154" s="3" t="str">
        <f t="shared" si="17"/>
        <v>00</v>
      </c>
      <c r="L154" s="3" t="s">
        <v>3309</v>
      </c>
      <c r="R154" s="3" t="s">
        <v>3673</v>
      </c>
      <c r="S154" s="15">
        <v>20</v>
      </c>
    </row>
    <row r="155" spans="1:20" x14ac:dyDescent="0.25">
      <c r="A155" s="4" t="s">
        <v>3674</v>
      </c>
      <c r="B155" s="4" t="s">
        <v>3243</v>
      </c>
      <c r="C155" s="4" t="s">
        <v>3675</v>
      </c>
      <c r="D155" s="3" t="str">
        <f t="shared" si="12"/>
        <v>ELA</v>
      </c>
      <c r="E155" s="3" t="str">
        <f t="shared" si="13"/>
        <v>Z</v>
      </c>
      <c r="F155" s="3" t="str">
        <f t="shared" si="14"/>
        <v>102</v>
      </c>
      <c r="G155" s="3" t="str">
        <f t="shared" si="15"/>
        <v>NA</v>
      </c>
      <c r="H155" s="3" t="str">
        <f t="shared" si="16"/>
        <v>000</v>
      </c>
      <c r="I155" s="3" t="str">
        <f t="shared" si="17"/>
        <v>00</v>
      </c>
      <c r="L155" s="3" t="s">
        <v>3309</v>
      </c>
      <c r="R155" s="3" t="s">
        <v>3676</v>
      </c>
      <c r="S155" s="15">
        <v>21</v>
      </c>
    </row>
    <row r="156" spans="1:20" x14ac:dyDescent="0.25">
      <c r="A156" s="4" t="s">
        <v>3677</v>
      </c>
      <c r="B156" s="4" t="s">
        <v>3243</v>
      </c>
      <c r="C156" s="4" t="s">
        <v>3678</v>
      </c>
      <c r="D156" s="3" t="str">
        <f t="shared" si="12"/>
        <v>ELA</v>
      </c>
      <c r="E156" s="3" t="str">
        <f t="shared" si="13"/>
        <v>B</v>
      </c>
      <c r="F156" s="3" t="str">
        <f t="shared" si="14"/>
        <v>024</v>
      </c>
      <c r="G156" s="3" t="str">
        <f t="shared" si="15"/>
        <v>ST</v>
      </c>
      <c r="H156" s="3" t="str">
        <f t="shared" si="16"/>
        <v>000</v>
      </c>
      <c r="I156" s="3" t="str">
        <f t="shared" si="17"/>
        <v>01</v>
      </c>
      <c r="L156" s="3" t="s">
        <v>3309</v>
      </c>
      <c r="R156" s="3" t="s">
        <v>3679</v>
      </c>
      <c r="S156" s="15">
        <v>100</v>
      </c>
    </row>
    <row r="157" spans="1:20" x14ac:dyDescent="0.25">
      <c r="A157" s="4" t="s">
        <v>3680</v>
      </c>
      <c r="B157" s="4" t="s">
        <v>3243</v>
      </c>
      <c r="C157" s="4" t="s">
        <v>3681</v>
      </c>
      <c r="D157" s="3" t="str">
        <f t="shared" si="12"/>
        <v>ELA</v>
      </c>
      <c r="E157" s="3" t="str">
        <f t="shared" si="13"/>
        <v>U</v>
      </c>
      <c r="F157" s="3" t="str">
        <f t="shared" si="14"/>
        <v>106</v>
      </c>
      <c r="G157" s="3" t="str">
        <f t="shared" si="15"/>
        <v>VS</v>
      </c>
      <c r="H157" s="3" t="str">
        <f t="shared" si="16"/>
        <v>000</v>
      </c>
      <c r="I157" s="3" t="str">
        <f t="shared" si="17"/>
        <v>00</v>
      </c>
      <c r="L157" s="3" t="s">
        <v>3309</v>
      </c>
      <c r="R157" s="3" t="s">
        <v>3682</v>
      </c>
      <c r="S157" s="15">
        <v>4</v>
      </c>
    </row>
    <row r="158" spans="1:20" s="14" customFormat="1" x14ac:dyDescent="0.25">
      <c r="A158" s="4" t="s">
        <v>3683</v>
      </c>
      <c r="B158" s="4" t="s">
        <v>3243</v>
      </c>
      <c r="C158" s="4" t="s">
        <v>3684</v>
      </c>
      <c r="D158" s="3" t="str">
        <f t="shared" si="12"/>
        <v>ELA</v>
      </c>
      <c r="E158" s="3" t="str">
        <f t="shared" si="13"/>
        <v>Y</v>
      </c>
      <c r="F158" s="3" t="str">
        <f t="shared" si="14"/>
        <v>006</v>
      </c>
      <c r="G158" s="3" t="str">
        <f t="shared" si="15"/>
        <v>ST</v>
      </c>
      <c r="H158" s="3" t="str">
        <f t="shared" si="16"/>
        <v>000</v>
      </c>
      <c r="I158" s="3" t="str">
        <f t="shared" si="17"/>
        <v>00</v>
      </c>
      <c r="J158" s="3"/>
      <c r="K158" s="3"/>
      <c r="L158" s="3" t="s">
        <v>3309</v>
      </c>
      <c r="M158" s="3"/>
      <c r="N158" s="3"/>
      <c r="O158" s="3"/>
      <c r="P158" s="3"/>
      <c r="Q158" s="3"/>
      <c r="R158" s="3" t="s">
        <v>3685</v>
      </c>
      <c r="S158" s="15">
        <v>410</v>
      </c>
      <c r="T158" s="3"/>
    </row>
    <row r="159" spans="1:20" s="14" customFormat="1" x14ac:dyDescent="0.25">
      <c r="A159" s="4" t="s">
        <v>3686</v>
      </c>
      <c r="B159" s="4" t="s">
        <v>53</v>
      </c>
      <c r="C159" s="4" t="s">
        <v>3687</v>
      </c>
      <c r="D159" s="3" t="str">
        <f t="shared" si="12"/>
        <v>AMR</v>
      </c>
      <c r="E159" s="3" t="str">
        <f t="shared" si="13"/>
        <v>W</v>
      </c>
      <c r="F159" s="3" t="str">
        <f t="shared" si="14"/>
        <v>001</v>
      </c>
      <c r="G159" s="3" t="str">
        <f t="shared" si="15"/>
        <v>ST</v>
      </c>
      <c r="H159" s="3" t="str">
        <f t="shared" si="16"/>
        <v>000</v>
      </c>
      <c r="I159" s="3" t="str">
        <f t="shared" si="17"/>
        <v>00</v>
      </c>
      <c r="J159" s="3"/>
      <c r="K159" s="3"/>
      <c r="L159" s="3" t="s">
        <v>3309</v>
      </c>
      <c r="M159" s="3"/>
      <c r="N159" s="3"/>
      <c r="O159" s="3"/>
      <c r="P159" s="3"/>
      <c r="Q159" s="3"/>
      <c r="R159" s="3" t="s">
        <v>3688</v>
      </c>
      <c r="S159" s="15" t="s">
        <v>3247</v>
      </c>
      <c r="T159" s="3"/>
    </row>
    <row r="160" spans="1:20" s="14" customFormat="1" ht="30" x14ac:dyDescent="0.25">
      <c r="A160" s="4" t="s">
        <v>3689</v>
      </c>
      <c r="B160" s="4" t="s">
        <v>53</v>
      </c>
      <c r="C160" s="4" t="s">
        <v>3690</v>
      </c>
      <c r="D160" s="3" t="str">
        <f t="shared" si="12"/>
        <v>AMR</v>
      </c>
      <c r="E160" s="3" t="str">
        <f t="shared" si="13"/>
        <v>B</v>
      </c>
      <c r="F160" s="3" t="str">
        <f t="shared" si="14"/>
        <v>025</v>
      </c>
      <c r="G160" s="3" t="str">
        <f t="shared" si="15"/>
        <v>ST</v>
      </c>
      <c r="H160" s="3" t="str">
        <f t="shared" si="16"/>
        <v>000</v>
      </c>
      <c r="I160" s="3" t="str">
        <f t="shared" si="17"/>
        <v>00</v>
      </c>
      <c r="J160" s="3"/>
      <c r="K160" s="3"/>
      <c r="L160" s="3" t="s">
        <v>3309</v>
      </c>
      <c r="M160" s="3"/>
      <c r="N160" s="3"/>
      <c r="O160" s="3"/>
      <c r="P160" s="3"/>
      <c r="Q160" s="3"/>
      <c r="R160" s="3" t="s">
        <v>3691</v>
      </c>
      <c r="S160" s="15" t="s">
        <v>3247</v>
      </c>
      <c r="T160" s="3"/>
    </row>
    <row r="161" spans="1:20" s="14" customFormat="1" ht="30" x14ac:dyDescent="0.25">
      <c r="A161" s="4" t="s">
        <v>3692</v>
      </c>
      <c r="B161" s="4" t="s">
        <v>3693</v>
      </c>
      <c r="C161" s="4" t="s">
        <v>3694</v>
      </c>
      <c r="D161" s="3" t="str">
        <f t="shared" si="12"/>
        <v>CAB</v>
      </c>
      <c r="E161" s="3" t="str">
        <f t="shared" si="13"/>
        <v>C</v>
      </c>
      <c r="F161" s="3" t="str">
        <f t="shared" si="14"/>
        <v>204</v>
      </c>
      <c r="G161" s="3" t="str">
        <f t="shared" si="15"/>
        <v>PO</v>
      </c>
      <c r="H161" s="3" t="str">
        <f t="shared" si="16"/>
        <v>000</v>
      </c>
      <c r="I161" s="3" t="str">
        <f t="shared" si="17"/>
        <v>03</v>
      </c>
      <c r="J161" s="3"/>
      <c r="K161" s="3"/>
      <c r="L161" s="3" t="s">
        <v>3245</v>
      </c>
      <c r="M161" s="3"/>
      <c r="N161" s="3"/>
      <c r="O161" s="3"/>
      <c r="P161" s="3"/>
      <c r="Q161" s="3"/>
      <c r="R161" s="3" t="s">
        <v>3695</v>
      </c>
      <c r="S161" s="15" t="s">
        <v>3247</v>
      </c>
      <c r="T161" s="3"/>
    </row>
    <row r="162" spans="1:20" s="14" customFormat="1" ht="30" x14ac:dyDescent="0.25">
      <c r="A162" s="4" t="s">
        <v>3696</v>
      </c>
      <c r="B162" s="4" t="s">
        <v>3693</v>
      </c>
      <c r="C162" s="4" t="s">
        <v>3697</v>
      </c>
      <c r="D162" s="3" t="str">
        <f t="shared" si="12"/>
        <v>CAB</v>
      </c>
      <c r="E162" s="3" t="str">
        <f t="shared" si="13"/>
        <v>C</v>
      </c>
      <c r="F162" s="3" t="str">
        <f t="shared" si="14"/>
        <v>402</v>
      </c>
      <c r="G162" s="3" t="str">
        <f t="shared" si="15"/>
        <v>PO</v>
      </c>
      <c r="H162" s="3" t="str">
        <f t="shared" si="16"/>
        <v>000</v>
      </c>
      <c r="I162" s="3" t="str">
        <f t="shared" si="17"/>
        <v>03</v>
      </c>
      <c r="J162" s="3"/>
      <c r="K162" s="3"/>
      <c r="L162" s="3" t="s">
        <v>3245</v>
      </c>
      <c r="M162" s="3"/>
      <c r="N162" s="3"/>
      <c r="O162" s="3"/>
      <c r="P162" s="3"/>
      <c r="Q162" s="3"/>
      <c r="R162" s="3" t="s">
        <v>3698</v>
      </c>
      <c r="S162" s="15">
        <v>1255</v>
      </c>
      <c r="T162" s="3"/>
    </row>
    <row r="163" spans="1:20" s="14" customFormat="1" ht="30" x14ac:dyDescent="0.25">
      <c r="A163" s="4" t="s">
        <v>3699</v>
      </c>
      <c r="B163" s="4" t="s">
        <v>3693</v>
      </c>
      <c r="C163" s="4" t="s">
        <v>3700</v>
      </c>
      <c r="D163" s="3" t="str">
        <f t="shared" si="12"/>
        <v>CAB</v>
      </c>
      <c r="E163" s="3" t="str">
        <f t="shared" si="13"/>
        <v>C</v>
      </c>
      <c r="F163" s="3" t="str">
        <f t="shared" si="14"/>
        <v>602</v>
      </c>
      <c r="G163" s="3" t="str">
        <f t="shared" si="15"/>
        <v>PO</v>
      </c>
      <c r="H163" s="3" t="str">
        <f t="shared" si="16"/>
        <v>000</v>
      </c>
      <c r="I163" s="3" t="str">
        <f t="shared" si="17"/>
        <v>03</v>
      </c>
      <c r="J163" s="3"/>
      <c r="K163" s="3"/>
      <c r="L163" s="3" t="s">
        <v>3245</v>
      </c>
      <c r="M163" s="3"/>
      <c r="N163" s="3"/>
      <c r="O163" s="3"/>
      <c r="P163" s="3"/>
      <c r="Q163" s="3"/>
      <c r="R163" s="3" t="s">
        <v>3701</v>
      </c>
      <c r="S163" s="15" t="s">
        <v>3247</v>
      </c>
      <c r="T163" s="3"/>
    </row>
    <row r="164" spans="1:20" s="14" customFormat="1" ht="30" x14ac:dyDescent="0.25">
      <c r="A164" s="4" t="s">
        <v>3702</v>
      </c>
      <c r="B164" s="4" t="s">
        <v>3693</v>
      </c>
      <c r="C164" s="4" t="s">
        <v>3703</v>
      </c>
      <c r="D164" s="3" t="str">
        <f t="shared" si="12"/>
        <v>CAB</v>
      </c>
      <c r="E164" s="3" t="str">
        <f t="shared" si="13"/>
        <v>S</v>
      </c>
      <c r="F164" s="3" t="str">
        <f t="shared" si="14"/>
        <v>501</v>
      </c>
      <c r="G164" s="3" t="str">
        <f t="shared" si="15"/>
        <v>PO</v>
      </c>
      <c r="H164" s="3" t="str">
        <f t="shared" si="16"/>
        <v>000</v>
      </c>
      <c r="I164" s="3" t="str">
        <f t="shared" si="17"/>
        <v>03</v>
      </c>
      <c r="J164" s="3"/>
      <c r="K164" s="3"/>
      <c r="L164" s="3" t="s">
        <v>3245</v>
      </c>
      <c r="M164" s="3"/>
      <c r="N164" s="3"/>
      <c r="O164" s="3"/>
      <c r="P164" s="3"/>
      <c r="Q164" s="3"/>
      <c r="R164" s="3" t="s">
        <v>3704</v>
      </c>
      <c r="S164" s="15" t="s">
        <v>3247</v>
      </c>
      <c r="T164" s="3"/>
    </row>
    <row r="165" spans="1:20" s="14" customFormat="1" x14ac:dyDescent="0.25">
      <c r="A165" s="4" t="s">
        <v>3705</v>
      </c>
      <c r="B165" s="4" t="s">
        <v>3693</v>
      </c>
      <c r="C165" s="4" t="s">
        <v>3706</v>
      </c>
      <c r="D165" s="3" t="str">
        <f t="shared" si="12"/>
        <v>CAB</v>
      </c>
      <c r="E165" s="3" t="str">
        <f t="shared" si="13"/>
        <v>F</v>
      </c>
      <c r="F165" s="3" t="str">
        <f t="shared" si="14"/>
        <v>405</v>
      </c>
      <c r="G165" s="3" t="str">
        <f t="shared" si="15"/>
        <v>PO</v>
      </c>
      <c r="H165" s="3" t="str">
        <f t="shared" si="16"/>
        <v>000</v>
      </c>
      <c r="I165" s="3" t="str">
        <f t="shared" si="17"/>
        <v>07</v>
      </c>
      <c r="J165" s="3"/>
      <c r="K165" s="3"/>
      <c r="L165" s="3" t="s">
        <v>3309</v>
      </c>
      <c r="M165" s="3"/>
      <c r="N165" s="3"/>
      <c r="O165" s="3"/>
      <c r="P165" s="3"/>
      <c r="Q165" s="3"/>
      <c r="R165" s="3" t="s">
        <v>3707</v>
      </c>
      <c r="S165" s="15" t="s">
        <v>3247</v>
      </c>
      <c r="T165" s="3"/>
    </row>
    <row r="166" spans="1:20" s="14" customFormat="1" x14ac:dyDescent="0.25">
      <c r="A166" s="4" t="s">
        <v>3708</v>
      </c>
      <c r="B166" s="4" t="s">
        <v>3693</v>
      </c>
      <c r="C166" s="4" t="s">
        <v>3709</v>
      </c>
      <c r="D166" s="3" t="str">
        <f t="shared" si="12"/>
        <v>CAB</v>
      </c>
      <c r="E166" s="3" t="str">
        <f t="shared" si="13"/>
        <v>F</v>
      </c>
      <c r="F166" s="3" t="str">
        <f t="shared" si="14"/>
        <v>901</v>
      </c>
      <c r="G166" s="3" t="str">
        <f t="shared" si="15"/>
        <v>PO</v>
      </c>
      <c r="H166" s="3" t="str">
        <f t="shared" si="16"/>
        <v>000</v>
      </c>
      <c r="I166" s="3" t="str">
        <f t="shared" si="17"/>
        <v>07</v>
      </c>
      <c r="J166" s="3"/>
      <c r="K166" s="3"/>
      <c r="L166" s="3" t="s">
        <v>3309</v>
      </c>
      <c r="M166" s="3"/>
      <c r="N166" s="3"/>
      <c r="O166" s="3"/>
      <c r="P166" s="3"/>
      <c r="Q166" s="3"/>
      <c r="R166" s="3" t="s">
        <v>3710</v>
      </c>
      <c r="S166" s="15" t="s">
        <v>3247</v>
      </c>
      <c r="T166" s="3"/>
    </row>
    <row r="167" spans="1:20" s="14" customFormat="1" x14ac:dyDescent="0.25">
      <c r="A167" s="14" t="s">
        <v>3711</v>
      </c>
      <c r="B167" s="14" t="s">
        <v>3693</v>
      </c>
      <c r="C167" s="4" t="s">
        <v>3712</v>
      </c>
      <c r="D167" s="3" t="str">
        <f t="shared" si="12"/>
        <v>CAB</v>
      </c>
      <c r="E167" s="3" t="str">
        <f t="shared" si="13"/>
        <v>F</v>
      </c>
      <c r="F167" s="3" t="str">
        <f t="shared" si="14"/>
        <v>601</v>
      </c>
      <c r="G167" s="3" t="str">
        <f t="shared" si="15"/>
        <v>PO</v>
      </c>
      <c r="H167" s="3" t="str">
        <f t="shared" si="16"/>
        <v>000</v>
      </c>
      <c r="I167" s="3" t="str">
        <f t="shared" si="17"/>
        <v>07</v>
      </c>
      <c r="J167" s="3"/>
      <c r="K167" s="3"/>
      <c r="L167" s="14" t="s">
        <v>3309</v>
      </c>
      <c r="M167" s="3"/>
      <c r="N167" s="3"/>
      <c r="O167" s="3"/>
      <c r="P167" s="3"/>
      <c r="Q167" s="3"/>
      <c r="R167" s="3" t="s">
        <v>3713</v>
      </c>
      <c r="S167" s="15" t="s">
        <v>3247</v>
      </c>
      <c r="T167" s="3"/>
    </row>
    <row r="168" spans="1:20" x14ac:dyDescent="0.25">
      <c r="A168" s="14" t="s">
        <v>3714</v>
      </c>
      <c r="B168" s="14" t="s">
        <v>3693</v>
      </c>
      <c r="C168" s="4" t="s">
        <v>3715</v>
      </c>
      <c r="D168" s="3" t="str">
        <f t="shared" si="12"/>
        <v>CAB</v>
      </c>
      <c r="E168" s="3" t="str">
        <f t="shared" si="13"/>
        <v>F</v>
      </c>
      <c r="F168" s="3" t="str">
        <f t="shared" si="14"/>
        <v>203</v>
      </c>
      <c r="G168" s="3" t="str">
        <f t="shared" si="15"/>
        <v>PO</v>
      </c>
      <c r="H168" s="3" t="str">
        <f t="shared" si="16"/>
        <v>000</v>
      </c>
      <c r="I168" s="3" t="str">
        <f t="shared" si="17"/>
        <v>07</v>
      </c>
      <c r="L168" s="14" t="s">
        <v>3309</v>
      </c>
      <c r="R168" s="3" t="s">
        <v>3716</v>
      </c>
      <c r="S168" s="15">
        <v>50</v>
      </c>
    </row>
    <row r="169" spans="1:20" x14ac:dyDescent="0.25">
      <c r="A169" s="14" t="s">
        <v>3717</v>
      </c>
      <c r="B169" s="14" t="s">
        <v>3693</v>
      </c>
      <c r="C169" s="4" t="s">
        <v>3718</v>
      </c>
      <c r="D169" s="3" t="str">
        <f t="shared" si="12"/>
        <v>CAB</v>
      </c>
      <c r="E169" s="3" t="str">
        <f t="shared" si="13"/>
        <v>F</v>
      </c>
      <c r="F169" s="3" t="str">
        <f t="shared" si="14"/>
        <v>111</v>
      </c>
      <c r="G169" s="3" t="str">
        <f t="shared" si="15"/>
        <v>PO</v>
      </c>
      <c r="H169" s="3" t="str">
        <f t="shared" si="16"/>
        <v>000</v>
      </c>
      <c r="I169" s="3" t="str">
        <f t="shared" si="17"/>
        <v>07</v>
      </c>
      <c r="L169" s="14" t="s">
        <v>3309</v>
      </c>
      <c r="R169" s="3" t="s">
        <v>3719</v>
      </c>
      <c r="S169" s="15" t="s">
        <v>3247</v>
      </c>
    </row>
    <row r="170" spans="1:20" x14ac:dyDescent="0.25">
      <c r="A170" s="14" t="s">
        <v>3720</v>
      </c>
      <c r="B170" s="14" t="s">
        <v>3693</v>
      </c>
      <c r="C170" s="4" t="s">
        <v>3721</v>
      </c>
      <c r="D170" s="3" t="str">
        <f t="shared" si="12"/>
        <v>CAB</v>
      </c>
      <c r="E170" s="3" t="str">
        <f t="shared" si="13"/>
        <v>F</v>
      </c>
      <c r="F170" s="3" t="str">
        <f t="shared" si="14"/>
        <v>401</v>
      </c>
      <c r="G170" s="3" t="str">
        <f t="shared" si="15"/>
        <v>PO</v>
      </c>
      <c r="H170" s="3" t="str">
        <f t="shared" si="16"/>
        <v>000</v>
      </c>
      <c r="I170" s="3" t="str">
        <f t="shared" si="17"/>
        <v>07</v>
      </c>
      <c r="L170" s="14" t="s">
        <v>3309</v>
      </c>
      <c r="R170" s="3" t="s">
        <v>3722</v>
      </c>
      <c r="S170" s="15" t="s">
        <v>3247</v>
      </c>
    </row>
    <row r="171" spans="1:20" ht="30" x14ac:dyDescent="0.25">
      <c r="A171" s="4" t="s">
        <v>3723</v>
      </c>
      <c r="B171" s="4" t="s">
        <v>3693</v>
      </c>
      <c r="C171" s="4" t="s">
        <v>3724</v>
      </c>
      <c r="D171" s="3" t="str">
        <f t="shared" si="12"/>
        <v>CAB</v>
      </c>
      <c r="E171" s="3" t="str">
        <f t="shared" si="13"/>
        <v>S</v>
      </c>
      <c r="F171" s="3" t="str">
        <f t="shared" si="14"/>
        <v>504</v>
      </c>
      <c r="G171" s="3" t="str">
        <f t="shared" si="15"/>
        <v>PO</v>
      </c>
      <c r="H171" s="3" t="str">
        <f t="shared" si="16"/>
        <v>000</v>
      </c>
      <c r="I171" s="3" t="str">
        <f t="shared" si="17"/>
        <v>03</v>
      </c>
      <c r="L171" s="3" t="s">
        <v>3309</v>
      </c>
      <c r="R171" s="3" t="s">
        <v>3725</v>
      </c>
      <c r="S171" s="15" t="s">
        <v>3247</v>
      </c>
    </row>
    <row r="172" spans="1:20" x14ac:dyDescent="0.25">
      <c r="A172" s="4" t="s">
        <v>3726</v>
      </c>
      <c r="B172" s="4" t="s">
        <v>3693</v>
      </c>
      <c r="C172" s="4" t="s">
        <v>3727</v>
      </c>
      <c r="D172" s="3" t="str">
        <f t="shared" si="12"/>
        <v>CAB</v>
      </c>
      <c r="E172" s="3" t="str">
        <f t="shared" si="13"/>
        <v>F</v>
      </c>
      <c r="F172" s="3" t="str">
        <f t="shared" si="14"/>
        <v>402</v>
      </c>
      <c r="G172" s="3" t="str">
        <f t="shared" si="15"/>
        <v>PO</v>
      </c>
      <c r="H172" s="3" t="str">
        <f t="shared" si="16"/>
        <v>000</v>
      </c>
      <c r="I172" s="3" t="str">
        <f t="shared" si="17"/>
        <v>03</v>
      </c>
      <c r="L172" s="3" t="s">
        <v>3309</v>
      </c>
      <c r="R172" s="3" t="s">
        <v>3728</v>
      </c>
      <c r="S172" s="15" t="s">
        <v>3247</v>
      </c>
    </row>
    <row r="173" spans="1:20" x14ac:dyDescent="0.25">
      <c r="A173" s="4" t="s">
        <v>3729</v>
      </c>
      <c r="B173" s="4" t="s">
        <v>3693</v>
      </c>
      <c r="C173" s="4" t="s">
        <v>3730</v>
      </c>
      <c r="D173" s="3" t="str">
        <f t="shared" si="12"/>
        <v>CAB</v>
      </c>
      <c r="E173" s="3" t="str">
        <f t="shared" si="13"/>
        <v>F</v>
      </c>
      <c r="F173" s="3" t="str">
        <f t="shared" si="14"/>
        <v>602</v>
      </c>
      <c r="G173" s="3" t="str">
        <f t="shared" si="15"/>
        <v>PO</v>
      </c>
      <c r="H173" s="3" t="str">
        <f t="shared" si="16"/>
        <v>000</v>
      </c>
      <c r="I173" s="3" t="str">
        <f t="shared" si="17"/>
        <v>03</v>
      </c>
      <c r="L173" s="3" t="s">
        <v>3309</v>
      </c>
      <c r="R173" s="3" t="s">
        <v>3731</v>
      </c>
      <c r="S173" s="15" t="s">
        <v>3247</v>
      </c>
    </row>
    <row r="174" spans="1:20" x14ac:dyDescent="0.25">
      <c r="A174" s="4" t="s">
        <v>3732</v>
      </c>
      <c r="B174" s="4" t="s">
        <v>3693</v>
      </c>
      <c r="C174" s="4" t="s">
        <v>3733</v>
      </c>
      <c r="D174" s="3" t="str">
        <f t="shared" si="12"/>
        <v>CAB</v>
      </c>
      <c r="E174" s="3" t="str">
        <f t="shared" si="13"/>
        <v>F</v>
      </c>
      <c r="F174" s="3" t="str">
        <f t="shared" si="14"/>
        <v>902</v>
      </c>
      <c r="G174" s="3" t="str">
        <f t="shared" si="15"/>
        <v>PO</v>
      </c>
      <c r="H174" s="3" t="str">
        <f t="shared" si="16"/>
        <v>000</v>
      </c>
      <c r="I174" s="3" t="str">
        <f t="shared" si="17"/>
        <v>03</v>
      </c>
      <c r="L174" s="3" t="s">
        <v>3309</v>
      </c>
      <c r="R174" s="3" t="s">
        <v>3734</v>
      </c>
      <c r="S174" s="15" t="s">
        <v>3247</v>
      </c>
    </row>
    <row r="175" spans="1:20" x14ac:dyDescent="0.25">
      <c r="A175" s="4" t="s">
        <v>3735</v>
      </c>
      <c r="B175" s="4" t="s">
        <v>3693</v>
      </c>
      <c r="C175" s="4" t="s">
        <v>3736</v>
      </c>
      <c r="D175" s="3" t="str">
        <f t="shared" si="12"/>
        <v>CAB</v>
      </c>
      <c r="E175" s="3" t="str">
        <f t="shared" si="13"/>
        <v>F</v>
      </c>
      <c r="F175" s="3" t="str">
        <f t="shared" si="14"/>
        <v>302</v>
      </c>
      <c r="G175" s="3" t="str">
        <f t="shared" si="15"/>
        <v>PO</v>
      </c>
      <c r="H175" s="3" t="str">
        <f t="shared" si="16"/>
        <v>000</v>
      </c>
      <c r="I175" s="3" t="str">
        <f t="shared" si="17"/>
        <v>03</v>
      </c>
      <c r="L175" s="3" t="s">
        <v>3309</v>
      </c>
      <c r="R175" s="3" t="s">
        <v>3737</v>
      </c>
      <c r="S175" s="15" t="s">
        <v>3247</v>
      </c>
    </row>
    <row r="176" spans="1:20" x14ac:dyDescent="0.25">
      <c r="A176" s="4" t="s">
        <v>3738</v>
      </c>
      <c r="B176" s="4" t="s">
        <v>3693</v>
      </c>
      <c r="C176" s="4" t="s">
        <v>3739</v>
      </c>
      <c r="D176" s="3" t="str">
        <f t="shared" si="12"/>
        <v>CAB</v>
      </c>
      <c r="E176" s="3" t="str">
        <f t="shared" si="13"/>
        <v>F</v>
      </c>
      <c r="F176" s="3" t="str">
        <f t="shared" si="14"/>
        <v>901</v>
      </c>
      <c r="G176" s="3" t="str">
        <f t="shared" si="15"/>
        <v>PO</v>
      </c>
      <c r="H176" s="3" t="str">
        <f t="shared" si="16"/>
        <v>000</v>
      </c>
      <c r="I176" s="3" t="str">
        <f t="shared" si="17"/>
        <v>03</v>
      </c>
      <c r="L176" s="3" t="s">
        <v>3309</v>
      </c>
      <c r="R176" s="3" t="s">
        <v>3740</v>
      </c>
      <c r="S176" s="15">
        <v>400</v>
      </c>
    </row>
    <row r="177" spans="1:19" x14ac:dyDescent="0.25">
      <c r="A177" s="4" t="s">
        <v>3741</v>
      </c>
      <c r="B177" s="4" t="s">
        <v>3693</v>
      </c>
      <c r="C177" s="4" t="s">
        <v>3742</v>
      </c>
      <c r="D177" s="3" t="str">
        <f t="shared" si="12"/>
        <v>CAB</v>
      </c>
      <c r="E177" s="3" t="str">
        <f t="shared" si="13"/>
        <v>F</v>
      </c>
      <c r="F177" s="3" t="str">
        <f t="shared" si="14"/>
        <v>204</v>
      </c>
      <c r="G177" s="3" t="str">
        <f t="shared" si="15"/>
        <v>PO</v>
      </c>
      <c r="H177" s="3" t="str">
        <f t="shared" si="16"/>
        <v>000</v>
      </c>
      <c r="I177" s="3" t="str">
        <f t="shared" si="17"/>
        <v>03</v>
      </c>
      <c r="L177" s="3" t="s">
        <v>3309</v>
      </c>
      <c r="R177" s="3" t="s">
        <v>3743</v>
      </c>
      <c r="S177" s="15" t="s">
        <v>3247</v>
      </c>
    </row>
    <row r="178" spans="1:19" x14ac:dyDescent="0.25">
      <c r="A178" s="4" t="s">
        <v>3744</v>
      </c>
      <c r="B178" s="4" t="s">
        <v>3693</v>
      </c>
      <c r="C178" s="4" t="s">
        <v>3745</v>
      </c>
      <c r="D178" s="3" t="str">
        <f t="shared" si="12"/>
        <v>CAB</v>
      </c>
      <c r="E178" s="3" t="str">
        <f t="shared" si="13"/>
        <v>F</v>
      </c>
      <c r="F178" s="3" t="str">
        <f t="shared" si="14"/>
        <v>110</v>
      </c>
      <c r="G178" s="3" t="str">
        <f t="shared" si="15"/>
        <v>LA</v>
      </c>
      <c r="H178" s="3" t="str">
        <f t="shared" si="16"/>
        <v>000</v>
      </c>
      <c r="I178" s="3" t="str">
        <f t="shared" si="17"/>
        <v>11</v>
      </c>
      <c r="L178" s="3" t="s">
        <v>3309</v>
      </c>
      <c r="R178" s="3" t="s">
        <v>3746</v>
      </c>
      <c r="S178" s="15" t="s">
        <v>3247</v>
      </c>
    </row>
    <row r="179" spans="1:19" x14ac:dyDescent="0.25">
      <c r="A179" s="4" t="s">
        <v>3747</v>
      </c>
      <c r="B179" s="4" t="s">
        <v>3693</v>
      </c>
      <c r="C179" s="4" t="s">
        <v>3748</v>
      </c>
      <c r="D179" s="3" t="str">
        <f t="shared" si="12"/>
        <v>CAB</v>
      </c>
      <c r="E179" s="3" t="str">
        <f t="shared" si="13"/>
        <v>F</v>
      </c>
      <c r="F179" s="3" t="str">
        <f t="shared" si="14"/>
        <v>305</v>
      </c>
      <c r="G179" s="3" t="str">
        <f t="shared" si="15"/>
        <v>PO</v>
      </c>
      <c r="H179" s="3" t="str">
        <f t="shared" si="16"/>
        <v>000</v>
      </c>
      <c r="I179" s="3" t="str">
        <f t="shared" si="17"/>
        <v>07</v>
      </c>
      <c r="L179" s="3" t="s">
        <v>3309</v>
      </c>
      <c r="R179" s="3" t="s">
        <v>3749</v>
      </c>
      <c r="S179" s="15" t="s">
        <v>3247</v>
      </c>
    </row>
    <row r="180" spans="1:19" x14ac:dyDescent="0.25">
      <c r="A180" s="4" t="s">
        <v>3750</v>
      </c>
      <c r="B180" s="4" t="s">
        <v>3693</v>
      </c>
      <c r="C180" s="4" t="s">
        <v>3751</v>
      </c>
      <c r="D180" s="3" t="str">
        <f t="shared" si="12"/>
        <v>CAB</v>
      </c>
      <c r="E180" s="3" t="str">
        <f t="shared" si="13"/>
        <v>O</v>
      </c>
      <c r="F180" s="3" t="str">
        <f t="shared" si="14"/>
        <v>001</v>
      </c>
      <c r="G180" s="3" t="str">
        <f t="shared" si="15"/>
        <v>FI</v>
      </c>
      <c r="H180" s="3" t="str">
        <f t="shared" si="16"/>
        <v>000</v>
      </c>
      <c r="I180" s="3" t="str">
        <f t="shared" si="17"/>
        <v>08</v>
      </c>
      <c r="L180" s="3" t="s">
        <v>3309</v>
      </c>
      <c r="R180" s="3" t="s">
        <v>3752</v>
      </c>
      <c r="S180" s="15" t="s">
        <v>3247</v>
      </c>
    </row>
    <row r="181" spans="1:19" x14ac:dyDescent="0.25">
      <c r="A181" s="4" t="s">
        <v>3753</v>
      </c>
      <c r="B181" s="4" t="s">
        <v>3693</v>
      </c>
      <c r="C181" s="4" t="s">
        <v>3754</v>
      </c>
      <c r="D181" s="3" t="str">
        <f t="shared" si="12"/>
        <v>CAB</v>
      </c>
      <c r="E181" s="3" t="str">
        <f t="shared" si="13"/>
        <v>O</v>
      </c>
      <c r="F181" s="3" t="str">
        <f t="shared" si="14"/>
        <v>002</v>
      </c>
      <c r="G181" s="3" t="str">
        <f t="shared" si="15"/>
        <v>FI</v>
      </c>
      <c r="H181" s="3" t="str">
        <f t="shared" si="16"/>
        <v>000</v>
      </c>
      <c r="I181" s="3" t="str">
        <f t="shared" si="17"/>
        <v>08</v>
      </c>
      <c r="L181" s="3" t="s">
        <v>3309</v>
      </c>
      <c r="R181" s="3" t="s">
        <v>3755</v>
      </c>
      <c r="S181" s="15" t="s">
        <v>3247</v>
      </c>
    </row>
    <row r="182" spans="1:19" x14ac:dyDescent="0.25">
      <c r="A182" s="4" t="s">
        <v>3756</v>
      </c>
      <c r="B182" s="4" t="s">
        <v>3693</v>
      </c>
      <c r="C182" s="4" t="s">
        <v>3757</v>
      </c>
      <c r="D182" s="3" t="str">
        <f t="shared" si="12"/>
        <v>CAB</v>
      </c>
      <c r="E182" s="3" t="str">
        <f t="shared" si="13"/>
        <v>F</v>
      </c>
      <c r="F182" s="3" t="str">
        <f t="shared" si="14"/>
        <v>102</v>
      </c>
      <c r="G182" s="3" t="str">
        <f t="shared" si="15"/>
        <v>PO</v>
      </c>
      <c r="H182" s="3" t="str">
        <f t="shared" si="16"/>
        <v>000</v>
      </c>
      <c r="I182" s="3" t="str">
        <f t="shared" si="17"/>
        <v>03</v>
      </c>
      <c r="L182" s="3" t="s">
        <v>3309</v>
      </c>
      <c r="R182" s="3" t="s">
        <v>3758</v>
      </c>
      <c r="S182" s="15" t="s">
        <v>3247</v>
      </c>
    </row>
    <row r="183" spans="1:19" x14ac:dyDescent="0.25">
      <c r="A183" s="4" t="s">
        <v>3759</v>
      </c>
      <c r="B183" s="4" t="s">
        <v>3693</v>
      </c>
      <c r="C183" s="4" t="s">
        <v>3759</v>
      </c>
      <c r="D183" s="3" t="str">
        <f t="shared" si="12"/>
        <v>CAB</v>
      </c>
      <c r="E183" s="3" t="str">
        <f t="shared" si="13"/>
        <v>F</v>
      </c>
      <c r="F183" s="3" t="str">
        <f t="shared" si="14"/>
        <v>602</v>
      </c>
      <c r="G183" s="3" t="str">
        <f t="shared" si="15"/>
        <v>PO</v>
      </c>
      <c r="H183" s="3" t="str">
        <f t="shared" si="16"/>
        <v>000</v>
      </c>
      <c r="I183" s="3" t="str">
        <f t="shared" si="17"/>
        <v>07</v>
      </c>
      <c r="L183" s="3" t="s">
        <v>3309</v>
      </c>
      <c r="R183" s="3" t="s">
        <v>3760</v>
      </c>
      <c r="S183" s="15" t="s">
        <v>3247</v>
      </c>
    </row>
    <row r="184" spans="1:19" ht="30" x14ac:dyDescent="0.25">
      <c r="A184" s="4" t="s">
        <v>3761</v>
      </c>
      <c r="B184" s="4" t="s">
        <v>3693</v>
      </c>
      <c r="C184" s="4" t="s">
        <v>3762</v>
      </c>
      <c r="D184" s="3" t="str">
        <f t="shared" si="12"/>
        <v>CAB</v>
      </c>
      <c r="E184" s="3" t="str">
        <f t="shared" si="13"/>
        <v>I</v>
      </c>
      <c r="F184" s="3" t="str">
        <f t="shared" si="14"/>
        <v>401</v>
      </c>
      <c r="G184" s="3" t="str">
        <f t="shared" si="15"/>
        <v>PO</v>
      </c>
      <c r="H184" s="3" t="str">
        <f t="shared" si="16"/>
        <v>000</v>
      </c>
      <c r="I184" s="3" t="str">
        <f t="shared" si="17"/>
        <v>07</v>
      </c>
      <c r="L184" s="3" t="s">
        <v>3309</v>
      </c>
      <c r="R184" s="3" t="s">
        <v>3763</v>
      </c>
      <c r="S184" s="15" t="s">
        <v>3247</v>
      </c>
    </row>
    <row r="185" spans="1:19" ht="30" x14ac:dyDescent="0.25">
      <c r="A185" s="4" t="s">
        <v>3764</v>
      </c>
      <c r="B185" s="4" t="s">
        <v>3693</v>
      </c>
      <c r="C185" s="4" t="s">
        <v>3765</v>
      </c>
      <c r="D185" s="3" t="str">
        <f t="shared" si="12"/>
        <v>CAB</v>
      </c>
      <c r="E185" s="3" t="str">
        <f t="shared" si="13"/>
        <v>I</v>
      </c>
      <c r="F185" s="3" t="str">
        <f t="shared" si="14"/>
        <v>505</v>
      </c>
      <c r="G185" s="3" t="str">
        <f t="shared" si="15"/>
        <v>PO</v>
      </c>
      <c r="H185" s="3" t="str">
        <f t="shared" si="16"/>
        <v>000</v>
      </c>
      <c r="I185" s="3" t="str">
        <f t="shared" si="17"/>
        <v>07</v>
      </c>
      <c r="L185" s="3" t="s">
        <v>3309</v>
      </c>
      <c r="R185" s="3" t="s">
        <v>3766</v>
      </c>
      <c r="S185" s="15" t="s">
        <v>3247</v>
      </c>
    </row>
    <row r="186" spans="1:19" ht="30" x14ac:dyDescent="0.25">
      <c r="A186" s="4" t="s">
        <v>3767</v>
      </c>
      <c r="B186" s="4" t="s">
        <v>3693</v>
      </c>
      <c r="C186" s="4" t="s">
        <v>3768</v>
      </c>
      <c r="D186" s="3" t="str">
        <f t="shared" si="12"/>
        <v>CAB</v>
      </c>
      <c r="E186" s="3" t="str">
        <f t="shared" si="13"/>
        <v>I</v>
      </c>
      <c r="F186" s="3" t="str">
        <f t="shared" si="14"/>
        <v>204</v>
      </c>
      <c r="G186" s="3" t="str">
        <f t="shared" si="15"/>
        <v>PO</v>
      </c>
      <c r="H186" s="3" t="str">
        <f t="shared" si="16"/>
        <v>000</v>
      </c>
      <c r="I186" s="3" t="str">
        <f t="shared" si="17"/>
        <v>07</v>
      </c>
      <c r="L186" s="3" t="s">
        <v>3309</v>
      </c>
      <c r="R186" s="3" t="s">
        <v>3769</v>
      </c>
      <c r="S186" s="15" t="s">
        <v>3247</v>
      </c>
    </row>
    <row r="187" spans="1:19" ht="30" x14ac:dyDescent="0.25">
      <c r="A187" s="4" t="s">
        <v>3770</v>
      </c>
      <c r="B187" s="4" t="s">
        <v>3693</v>
      </c>
      <c r="C187" s="4" t="s">
        <v>3771</v>
      </c>
      <c r="D187" s="3" t="str">
        <f t="shared" si="12"/>
        <v>CAB</v>
      </c>
      <c r="E187" s="3" t="str">
        <f t="shared" si="13"/>
        <v>C</v>
      </c>
      <c r="F187" s="3" t="str">
        <f t="shared" si="14"/>
        <v>404</v>
      </c>
      <c r="G187" s="3" t="str">
        <f t="shared" si="15"/>
        <v>PO</v>
      </c>
      <c r="H187" s="3" t="str">
        <f t="shared" si="16"/>
        <v>000</v>
      </c>
      <c r="I187" s="3" t="str">
        <f t="shared" si="17"/>
        <v>06</v>
      </c>
      <c r="L187" s="3" t="s">
        <v>3309</v>
      </c>
      <c r="R187" s="3" t="s">
        <v>3772</v>
      </c>
      <c r="S187" s="15" t="s">
        <v>3247</v>
      </c>
    </row>
    <row r="188" spans="1:19" x14ac:dyDescent="0.25">
      <c r="A188" s="4" t="s">
        <v>3773</v>
      </c>
      <c r="B188" s="4" t="s">
        <v>3693</v>
      </c>
      <c r="C188" s="4" t="s">
        <v>3774</v>
      </c>
      <c r="D188" s="3" t="str">
        <f t="shared" si="12"/>
        <v>CAB</v>
      </c>
      <c r="E188" s="3" t="str">
        <f t="shared" si="13"/>
        <v>T</v>
      </c>
      <c r="F188" s="3" t="str">
        <f t="shared" si="14"/>
        <v>203</v>
      </c>
      <c r="G188" s="3" t="str">
        <f t="shared" si="15"/>
        <v>PO</v>
      </c>
      <c r="H188" s="3" t="str">
        <f t="shared" si="16"/>
        <v>000</v>
      </c>
      <c r="I188" s="3" t="str">
        <f t="shared" si="17"/>
        <v>07</v>
      </c>
      <c r="L188" s="3" t="s">
        <v>3309</v>
      </c>
      <c r="R188" s="3" t="s">
        <v>3775</v>
      </c>
      <c r="S188" s="15" t="s">
        <v>3247</v>
      </c>
    </row>
    <row r="189" spans="1:19" x14ac:dyDescent="0.25">
      <c r="A189" s="4" t="s">
        <v>3776</v>
      </c>
      <c r="B189" s="4" t="s">
        <v>3693</v>
      </c>
      <c r="C189" s="4" t="s">
        <v>3777</v>
      </c>
      <c r="D189" s="3" t="str">
        <f t="shared" si="12"/>
        <v>CAB</v>
      </c>
      <c r="E189" s="3" t="str">
        <f t="shared" si="13"/>
        <v>F</v>
      </c>
      <c r="F189" s="3" t="str">
        <f t="shared" si="14"/>
        <v>207</v>
      </c>
      <c r="G189" s="3" t="str">
        <f t="shared" si="15"/>
        <v>PO</v>
      </c>
      <c r="H189" s="3" t="str">
        <f t="shared" si="16"/>
        <v>000</v>
      </c>
      <c r="I189" s="3" t="str">
        <f t="shared" si="17"/>
        <v>07</v>
      </c>
      <c r="L189" s="3" t="s">
        <v>3309</v>
      </c>
      <c r="R189" s="3" t="s">
        <v>3778</v>
      </c>
      <c r="S189" s="15" t="s">
        <v>3247</v>
      </c>
    </row>
    <row r="190" spans="1:19" x14ac:dyDescent="0.25">
      <c r="A190" s="4" t="s">
        <v>3779</v>
      </c>
      <c r="B190" s="4" t="s">
        <v>3693</v>
      </c>
      <c r="C190" s="4" t="s">
        <v>3780</v>
      </c>
      <c r="D190" s="3" t="str">
        <f t="shared" si="12"/>
        <v>CAB</v>
      </c>
      <c r="E190" s="3" t="str">
        <f t="shared" si="13"/>
        <v>F</v>
      </c>
      <c r="F190" s="3" t="str">
        <f t="shared" si="14"/>
        <v>403</v>
      </c>
      <c r="G190" s="3" t="str">
        <f t="shared" si="15"/>
        <v>KE</v>
      </c>
      <c r="H190" s="3" t="str">
        <f t="shared" si="16"/>
        <v>000</v>
      </c>
      <c r="I190" s="3" t="str">
        <f t="shared" si="17"/>
        <v>03</v>
      </c>
      <c r="L190" s="3" t="s">
        <v>3309</v>
      </c>
      <c r="R190" s="3" t="s">
        <v>3781</v>
      </c>
      <c r="S190" s="15" t="s">
        <v>3247</v>
      </c>
    </row>
    <row r="191" spans="1:19" x14ac:dyDescent="0.25">
      <c r="A191" s="4" t="s">
        <v>3782</v>
      </c>
      <c r="B191" s="4" t="s">
        <v>3693</v>
      </c>
      <c r="C191" s="4" t="s">
        <v>3783</v>
      </c>
      <c r="D191" s="3" t="str">
        <f t="shared" si="12"/>
        <v>CAB</v>
      </c>
      <c r="E191" s="3" t="str">
        <f t="shared" si="13"/>
        <v>F</v>
      </c>
      <c r="F191" s="3" t="str">
        <f t="shared" si="14"/>
        <v>303</v>
      </c>
      <c r="G191" s="3" t="str">
        <f t="shared" si="15"/>
        <v>KE</v>
      </c>
      <c r="H191" s="3" t="str">
        <f t="shared" si="16"/>
        <v>000</v>
      </c>
      <c r="I191" s="3" t="str">
        <f t="shared" si="17"/>
        <v>03</v>
      </c>
      <c r="L191" s="3" t="s">
        <v>3309</v>
      </c>
      <c r="R191" s="3" t="s">
        <v>3784</v>
      </c>
      <c r="S191" s="15" t="s">
        <v>3247</v>
      </c>
    </row>
    <row r="192" spans="1:19" x14ac:dyDescent="0.25">
      <c r="A192" s="4" t="s">
        <v>3785</v>
      </c>
      <c r="B192" s="4" t="s">
        <v>3693</v>
      </c>
      <c r="C192" s="4" t="s">
        <v>3786</v>
      </c>
      <c r="D192" s="3" t="str">
        <f t="shared" si="12"/>
        <v>CAB</v>
      </c>
      <c r="E192" s="3" t="str">
        <f t="shared" si="13"/>
        <v>F</v>
      </c>
      <c r="F192" s="3" t="str">
        <f t="shared" si="14"/>
        <v>301</v>
      </c>
      <c r="G192" s="3" t="str">
        <f t="shared" si="15"/>
        <v>KE</v>
      </c>
      <c r="H192" s="3" t="str">
        <f t="shared" si="16"/>
        <v>000</v>
      </c>
      <c r="I192" s="3" t="str">
        <f t="shared" si="17"/>
        <v>03</v>
      </c>
      <c r="L192" s="3" t="s">
        <v>3309</v>
      </c>
      <c r="R192" s="3" t="s">
        <v>3787</v>
      </c>
      <c r="S192" s="15" t="s">
        <v>3247</v>
      </c>
    </row>
    <row r="193" spans="1:19" x14ac:dyDescent="0.25">
      <c r="A193" s="4" t="s">
        <v>3788</v>
      </c>
      <c r="B193" s="4" t="s">
        <v>3693</v>
      </c>
      <c r="C193" s="4" t="s">
        <v>3789</v>
      </c>
      <c r="D193" s="3" t="str">
        <f t="shared" si="12"/>
        <v>CAB</v>
      </c>
      <c r="E193" s="3" t="str">
        <f t="shared" si="13"/>
        <v>F</v>
      </c>
      <c r="F193" s="3" t="str">
        <f t="shared" si="14"/>
        <v>901</v>
      </c>
      <c r="G193" s="3" t="str">
        <f t="shared" si="15"/>
        <v>KE</v>
      </c>
      <c r="H193" s="3" t="str">
        <f t="shared" si="16"/>
        <v>000</v>
      </c>
      <c r="I193" s="3" t="str">
        <f t="shared" si="17"/>
        <v>03</v>
      </c>
      <c r="L193" s="3" t="s">
        <v>3309</v>
      </c>
      <c r="R193" s="3" t="s">
        <v>3790</v>
      </c>
      <c r="S193" s="15" t="s">
        <v>3247</v>
      </c>
    </row>
    <row r="194" spans="1:19" x14ac:dyDescent="0.25">
      <c r="A194" s="4" t="s">
        <v>3791</v>
      </c>
      <c r="B194" s="4" t="s">
        <v>3693</v>
      </c>
      <c r="C194" s="4" t="s">
        <v>3792</v>
      </c>
      <c r="D194" s="3" t="str">
        <f t="shared" ref="D194:D257" si="18">LEFT(A194,3)</f>
        <v>CAB</v>
      </c>
      <c r="E194" s="3" t="str">
        <f t="shared" ref="E194:E257" si="19">MID(A194,4,1)</f>
        <v>I</v>
      </c>
      <c r="F194" s="3" t="str">
        <f t="shared" ref="F194:F257" si="20">MID(A194,5,3)</f>
        <v>505</v>
      </c>
      <c r="G194" s="3" t="str">
        <f t="shared" ref="G194:G257" si="21">MID(A194,8,2)</f>
        <v>KE</v>
      </c>
      <c r="H194" s="3" t="str">
        <f t="shared" ref="H194:H257" si="22">MID(A194,10,3)</f>
        <v>000</v>
      </c>
      <c r="I194" s="3" t="str">
        <f t="shared" ref="I194:I257" si="23">MID(A194,13,2)</f>
        <v>07</v>
      </c>
      <c r="L194" s="3" t="s">
        <v>3309</v>
      </c>
      <c r="R194" s="3" t="s">
        <v>3793</v>
      </c>
      <c r="S194" s="15" t="s">
        <v>3247</v>
      </c>
    </row>
    <row r="195" spans="1:19" x14ac:dyDescent="0.25">
      <c r="A195" s="4" t="s">
        <v>3794</v>
      </c>
      <c r="B195" s="4" t="s">
        <v>3693</v>
      </c>
      <c r="C195" s="4" t="s">
        <v>3795</v>
      </c>
      <c r="D195" s="3" t="str">
        <f t="shared" si="18"/>
        <v>CAB</v>
      </c>
      <c r="E195" s="3" t="str">
        <f t="shared" si="19"/>
        <v>I</v>
      </c>
      <c r="F195" s="3" t="str">
        <f t="shared" si="20"/>
        <v>506</v>
      </c>
      <c r="G195" s="3" t="str">
        <f t="shared" si="21"/>
        <v>PO</v>
      </c>
      <c r="H195" s="3" t="str">
        <f t="shared" si="22"/>
        <v>000</v>
      </c>
      <c r="I195" s="3" t="str">
        <f t="shared" si="23"/>
        <v>07</v>
      </c>
      <c r="L195" s="3" t="s">
        <v>3309</v>
      </c>
      <c r="R195" s="3" t="s">
        <v>3796</v>
      </c>
      <c r="S195" s="15" t="s">
        <v>3247</v>
      </c>
    </row>
    <row r="196" spans="1:19" x14ac:dyDescent="0.25">
      <c r="A196" s="4" t="s">
        <v>3797</v>
      </c>
      <c r="B196" s="4" t="s">
        <v>3693</v>
      </c>
      <c r="C196" s="4" t="s">
        <v>3798</v>
      </c>
      <c r="D196" s="3" t="str">
        <f t="shared" si="18"/>
        <v>CAB</v>
      </c>
      <c r="E196" s="3" t="str">
        <f t="shared" si="19"/>
        <v>F</v>
      </c>
      <c r="F196" s="3" t="str">
        <f t="shared" si="20"/>
        <v>201</v>
      </c>
      <c r="G196" s="3" t="str">
        <f t="shared" si="21"/>
        <v>PO</v>
      </c>
      <c r="H196" s="3" t="str">
        <f t="shared" si="22"/>
        <v>000</v>
      </c>
      <c r="I196" s="3" t="str">
        <f t="shared" si="23"/>
        <v>01</v>
      </c>
      <c r="L196" s="3" t="s">
        <v>3309</v>
      </c>
      <c r="R196" s="3" t="s">
        <v>3799</v>
      </c>
      <c r="S196" s="15" t="s">
        <v>3247</v>
      </c>
    </row>
    <row r="197" spans="1:19" ht="30" x14ac:dyDescent="0.25">
      <c r="A197" s="4" t="s">
        <v>3800</v>
      </c>
      <c r="B197" s="4" t="s">
        <v>3693</v>
      </c>
      <c r="C197" s="4" t="s">
        <v>3801</v>
      </c>
      <c r="D197" s="3" t="str">
        <f t="shared" si="18"/>
        <v>CAB</v>
      </c>
      <c r="E197" s="3" t="str">
        <f t="shared" si="19"/>
        <v>F</v>
      </c>
      <c r="F197" s="3" t="str">
        <f t="shared" si="20"/>
        <v>902</v>
      </c>
      <c r="G197" s="3" t="str">
        <f t="shared" si="21"/>
        <v>KE</v>
      </c>
      <c r="H197" s="3" t="str">
        <f t="shared" si="22"/>
        <v>000</v>
      </c>
      <c r="I197" s="3" t="str">
        <f t="shared" si="23"/>
        <v>01</v>
      </c>
      <c r="L197" s="3" t="s">
        <v>3309</v>
      </c>
      <c r="R197" s="3" t="s">
        <v>3802</v>
      </c>
      <c r="S197" s="15" t="s">
        <v>3247</v>
      </c>
    </row>
    <row r="198" spans="1:19" ht="30" x14ac:dyDescent="0.25">
      <c r="A198" s="4" t="s">
        <v>3803</v>
      </c>
      <c r="B198" s="4" t="s">
        <v>3693</v>
      </c>
      <c r="C198" s="4" t="s">
        <v>3804</v>
      </c>
      <c r="D198" s="3" t="str">
        <f t="shared" si="18"/>
        <v>CAB</v>
      </c>
      <c r="E198" s="3" t="str">
        <f t="shared" si="19"/>
        <v>F</v>
      </c>
      <c r="F198" s="3" t="str">
        <f t="shared" si="20"/>
        <v>402</v>
      </c>
      <c r="G198" s="3" t="str">
        <f t="shared" si="21"/>
        <v>KE</v>
      </c>
      <c r="H198" s="3" t="str">
        <f t="shared" si="22"/>
        <v>000</v>
      </c>
      <c r="I198" s="3" t="str">
        <f t="shared" si="23"/>
        <v>01</v>
      </c>
      <c r="L198" s="3" t="s">
        <v>3309</v>
      </c>
      <c r="R198" s="3" t="s">
        <v>3805</v>
      </c>
      <c r="S198" s="15" t="s">
        <v>3247</v>
      </c>
    </row>
    <row r="199" spans="1:19" ht="30" x14ac:dyDescent="0.25">
      <c r="A199" s="4" t="s">
        <v>3806</v>
      </c>
      <c r="B199" s="4" t="s">
        <v>3693</v>
      </c>
      <c r="C199" s="4" t="s">
        <v>3807</v>
      </c>
      <c r="D199" s="3" t="str">
        <f t="shared" si="18"/>
        <v>CAB</v>
      </c>
      <c r="E199" s="3" t="str">
        <f t="shared" si="19"/>
        <v>F</v>
      </c>
      <c r="F199" s="3" t="str">
        <f t="shared" si="20"/>
        <v>204</v>
      </c>
      <c r="G199" s="3" t="str">
        <f t="shared" si="21"/>
        <v>KE</v>
      </c>
      <c r="H199" s="3" t="str">
        <f t="shared" si="22"/>
        <v>000</v>
      </c>
      <c r="I199" s="3" t="str">
        <f t="shared" si="23"/>
        <v>01</v>
      </c>
      <c r="L199" s="3" t="s">
        <v>3309</v>
      </c>
      <c r="R199" s="3" t="s">
        <v>3808</v>
      </c>
      <c r="S199" s="15" t="s">
        <v>3247</v>
      </c>
    </row>
    <row r="200" spans="1:19" x14ac:dyDescent="0.25">
      <c r="A200" s="4" t="s">
        <v>3809</v>
      </c>
      <c r="B200" s="4" t="s">
        <v>3693</v>
      </c>
      <c r="C200" s="4" t="s">
        <v>3810</v>
      </c>
      <c r="D200" s="3" t="str">
        <f t="shared" si="18"/>
        <v>CAB</v>
      </c>
      <c r="E200" s="3" t="str">
        <f t="shared" si="19"/>
        <v>F</v>
      </c>
      <c r="F200" s="3" t="str">
        <f t="shared" si="20"/>
        <v>406</v>
      </c>
      <c r="G200" s="3" t="str">
        <f t="shared" si="21"/>
        <v>NA</v>
      </c>
      <c r="H200" s="3" t="str">
        <f t="shared" si="22"/>
        <v>000</v>
      </c>
      <c r="I200" s="3" t="str">
        <f t="shared" si="23"/>
        <v>01</v>
      </c>
      <c r="L200" s="3" t="s">
        <v>3309</v>
      </c>
      <c r="R200" s="3" t="s">
        <v>3811</v>
      </c>
      <c r="S200" s="15" t="s">
        <v>3247</v>
      </c>
    </row>
    <row r="201" spans="1:19" x14ac:dyDescent="0.25">
      <c r="A201" s="4" t="s">
        <v>3812</v>
      </c>
      <c r="B201" s="4" t="s">
        <v>3693</v>
      </c>
      <c r="C201" s="4" t="s">
        <v>3813</v>
      </c>
      <c r="D201" s="3" t="str">
        <f t="shared" si="18"/>
        <v>CAB</v>
      </c>
      <c r="E201" s="3" t="str">
        <f t="shared" si="19"/>
        <v>F</v>
      </c>
      <c r="F201" s="3" t="str">
        <f t="shared" si="20"/>
        <v>407</v>
      </c>
      <c r="G201" s="3" t="str">
        <f t="shared" si="21"/>
        <v>NA</v>
      </c>
      <c r="H201" s="3" t="str">
        <f t="shared" si="22"/>
        <v>000</v>
      </c>
      <c r="I201" s="3" t="str">
        <f t="shared" si="23"/>
        <v>01</v>
      </c>
      <c r="L201" s="3" t="s">
        <v>3309</v>
      </c>
      <c r="R201" s="3" t="s">
        <v>3814</v>
      </c>
      <c r="S201" s="15" t="s">
        <v>3247</v>
      </c>
    </row>
    <row r="202" spans="1:19" x14ac:dyDescent="0.25">
      <c r="A202" s="4" t="s">
        <v>3815</v>
      </c>
      <c r="B202" s="4" t="s">
        <v>3693</v>
      </c>
      <c r="C202" s="4" t="s">
        <v>3816</v>
      </c>
      <c r="D202" s="3" t="str">
        <f t="shared" si="18"/>
        <v>CAB</v>
      </c>
      <c r="E202" s="3" t="str">
        <f t="shared" si="19"/>
        <v>I</v>
      </c>
      <c r="F202" s="3" t="str">
        <f t="shared" si="20"/>
        <v>000</v>
      </c>
      <c r="G202" s="3" t="str">
        <f t="shared" si="21"/>
        <v>KE</v>
      </c>
      <c r="H202" s="3" t="str">
        <f t="shared" si="22"/>
        <v>000</v>
      </c>
      <c r="I202" s="3" t="str">
        <f t="shared" si="23"/>
        <v>00</v>
      </c>
      <c r="L202" s="3" t="s">
        <v>3309</v>
      </c>
      <c r="R202" s="3" t="s">
        <v>3817</v>
      </c>
      <c r="S202" s="15" t="s">
        <v>3247</v>
      </c>
    </row>
    <row r="203" spans="1:19" x14ac:dyDescent="0.25">
      <c r="A203" s="4" t="s">
        <v>3818</v>
      </c>
      <c r="B203" s="4" t="s">
        <v>3693</v>
      </c>
      <c r="C203" s="4" t="s">
        <v>3819</v>
      </c>
      <c r="D203" s="3" t="str">
        <f t="shared" si="18"/>
        <v>CAB</v>
      </c>
      <c r="E203" s="3" t="str">
        <f t="shared" si="19"/>
        <v>D</v>
      </c>
      <c r="F203" s="3" t="str">
        <f t="shared" si="20"/>
        <v>108</v>
      </c>
      <c r="G203" s="3" t="str">
        <f t="shared" si="21"/>
        <v>NA</v>
      </c>
      <c r="H203" s="3" t="str">
        <f t="shared" si="22"/>
        <v>000</v>
      </c>
      <c r="I203" s="3" t="str">
        <f t="shared" si="23"/>
        <v>00</v>
      </c>
      <c r="L203" s="3" t="s">
        <v>3309</v>
      </c>
      <c r="R203" s="3" t="s">
        <v>3820</v>
      </c>
      <c r="S203" s="15" t="s">
        <v>3247</v>
      </c>
    </row>
    <row r="204" spans="1:19" ht="30" x14ac:dyDescent="0.25">
      <c r="A204" s="4" t="s">
        <v>3821</v>
      </c>
      <c r="B204" s="4" t="s">
        <v>3693</v>
      </c>
      <c r="C204" s="4" t="s">
        <v>3822</v>
      </c>
      <c r="D204" s="3" t="str">
        <f t="shared" si="18"/>
        <v>CAB</v>
      </c>
      <c r="E204" s="3" t="str">
        <f t="shared" si="19"/>
        <v>F</v>
      </c>
      <c r="F204" s="3" t="str">
        <f t="shared" si="20"/>
        <v>403</v>
      </c>
      <c r="G204" s="3" t="str">
        <f t="shared" si="21"/>
        <v>PO</v>
      </c>
      <c r="H204" s="3" t="str">
        <f t="shared" si="22"/>
        <v>000</v>
      </c>
      <c r="I204" s="3" t="str">
        <f t="shared" si="23"/>
        <v>01</v>
      </c>
      <c r="L204" s="3" t="s">
        <v>3309</v>
      </c>
      <c r="R204" s="3" t="s">
        <v>3823</v>
      </c>
      <c r="S204" s="15" t="s">
        <v>3247</v>
      </c>
    </row>
    <row r="205" spans="1:19" ht="30" x14ac:dyDescent="0.25">
      <c r="A205" s="4" t="s">
        <v>3824</v>
      </c>
      <c r="B205" s="4" t="s">
        <v>3693</v>
      </c>
      <c r="C205" s="4" t="s">
        <v>3825</v>
      </c>
      <c r="D205" s="3" t="str">
        <f t="shared" si="18"/>
        <v>CAB</v>
      </c>
      <c r="E205" s="3" t="str">
        <f t="shared" si="19"/>
        <v>C</v>
      </c>
      <c r="F205" s="3" t="str">
        <f t="shared" si="20"/>
        <v>702</v>
      </c>
      <c r="G205" s="3" t="str">
        <f t="shared" si="21"/>
        <v>PO</v>
      </c>
      <c r="H205" s="3" t="str">
        <f t="shared" si="22"/>
        <v>000</v>
      </c>
      <c r="I205" s="3" t="str">
        <f t="shared" si="23"/>
        <v>09</v>
      </c>
      <c r="L205" s="3" t="s">
        <v>3309</v>
      </c>
      <c r="R205" s="3" t="s">
        <v>3826</v>
      </c>
      <c r="S205" s="15" t="s">
        <v>3247</v>
      </c>
    </row>
    <row r="206" spans="1:19" x14ac:dyDescent="0.25">
      <c r="A206" s="4" t="s">
        <v>3827</v>
      </c>
      <c r="B206" s="4" t="s">
        <v>3693</v>
      </c>
      <c r="C206" s="4" t="s">
        <v>3828</v>
      </c>
      <c r="D206" s="3" t="str">
        <f t="shared" si="18"/>
        <v>CAB</v>
      </c>
      <c r="E206" s="3" t="str">
        <f t="shared" si="19"/>
        <v>F</v>
      </c>
      <c r="F206" s="3" t="str">
        <f t="shared" si="20"/>
        <v>901</v>
      </c>
      <c r="G206" s="3" t="str">
        <f t="shared" si="21"/>
        <v>PO</v>
      </c>
      <c r="H206" s="3" t="str">
        <f t="shared" si="22"/>
        <v>000</v>
      </c>
      <c r="I206" s="3" t="str">
        <f t="shared" si="23"/>
        <v>01</v>
      </c>
      <c r="L206" s="3" t="s">
        <v>3309</v>
      </c>
      <c r="R206" s="3" t="s">
        <v>3829</v>
      </c>
      <c r="S206" s="15" t="s">
        <v>3247</v>
      </c>
    </row>
    <row r="207" spans="1:19" x14ac:dyDescent="0.25">
      <c r="A207" s="4" t="s">
        <v>3830</v>
      </c>
      <c r="B207" s="4" t="s">
        <v>3693</v>
      </c>
      <c r="C207" s="4" t="s">
        <v>3831</v>
      </c>
      <c r="D207" s="3" t="str">
        <f t="shared" si="18"/>
        <v>CAB</v>
      </c>
      <c r="E207" s="3" t="str">
        <f t="shared" si="19"/>
        <v>F</v>
      </c>
      <c r="F207" s="3" t="str">
        <f t="shared" si="20"/>
        <v>401</v>
      </c>
      <c r="G207" s="3" t="str">
        <f t="shared" si="21"/>
        <v>PO</v>
      </c>
      <c r="H207" s="3" t="str">
        <f t="shared" si="22"/>
        <v>000</v>
      </c>
      <c r="I207" s="3" t="str">
        <f t="shared" si="23"/>
        <v>01</v>
      </c>
      <c r="L207" s="3" t="s">
        <v>3309</v>
      </c>
      <c r="R207" s="3" t="s">
        <v>3832</v>
      </c>
      <c r="S207" s="15" t="s">
        <v>3247</v>
      </c>
    </row>
    <row r="208" spans="1:19" x14ac:dyDescent="0.25">
      <c r="A208" s="4" t="s">
        <v>3833</v>
      </c>
      <c r="B208" s="4" t="s">
        <v>3693</v>
      </c>
      <c r="C208" s="4" t="s">
        <v>3834</v>
      </c>
      <c r="D208" s="3" t="str">
        <f t="shared" si="18"/>
        <v>CAB</v>
      </c>
      <c r="E208" s="3" t="str">
        <f t="shared" si="19"/>
        <v>E</v>
      </c>
      <c r="F208" s="3" t="str">
        <f t="shared" si="20"/>
        <v>000</v>
      </c>
      <c r="G208" s="3" t="str">
        <f t="shared" si="21"/>
        <v>NA</v>
      </c>
      <c r="H208" s="3" t="str">
        <f t="shared" si="22"/>
        <v>000</v>
      </c>
      <c r="I208" s="3" t="str">
        <f t="shared" si="23"/>
        <v>00</v>
      </c>
      <c r="L208" s="3" t="s">
        <v>3309</v>
      </c>
      <c r="R208" s="3" t="s">
        <v>3835</v>
      </c>
      <c r="S208" s="15" t="s">
        <v>3247</v>
      </c>
    </row>
    <row r="209" spans="1:19" x14ac:dyDescent="0.25">
      <c r="A209" s="4" t="s">
        <v>3836</v>
      </c>
      <c r="B209" s="4" t="s">
        <v>3693</v>
      </c>
      <c r="C209" s="4" t="s">
        <v>3837</v>
      </c>
      <c r="D209" s="3" t="str">
        <f t="shared" si="18"/>
        <v>CAB</v>
      </c>
      <c r="E209" s="3" t="str">
        <f t="shared" si="19"/>
        <v>W</v>
      </c>
      <c r="F209" s="3" t="str">
        <f t="shared" si="20"/>
        <v>102</v>
      </c>
      <c r="G209" s="3" t="str">
        <f t="shared" si="21"/>
        <v>NA</v>
      </c>
      <c r="H209" s="3" t="str">
        <f t="shared" si="22"/>
        <v>000</v>
      </c>
      <c r="I209" s="3" t="str">
        <f t="shared" si="23"/>
        <v>00</v>
      </c>
      <c r="L209" s="3" t="s">
        <v>3309</v>
      </c>
      <c r="R209" s="3" t="s">
        <v>3838</v>
      </c>
      <c r="S209" s="15" t="s">
        <v>3247</v>
      </c>
    </row>
    <row r="210" spans="1:19" x14ac:dyDescent="0.25">
      <c r="A210" s="4" t="s">
        <v>3839</v>
      </c>
      <c r="B210" s="4" t="s">
        <v>3693</v>
      </c>
      <c r="C210" s="4" t="s">
        <v>3840</v>
      </c>
      <c r="D210" s="3" t="str">
        <f t="shared" si="18"/>
        <v>CAB</v>
      </c>
      <c r="E210" s="3" t="str">
        <f t="shared" si="19"/>
        <v>W</v>
      </c>
      <c r="F210" s="3" t="str">
        <f t="shared" si="20"/>
        <v>110</v>
      </c>
      <c r="G210" s="3" t="str">
        <f t="shared" si="21"/>
        <v>NA</v>
      </c>
      <c r="H210" s="3" t="str">
        <f t="shared" si="22"/>
        <v>000</v>
      </c>
      <c r="I210" s="3" t="str">
        <f t="shared" si="23"/>
        <v>00</v>
      </c>
      <c r="L210" s="3" t="s">
        <v>3309</v>
      </c>
      <c r="R210" s="3" t="s">
        <v>3841</v>
      </c>
      <c r="S210" s="15" t="s">
        <v>3247</v>
      </c>
    </row>
    <row r="211" spans="1:19" ht="30" x14ac:dyDescent="0.25">
      <c r="A211" s="4" t="s">
        <v>3842</v>
      </c>
      <c r="B211" s="4" t="s">
        <v>3693</v>
      </c>
      <c r="C211" s="4" t="s">
        <v>3843</v>
      </c>
      <c r="D211" s="3" t="str">
        <f t="shared" si="18"/>
        <v>CAB</v>
      </c>
      <c r="E211" s="3" t="str">
        <f t="shared" si="19"/>
        <v>C</v>
      </c>
      <c r="F211" s="3" t="str">
        <f t="shared" si="20"/>
        <v>303</v>
      </c>
      <c r="G211" s="3" t="str">
        <f t="shared" si="21"/>
        <v>NA</v>
      </c>
      <c r="H211" s="3" t="str">
        <f t="shared" si="22"/>
        <v>000</v>
      </c>
      <c r="I211" s="3" t="str">
        <f t="shared" si="23"/>
        <v>09</v>
      </c>
      <c r="L211" s="3" t="s">
        <v>3309</v>
      </c>
      <c r="R211" s="3" t="s">
        <v>3844</v>
      </c>
      <c r="S211" s="15" t="s">
        <v>3247</v>
      </c>
    </row>
    <row r="212" spans="1:19" ht="30" x14ac:dyDescent="0.25">
      <c r="A212" s="4" t="s">
        <v>3845</v>
      </c>
      <c r="B212" s="4" t="s">
        <v>3693</v>
      </c>
      <c r="C212" s="4" t="s">
        <v>3846</v>
      </c>
      <c r="D212" s="3" t="str">
        <f t="shared" si="18"/>
        <v>CAB</v>
      </c>
      <c r="E212" s="3" t="str">
        <f t="shared" si="19"/>
        <v>C</v>
      </c>
      <c r="F212" s="3" t="str">
        <f t="shared" si="20"/>
        <v>902</v>
      </c>
      <c r="G212" s="3" t="str">
        <f t="shared" si="21"/>
        <v>NA</v>
      </c>
      <c r="H212" s="3" t="str">
        <f t="shared" si="22"/>
        <v>000</v>
      </c>
      <c r="I212" s="3" t="str">
        <f t="shared" si="23"/>
        <v>09</v>
      </c>
      <c r="L212" s="3" t="s">
        <v>3309</v>
      </c>
      <c r="R212" s="3" t="s">
        <v>3847</v>
      </c>
      <c r="S212" s="15" t="s">
        <v>3247</v>
      </c>
    </row>
    <row r="213" spans="1:19" ht="30" x14ac:dyDescent="0.25">
      <c r="A213" s="4" t="s">
        <v>3848</v>
      </c>
      <c r="B213" s="4" t="s">
        <v>3693</v>
      </c>
      <c r="C213" s="4" t="s">
        <v>3849</v>
      </c>
      <c r="D213" s="3" t="str">
        <f t="shared" si="18"/>
        <v>CAB</v>
      </c>
      <c r="E213" s="3" t="str">
        <f t="shared" si="19"/>
        <v>C</v>
      </c>
      <c r="F213" s="3" t="str">
        <f t="shared" si="20"/>
        <v>204</v>
      </c>
      <c r="G213" s="3" t="str">
        <f t="shared" si="21"/>
        <v>NA</v>
      </c>
      <c r="H213" s="3" t="str">
        <f t="shared" si="22"/>
        <v>000</v>
      </c>
      <c r="I213" s="3" t="str">
        <f t="shared" si="23"/>
        <v>09</v>
      </c>
      <c r="L213" s="3" t="s">
        <v>3309</v>
      </c>
      <c r="R213" s="3" t="s">
        <v>3850</v>
      </c>
      <c r="S213" s="15" t="s">
        <v>3247</v>
      </c>
    </row>
    <row r="214" spans="1:19" ht="30" x14ac:dyDescent="0.25">
      <c r="A214" s="4" t="s">
        <v>3851</v>
      </c>
      <c r="B214" s="4" t="s">
        <v>3693</v>
      </c>
      <c r="C214" s="4" t="s">
        <v>3852</v>
      </c>
      <c r="D214" s="3" t="str">
        <f t="shared" si="18"/>
        <v>CAB</v>
      </c>
      <c r="E214" s="3" t="str">
        <f t="shared" si="19"/>
        <v>C</v>
      </c>
      <c r="F214" s="3" t="str">
        <f t="shared" si="20"/>
        <v>507</v>
      </c>
      <c r="G214" s="3" t="str">
        <f t="shared" si="21"/>
        <v>PO</v>
      </c>
      <c r="H214" s="3" t="str">
        <f t="shared" si="22"/>
        <v>000</v>
      </c>
      <c r="I214" s="3" t="str">
        <f t="shared" si="23"/>
        <v>03</v>
      </c>
      <c r="L214" s="3" t="s">
        <v>3309</v>
      </c>
      <c r="R214" s="3" t="s">
        <v>3853</v>
      </c>
      <c r="S214" s="15" t="s">
        <v>3247</v>
      </c>
    </row>
    <row r="215" spans="1:19" ht="30" x14ac:dyDescent="0.25">
      <c r="A215" s="4" t="s">
        <v>3854</v>
      </c>
      <c r="B215" s="4" t="s">
        <v>3693</v>
      </c>
      <c r="C215" s="4" t="s">
        <v>3855</v>
      </c>
      <c r="D215" s="3" t="str">
        <f t="shared" si="18"/>
        <v>CAB</v>
      </c>
      <c r="E215" s="3" t="str">
        <f t="shared" si="19"/>
        <v>C</v>
      </c>
      <c r="F215" s="3" t="str">
        <f t="shared" si="20"/>
        <v>508</v>
      </c>
      <c r="G215" s="3" t="str">
        <f t="shared" si="21"/>
        <v>PO</v>
      </c>
      <c r="H215" s="3" t="str">
        <f t="shared" si="22"/>
        <v>000</v>
      </c>
      <c r="I215" s="3" t="str">
        <f t="shared" si="23"/>
        <v>03</v>
      </c>
      <c r="L215" s="3" t="s">
        <v>3309</v>
      </c>
      <c r="R215" s="3" t="s">
        <v>3856</v>
      </c>
      <c r="S215" s="15" t="s">
        <v>3247</v>
      </c>
    </row>
    <row r="216" spans="1:19" ht="30" x14ac:dyDescent="0.25">
      <c r="A216" s="4" t="s">
        <v>3857</v>
      </c>
      <c r="B216" s="4" t="s">
        <v>3693</v>
      </c>
      <c r="C216" s="4" t="s">
        <v>3858</v>
      </c>
      <c r="D216" s="3" t="str">
        <f t="shared" si="18"/>
        <v>CAB</v>
      </c>
      <c r="E216" s="3" t="str">
        <f t="shared" si="19"/>
        <v>C</v>
      </c>
      <c r="F216" s="3" t="str">
        <f t="shared" si="20"/>
        <v>403</v>
      </c>
      <c r="G216" s="3" t="str">
        <f t="shared" si="21"/>
        <v>PO</v>
      </c>
      <c r="H216" s="3" t="str">
        <f t="shared" si="22"/>
        <v>000</v>
      </c>
      <c r="I216" s="3" t="str">
        <f t="shared" si="23"/>
        <v>03</v>
      </c>
      <c r="L216" s="3" t="s">
        <v>3309</v>
      </c>
      <c r="R216" s="3" t="s">
        <v>3859</v>
      </c>
      <c r="S216" s="15" t="s">
        <v>3247</v>
      </c>
    </row>
    <row r="217" spans="1:19" ht="30" x14ac:dyDescent="0.25">
      <c r="A217" s="4" t="s">
        <v>3860</v>
      </c>
      <c r="B217" s="4" t="s">
        <v>3693</v>
      </c>
      <c r="C217" s="4" t="s">
        <v>3861</v>
      </c>
      <c r="D217" s="3" t="str">
        <f t="shared" si="18"/>
        <v>CAB</v>
      </c>
      <c r="E217" s="3" t="str">
        <f t="shared" si="19"/>
        <v>S</v>
      </c>
      <c r="F217" s="3" t="str">
        <f t="shared" si="20"/>
        <v>204</v>
      </c>
      <c r="G217" s="3" t="str">
        <f t="shared" si="21"/>
        <v>PO</v>
      </c>
      <c r="H217" s="3" t="str">
        <f t="shared" si="22"/>
        <v>000</v>
      </c>
      <c r="I217" s="3" t="str">
        <f t="shared" si="23"/>
        <v>03</v>
      </c>
      <c r="L217" s="3" t="s">
        <v>3309</v>
      </c>
      <c r="R217" s="3" t="s">
        <v>3862</v>
      </c>
      <c r="S217" s="15" t="s">
        <v>3247</v>
      </c>
    </row>
    <row r="218" spans="1:19" ht="90" x14ac:dyDescent="0.25">
      <c r="A218" s="4" t="s">
        <v>3863</v>
      </c>
      <c r="B218" s="4" t="s">
        <v>3693</v>
      </c>
      <c r="C218" s="4" t="s">
        <v>3864</v>
      </c>
      <c r="D218" s="3" t="str">
        <f t="shared" si="18"/>
        <v>CAB</v>
      </c>
      <c r="E218" s="3" t="str">
        <f t="shared" si="19"/>
        <v>B</v>
      </c>
      <c r="F218" s="3" t="str">
        <f t="shared" si="20"/>
        <v>001</v>
      </c>
      <c r="G218" s="3" t="str">
        <f t="shared" si="21"/>
        <v>NA</v>
      </c>
      <c r="H218" s="3" t="str">
        <f t="shared" si="22"/>
        <v>000</v>
      </c>
      <c r="I218" s="3" t="str">
        <f t="shared" si="23"/>
        <v>00</v>
      </c>
      <c r="L218" s="3" t="s">
        <v>3309</v>
      </c>
      <c r="R218" s="3" t="s">
        <v>3865</v>
      </c>
      <c r="S218" s="15">
        <v>250</v>
      </c>
    </row>
    <row r="219" spans="1:19" x14ac:dyDescent="0.25">
      <c r="A219" s="4" t="s">
        <v>3866</v>
      </c>
      <c r="B219" s="4" t="s">
        <v>3693</v>
      </c>
      <c r="C219" s="4" t="s">
        <v>3867</v>
      </c>
      <c r="D219" s="3" t="str">
        <f t="shared" si="18"/>
        <v>CAB</v>
      </c>
      <c r="E219" s="3" t="str">
        <f t="shared" si="19"/>
        <v>F</v>
      </c>
      <c r="F219" s="3" t="str">
        <f t="shared" si="20"/>
        <v>404</v>
      </c>
      <c r="G219" s="3" t="str">
        <f t="shared" si="21"/>
        <v>NA</v>
      </c>
      <c r="H219" s="3" t="str">
        <f t="shared" si="22"/>
        <v>000</v>
      </c>
      <c r="I219" s="3" t="str">
        <f t="shared" si="23"/>
        <v>01</v>
      </c>
      <c r="L219" s="3" t="s">
        <v>3309</v>
      </c>
      <c r="R219" s="3" t="s">
        <v>3868</v>
      </c>
      <c r="S219" s="15" t="s">
        <v>3247</v>
      </c>
    </row>
    <row r="220" spans="1:19" x14ac:dyDescent="0.25">
      <c r="A220" s="4" t="s">
        <v>3869</v>
      </c>
      <c r="B220" s="4" t="s">
        <v>3693</v>
      </c>
      <c r="C220" s="4" t="s">
        <v>3870</v>
      </c>
      <c r="D220" s="3" t="str">
        <f t="shared" si="18"/>
        <v>CAB</v>
      </c>
      <c r="E220" s="3" t="str">
        <f t="shared" si="19"/>
        <v>F</v>
      </c>
      <c r="F220" s="3" t="str">
        <f t="shared" si="20"/>
        <v>701</v>
      </c>
      <c r="G220" s="3" t="str">
        <f t="shared" si="21"/>
        <v>NA</v>
      </c>
      <c r="H220" s="3" t="str">
        <f t="shared" si="22"/>
        <v>000</v>
      </c>
      <c r="I220" s="3" t="str">
        <f t="shared" si="23"/>
        <v>01</v>
      </c>
      <c r="L220" s="3" t="s">
        <v>3309</v>
      </c>
      <c r="R220" s="3" t="s">
        <v>3871</v>
      </c>
      <c r="S220" s="15" t="s">
        <v>3247</v>
      </c>
    </row>
    <row r="221" spans="1:19" ht="30" x14ac:dyDescent="0.25">
      <c r="A221" s="4" t="s">
        <v>3872</v>
      </c>
      <c r="B221" s="4" t="s">
        <v>3693</v>
      </c>
      <c r="C221" s="4" t="s">
        <v>3873</v>
      </c>
      <c r="D221" s="3" t="str">
        <f t="shared" si="18"/>
        <v>CAB</v>
      </c>
      <c r="E221" s="3" t="str">
        <f t="shared" si="19"/>
        <v>C</v>
      </c>
      <c r="F221" s="3" t="str">
        <f t="shared" si="20"/>
        <v>302</v>
      </c>
      <c r="G221" s="3" t="str">
        <f t="shared" si="21"/>
        <v>PO</v>
      </c>
      <c r="H221" s="3" t="str">
        <f t="shared" si="22"/>
        <v>000</v>
      </c>
      <c r="I221" s="3" t="str">
        <f t="shared" si="23"/>
        <v>09</v>
      </c>
      <c r="L221" s="3" t="s">
        <v>3309</v>
      </c>
      <c r="R221" s="3" t="s">
        <v>3874</v>
      </c>
      <c r="S221" s="15" t="s">
        <v>3247</v>
      </c>
    </row>
    <row r="222" spans="1:19" ht="30" x14ac:dyDescent="0.25">
      <c r="A222" s="4" t="s">
        <v>3875</v>
      </c>
      <c r="B222" s="4" t="s">
        <v>3693</v>
      </c>
      <c r="C222" s="4" t="s">
        <v>3876</v>
      </c>
      <c r="D222" s="3" t="str">
        <f t="shared" si="18"/>
        <v>CAB</v>
      </c>
      <c r="E222" s="3" t="str">
        <f t="shared" si="19"/>
        <v>F</v>
      </c>
      <c r="F222" s="3" t="str">
        <f t="shared" si="20"/>
        <v>501</v>
      </c>
      <c r="G222" s="3" t="str">
        <f t="shared" si="21"/>
        <v>NA</v>
      </c>
      <c r="H222" s="3" t="str">
        <f t="shared" si="22"/>
        <v>000</v>
      </c>
      <c r="I222" s="3" t="str">
        <f t="shared" si="23"/>
        <v>09</v>
      </c>
      <c r="L222" s="3" t="s">
        <v>3309</v>
      </c>
      <c r="R222" s="3" t="s">
        <v>3877</v>
      </c>
      <c r="S222" s="15" t="s">
        <v>3247</v>
      </c>
    </row>
    <row r="223" spans="1:19" x14ac:dyDescent="0.25">
      <c r="A223" s="4" t="s">
        <v>3878</v>
      </c>
      <c r="B223" s="4" t="s">
        <v>3693</v>
      </c>
      <c r="C223" s="4" t="s">
        <v>3879</v>
      </c>
      <c r="D223" s="3" t="str">
        <f t="shared" si="18"/>
        <v>CAB</v>
      </c>
      <c r="E223" s="3" t="str">
        <f t="shared" si="19"/>
        <v>F</v>
      </c>
      <c r="F223" s="3" t="str">
        <f t="shared" si="20"/>
        <v>001</v>
      </c>
      <c r="G223" s="3" t="str">
        <f t="shared" si="21"/>
        <v>PP</v>
      </c>
      <c r="H223" s="3" t="str">
        <f t="shared" si="22"/>
        <v>000</v>
      </c>
      <c r="I223" s="3" t="str">
        <f t="shared" si="23"/>
        <v>00</v>
      </c>
      <c r="L223" s="3" t="s">
        <v>3309</v>
      </c>
      <c r="R223" s="3" t="s">
        <v>3880</v>
      </c>
      <c r="S223" s="15" t="s">
        <v>3247</v>
      </c>
    </row>
    <row r="224" spans="1:19" x14ac:dyDescent="0.25">
      <c r="A224" s="4" t="s">
        <v>3881</v>
      </c>
      <c r="B224" s="4" t="s">
        <v>3693</v>
      </c>
      <c r="C224" s="4" t="s">
        <v>3882</v>
      </c>
      <c r="D224" s="3" t="str">
        <f t="shared" si="18"/>
        <v>CAB</v>
      </c>
      <c r="E224" s="3" t="str">
        <f t="shared" si="19"/>
        <v>C</v>
      </c>
      <c r="F224" s="3" t="str">
        <f t="shared" si="20"/>
        <v>602</v>
      </c>
      <c r="G224" s="3" t="str">
        <f t="shared" si="21"/>
        <v>NA</v>
      </c>
      <c r="H224" s="3" t="str">
        <f t="shared" si="22"/>
        <v>000</v>
      </c>
      <c r="I224" s="3" t="str">
        <f t="shared" si="23"/>
        <v>09</v>
      </c>
      <c r="L224" s="3" t="s">
        <v>3309</v>
      </c>
      <c r="R224" s="3" t="s">
        <v>3883</v>
      </c>
      <c r="S224" s="15" t="s">
        <v>3247</v>
      </c>
    </row>
    <row r="225" spans="1:19" x14ac:dyDescent="0.25">
      <c r="A225" s="4" t="s">
        <v>3884</v>
      </c>
      <c r="B225" s="4" t="s">
        <v>3693</v>
      </c>
      <c r="C225" s="4" t="s">
        <v>3885</v>
      </c>
      <c r="D225" s="3" t="str">
        <f t="shared" si="18"/>
        <v>CAB</v>
      </c>
      <c r="E225" s="3" t="str">
        <f t="shared" si="19"/>
        <v>F</v>
      </c>
      <c r="F225" s="3" t="str">
        <f t="shared" si="20"/>
        <v>402</v>
      </c>
      <c r="G225" s="3" t="str">
        <f t="shared" si="21"/>
        <v>NA</v>
      </c>
      <c r="H225" s="3" t="str">
        <f t="shared" si="22"/>
        <v>000</v>
      </c>
      <c r="I225" s="3" t="str">
        <f t="shared" si="23"/>
        <v>06</v>
      </c>
      <c r="L225" s="3" t="s">
        <v>3309</v>
      </c>
      <c r="R225" s="3" t="s">
        <v>3886</v>
      </c>
      <c r="S225" s="15" t="s">
        <v>3247</v>
      </c>
    </row>
    <row r="226" spans="1:19" x14ac:dyDescent="0.25">
      <c r="A226" s="4" t="s">
        <v>3887</v>
      </c>
      <c r="B226" s="4" t="s">
        <v>3693</v>
      </c>
      <c r="C226" s="4" t="s">
        <v>3888</v>
      </c>
      <c r="D226" s="3" t="str">
        <f t="shared" si="18"/>
        <v>CAB</v>
      </c>
      <c r="E226" s="3" t="str">
        <f t="shared" si="19"/>
        <v>O</v>
      </c>
      <c r="F226" s="3" t="str">
        <f t="shared" si="20"/>
        <v>002</v>
      </c>
      <c r="G226" s="3" t="str">
        <f t="shared" si="21"/>
        <v>NA</v>
      </c>
      <c r="H226" s="3" t="str">
        <f t="shared" si="22"/>
        <v>000</v>
      </c>
      <c r="I226" s="3" t="str">
        <f t="shared" si="23"/>
        <v>08</v>
      </c>
      <c r="L226" s="3" t="s">
        <v>3309</v>
      </c>
      <c r="R226" s="3" t="s">
        <v>3889</v>
      </c>
      <c r="S226" s="15" t="s">
        <v>3247</v>
      </c>
    </row>
    <row r="227" spans="1:19" x14ac:dyDescent="0.25">
      <c r="A227" s="4" t="s">
        <v>3890</v>
      </c>
      <c r="B227" s="4" t="s">
        <v>3693</v>
      </c>
      <c r="C227" s="4" t="s">
        <v>3891</v>
      </c>
      <c r="D227" s="3" t="str">
        <f t="shared" si="18"/>
        <v>CAB</v>
      </c>
      <c r="E227" s="3" t="str">
        <f t="shared" si="19"/>
        <v>F</v>
      </c>
      <c r="F227" s="3" t="str">
        <f t="shared" si="20"/>
        <v>203</v>
      </c>
      <c r="G227" s="3" t="str">
        <f t="shared" si="21"/>
        <v>PO</v>
      </c>
      <c r="H227" s="3" t="str">
        <f t="shared" si="22"/>
        <v>000</v>
      </c>
      <c r="I227" s="3" t="str">
        <f t="shared" si="23"/>
        <v>01</v>
      </c>
      <c r="L227" s="3" t="s">
        <v>3309</v>
      </c>
      <c r="R227" s="3" t="s">
        <v>3892</v>
      </c>
      <c r="S227" s="15" t="s">
        <v>3247</v>
      </c>
    </row>
    <row r="228" spans="1:19" x14ac:dyDescent="0.25">
      <c r="A228" s="4" t="s">
        <v>3893</v>
      </c>
      <c r="B228" s="4" t="s">
        <v>3693</v>
      </c>
      <c r="C228" s="4" t="s">
        <v>3894</v>
      </c>
      <c r="D228" s="3" t="str">
        <f t="shared" si="18"/>
        <v>CAB</v>
      </c>
      <c r="E228" s="3" t="str">
        <f t="shared" si="19"/>
        <v>F</v>
      </c>
      <c r="F228" s="3" t="str">
        <f t="shared" si="20"/>
        <v>108</v>
      </c>
      <c r="G228" s="3" t="str">
        <f t="shared" si="21"/>
        <v>NA</v>
      </c>
      <c r="H228" s="3" t="str">
        <f t="shared" si="22"/>
        <v>000</v>
      </c>
      <c r="I228" s="3" t="str">
        <f t="shared" si="23"/>
        <v>03</v>
      </c>
      <c r="L228" s="3" t="s">
        <v>3309</v>
      </c>
      <c r="R228" s="3" t="s">
        <v>3895</v>
      </c>
      <c r="S228" s="15" t="s">
        <v>3247</v>
      </c>
    </row>
    <row r="229" spans="1:19" ht="30" x14ac:dyDescent="0.25">
      <c r="A229" s="4" t="s">
        <v>3896</v>
      </c>
      <c r="B229" s="4" t="s">
        <v>3693</v>
      </c>
      <c r="C229" s="4" t="s">
        <v>3897</v>
      </c>
      <c r="D229" s="3" t="str">
        <f t="shared" si="18"/>
        <v>CAB</v>
      </c>
      <c r="E229" s="3" t="str">
        <f t="shared" si="19"/>
        <v>F</v>
      </c>
      <c r="F229" s="3" t="str">
        <f t="shared" si="20"/>
        <v>162</v>
      </c>
      <c r="G229" s="3" t="str">
        <f t="shared" si="21"/>
        <v>PO</v>
      </c>
      <c r="H229" s="3" t="str">
        <f t="shared" si="22"/>
        <v>000</v>
      </c>
      <c r="I229" s="3" t="str">
        <f t="shared" si="23"/>
        <v>09</v>
      </c>
      <c r="L229" s="3" t="s">
        <v>3608</v>
      </c>
      <c r="R229" s="3" t="s">
        <v>3898</v>
      </c>
      <c r="S229" s="15" t="s">
        <v>3247</v>
      </c>
    </row>
    <row r="230" spans="1:19" ht="45" x14ac:dyDescent="0.25">
      <c r="A230" s="4" t="s">
        <v>3899</v>
      </c>
      <c r="B230" s="4" t="s">
        <v>3693</v>
      </c>
      <c r="C230" s="4" t="s">
        <v>3900</v>
      </c>
      <c r="D230" s="3" t="str">
        <f t="shared" si="18"/>
        <v>CAB</v>
      </c>
      <c r="E230" s="3" t="str">
        <f t="shared" si="19"/>
        <v>C</v>
      </c>
      <c r="F230" s="3" t="str">
        <f t="shared" si="20"/>
        <v>500</v>
      </c>
      <c r="G230" s="3" t="str">
        <f t="shared" si="21"/>
        <v>PO</v>
      </c>
      <c r="H230" s="3" t="str">
        <f t="shared" si="22"/>
        <v>000</v>
      </c>
      <c r="I230" s="3" t="str">
        <f t="shared" si="23"/>
        <v>02</v>
      </c>
      <c r="L230" s="3" t="s">
        <v>3608</v>
      </c>
      <c r="R230" s="3" t="s">
        <v>3901</v>
      </c>
      <c r="S230" s="15">
        <v>5015</v>
      </c>
    </row>
    <row r="231" spans="1:19" ht="45" x14ac:dyDescent="0.25">
      <c r="A231" s="4" t="s">
        <v>3902</v>
      </c>
      <c r="B231" s="4" t="s">
        <v>3693</v>
      </c>
      <c r="C231" s="4" t="s">
        <v>3903</v>
      </c>
      <c r="D231" s="3" t="str">
        <f t="shared" si="18"/>
        <v>CAB</v>
      </c>
      <c r="E231" s="3" t="str">
        <f t="shared" si="19"/>
        <v>C</v>
      </c>
      <c r="F231" s="3" t="str">
        <f t="shared" si="20"/>
        <v>509</v>
      </c>
      <c r="G231" s="3" t="str">
        <f t="shared" si="21"/>
        <v>PO</v>
      </c>
      <c r="H231" s="3" t="str">
        <f t="shared" si="22"/>
        <v>000</v>
      </c>
      <c r="I231" s="3" t="str">
        <f t="shared" si="23"/>
        <v>02</v>
      </c>
      <c r="L231" s="3" t="s">
        <v>3608</v>
      </c>
      <c r="R231" s="3" t="s">
        <v>3904</v>
      </c>
      <c r="S231" s="15">
        <v>1655</v>
      </c>
    </row>
    <row r="232" spans="1:19" ht="45" x14ac:dyDescent="0.25">
      <c r="A232" s="4" t="s">
        <v>3905</v>
      </c>
      <c r="B232" s="4" t="s">
        <v>3693</v>
      </c>
      <c r="C232" s="4" t="s">
        <v>3906</v>
      </c>
      <c r="D232" s="3" t="str">
        <f t="shared" si="18"/>
        <v>CAB</v>
      </c>
      <c r="E232" s="3" t="str">
        <f t="shared" si="19"/>
        <v>C</v>
      </c>
      <c r="F232" s="3" t="str">
        <f t="shared" si="20"/>
        <v>505</v>
      </c>
      <c r="G232" s="3" t="str">
        <f t="shared" si="21"/>
        <v>PO</v>
      </c>
      <c r="H232" s="3" t="str">
        <f t="shared" si="22"/>
        <v>000</v>
      </c>
      <c r="I232" s="3" t="str">
        <f t="shared" si="23"/>
        <v>02</v>
      </c>
      <c r="L232" s="3" t="s">
        <v>3608</v>
      </c>
      <c r="R232" s="3" t="s">
        <v>3907</v>
      </c>
      <c r="S232" s="15">
        <v>260</v>
      </c>
    </row>
    <row r="233" spans="1:19" ht="30" x14ac:dyDescent="0.25">
      <c r="A233" s="4" t="s">
        <v>3908</v>
      </c>
      <c r="B233" s="4" t="s">
        <v>3693</v>
      </c>
      <c r="C233" s="4" t="s">
        <v>3909</v>
      </c>
      <c r="D233" s="3" t="str">
        <f t="shared" si="18"/>
        <v>CAB</v>
      </c>
      <c r="E233" s="3" t="str">
        <f t="shared" si="19"/>
        <v>C</v>
      </c>
      <c r="F233" s="3" t="str">
        <f t="shared" si="20"/>
        <v>510</v>
      </c>
      <c r="G233" s="3" t="str">
        <f t="shared" si="21"/>
        <v>PO</v>
      </c>
      <c r="H233" s="3" t="str">
        <f t="shared" si="22"/>
        <v>000</v>
      </c>
      <c r="I233" s="3" t="str">
        <f t="shared" si="23"/>
        <v>07</v>
      </c>
      <c r="L233" s="3" t="s">
        <v>3608</v>
      </c>
      <c r="R233" s="3" t="s">
        <v>3910</v>
      </c>
      <c r="S233" s="15" t="s">
        <v>3247</v>
      </c>
    </row>
    <row r="234" spans="1:19" x14ac:dyDescent="0.25">
      <c r="A234" s="4" t="s">
        <v>3911</v>
      </c>
      <c r="B234" s="4" t="s">
        <v>3693</v>
      </c>
      <c r="C234" s="4" t="s">
        <v>3912</v>
      </c>
      <c r="D234" s="3" t="str">
        <f t="shared" si="18"/>
        <v>CAB</v>
      </c>
      <c r="E234" s="3" t="str">
        <f t="shared" si="19"/>
        <v>J</v>
      </c>
      <c r="F234" s="3" t="str">
        <f t="shared" si="20"/>
        <v>507</v>
      </c>
      <c r="G234" s="3" t="str">
        <f t="shared" si="21"/>
        <v>AL</v>
      </c>
      <c r="H234" s="3" t="str">
        <f t="shared" si="22"/>
        <v>001</v>
      </c>
      <c r="I234" s="3" t="str">
        <f t="shared" si="23"/>
        <v>00</v>
      </c>
      <c r="L234" s="3" t="s">
        <v>3309</v>
      </c>
      <c r="R234" s="3" t="s">
        <v>3913</v>
      </c>
      <c r="S234" s="15" t="s">
        <v>3247</v>
      </c>
    </row>
    <row r="235" spans="1:19" x14ac:dyDescent="0.25">
      <c r="A235" s="4" t="s">
        <v>3914</v>
      </c>
      <c r="B235" s="4" t="s">
        <v>3693</v>
      </c>
      <c r="C235" s="4" t="s">
        <v>3915</v>
      </c>
      <c r="D235" s="3" t="str">
        <f t="shared" si="18"/>
        <v>CAB</v>
      </c>
      <c r="E235" s="3" t="str">
        <f t="shared" si="19"/>
        <v>J</v>
      </c>
      <c r="F235" s="3" t="str">
        <f t="shared" si="20"/>
        <v>504</v>
      </c>
      <c r="G235" s="3" t="str">
        <f t="shared" si="21"/>
        <v>AL</v>
      </c>
      <c r="H235" s="3" t="str">
        <f t="shared" si="22"/>
        <v>002</v>
      </c>
      <c r="I235" s="3" t="str">
        <f t="shared" si="23"/>
        <v>00</v>
      </c>
      <c r="L235" s="3" t="s">
        <v>3309</v>
      </c>
      <c r="R235" s="3" t="s">
        <v>3916</v>
      </c>
      <c r="S235" s="15" t="s">
        <v>3247</v>
      </c>
    </row>
    <row r="236" spans="1:19" x14ac:dyDescent="0.25">
      <c r="A236" s="4" t="s">
        <v>3917</v>
      </c>
      <c r="B236" s="4" t="s">
        <v>3693</v>
      </c>
      <c r="C236" s="4" t="s">
        <v>3918</v>
      </c>
      <c r="D236" s="3" t="str">
        <f t="shared" si="18"/>
        <v>CAB</v>
      </c>
      <c r="E236" s="3" t="str">
        <f t="shared" si="19"/>
        <v>J</v>
      </c>
      <c r="F236" s="3" t="str">
        <f t="shared" si="20"/>
        <v>163</v>
      </c>
      <c r="G236" s="3" t="str">
        <f t="shared" si="21"/>
        <v>AL</v>
      </c>
      <c r="H236" s="3" t="str">
        <f t="shared" si="22"/>
        <v>003</v>
      </c>
      <c r="I236" s="3" t="str">
        <f t="shared" si="23"/>
        <v>00</v>
      </c>
      <c r="L236" s="3" t="s">
        <v>3309</v>
      </c>
      <c r="R236" s="3" t="s">
        <v>3919</v>
      </c>
      <c r="S236" s="15" t="s">
        <v>3247</v>
      </c>
    </row>
    <row r="237" spans="1:19" ht="30" x14ac:dyDescent="0.25">
      <c r="A237" s="4" t="s">
        <v>3920</v>
      </c>
      <c r="B237" s="4" t="s">
        <v>3693</v>
      </c>
      <c r="C237" s="4" t="s">
        <v>3921</v>
      </c>
      <c r="D237" s="3" t="str">
        <f t="shared" si="18"/>
        <v>CAB</v>
      </c>
      <c r="E237" s="3" t="str">
        <f t="shared" si="19"/>
        <v>I</v>
      </c>
      <c r="F237" s="3" t="str">
        <f t="shared" si="20"/>
        <v>905</v>
      </c>
      <c r="G237" s="3" t="str">
        <f t="shared" si="21"/>
        <v>NA</v>
      </c>
      <c r="H237" s="3" t="str">
        <f t="shared" si="22"/>
        <v>000</v>
      </c>
      <c r="I237" s="3" t="str">
        <f t="shared" si="23"/>
        <v>01</v>
      </c>
      <c r="L237" s="3" t="s">
        <v>3309</v>
      </c>
      <c r="R237" s="3" t="s">
        <v>3922</v>
      </c>
      <c r="S237" s="15" t="s">
        <v>3247</v>
      </c>
    </row>
    <row r="238" spans="1:19" x14ac:dyDescent="0.25">
      <c r="A238" s="4" t="s">
        <v>3923</v>
      </c>
      <c r="B238" s="4" t="s">
        <v>3693</v>
      </c>
      <c r="C238" s="4" t="s">
        <v>3924</v>
      </c>
      <c r="D238" s="3" t="str">
        <f t="shared" si="18"/>
        <v>CAB</v>
      </c>
      <c r="E238" s="3" t="str">
        <f t="shared" si="19"/>
        <v>B</v>
      </c>
      <c r="F238" s="3" t="str">
        <f t="shared" si="20"/>
        <v>101</v>
      </c>
      <c r="G238" s="3" t="str">
        <f t="shared" si="21"/>
        <v>NA</v>
      </c>
      <c r="H238" s="3" t="str">
        <f t="shared" si="22"/>
        <v>000</v>
      </c>
      <c r="I238" s="3" t="str">
        <f t="shared" si="23"/>
        <v>00</v>
      </c>
      <c r="L238" s="3" t="s">
        <v>3309</v>
      </c>
      <c r="R238" s="3" t="s">
        <v>3925</v>
      </c>
      <c r="S238" s="15">
        <v>25</v>
      </c>
    </row>
    <row r="239" spans="1:19" x14ac:dyDescent="0.25">
      <c r="A239" s="4" t="s">
        <v>3926</v>
      </c>
      <c r="B239" s="4" t="s">
        <v>3693</v>
      </c>
      <c r="C239" s="4" t="s">
        <v>3927</v>
      </c>
      <c r="D239" s="3" t="str">
        <f t="shared" si="18"/>
        <v>CAB</v>
      </c>
      <c r="E239" s="3" t="str">
        <f t="shared" si="19"/>
        <v>F</v>
      </c>
      <c r="F239" s="3" t="str">
        <f t="shared" si="20"/>
        <v>403</v>
      </c>
      <c r="G239" s="3" t="str">
        <f t="shared" si="21"/>
        <v>PO</v>
      </c>
      <c r="H239" s="3" t="str">
        <f t="shared" si="22"/>
        <v>000</v>
      </c>
      <c r="I239" s="3" t="str">
        <f t="shared" si="23"/>
        <v>03</v>
      </c>
      <c r="L239" s="3" t="s">
        <v>3309</v>
      </c>
      <c r="R239" s="3" t="s">
        <v>3928</v>
      </c>
      <c r="S239" s="15">
        <v>2730</v>
      </c>
    </row>
    <row r="240" spans="1:19" x14ac:dyDescent="0.25">
      <c r="A240" s="4" t="s">
        <v>3929</v>
      </c>
      <c r="B240" s="4" t="s">
        <v>3693</v>
      </c>
      <c r="C240" s="4" t="s">
        <v>3930</v>
      </c>
      <c r="D240" s="3" t="str">
        <f t="shared" si="18"/>
        <v>CAB</v>
      </c>
      <c r="E240" s="3" t="str">
        <f t="shared" si="19"/>
        <v>F</v>
      </c>
      <c r="F240" s="3" t="str">
        <f t="shared" si="20"/>
        <v>303</v>
      </c>
      <c r="G240" s="3" t="str">
        <f t="shared" si="21"/>
        <v>NA</v>
      </c>
      <c r="H240" s="3" t="str">
        <f t="shared" si="22"/>
        <v>000</v>
      </c>
      <c r="I240" s="3" t="str">
        <f t="shared" si="23"/>
        <v>03</v>
      </c>
      <c r="L240" s="3" t="s">
        <v>3309</v>
      </c>
      <c r="R240" s="3" t="s">
        <v>3931</v>
      </c>
      <c r="S240" s="15">
        <v>2600</v>
      </c>
    </row>
    <row r="241" spans="1:19" x14ac:dyDescent="0.25">
      <c r="A241" s="4" t="s">
        <v>3932</v>
      </c>
      <c r="B241" s="4" t="s">
        <v>3693</v>
      </c>
      <c r="C241" s="4" t="s">
        <v>3933</v>
      </c>
      <c r="D241" s="3" t="str">
        <f t="shared" si="18"/>
        <v>CAB</v>
      </c>
      <c r="E241" s="3" t="str">
        <f t="shared" si="19"/>
        <v>F</v>
      </c>
      <c r="F241" s="3" t="str">
        <f t="shared" si="20"/>
        <v>203</v>
      </c>
      <c r="G241" s="3" t="str">
        <f t="shared" si="21"/>
        <v>NA</v>
      </c>
      <c r="H241" s="3" t="str">
        <f t="shared" si="22"/>
        <v>000</v>
      </c>
      <c r="I241" s="3" t="str">
        <f t="shared" si="23"/>
        <v>03</v>
      </c>
      <c r="L241" s="3" t="s">
        <v>3309</v>
      </c>
      <c r="R241" s="3" t="s">
        <v>3934</v>
      </c>
      <c r="S241" s="15">
        <v>2600</v>
      </c>
    </row>
    <row r="242" spans="1:19" x14ac:dyDescent="0.25">
      <c r="A242" s="4" t="s">
        <v>3935</v>
      </c>
      <c r="B242" s="4" t="s">
        <v>3693</v>
      </c>
      <c r="C242" s="4" t="s">
        <v>3936</v>
      </c>
      <c r="D242" s="3" t="str">
        <f t="shared" si="18"/>
        <v>CAB</v>
      </c>
      <c r="E242" s="3" t="str">
        <f t="shared" si="19"/>
        <v>F</v>
      </c>
      <c r="F242" s="3" t="str">
        <f t="shared" si="20"/>
        <v>901</v>
      </c>
      <c r="G242" s="3" t="str">
        <f t="shared" si="21"/>
        <v>NA</v>
      </c>
      <c r="H242" s="3" t="str">
        <f t="shared" si="22"/>
        <v>000</v>
      </c>
      <c r="I242" s="3" t="str">
        <f t="shared" si="23"/>
        <v>03</v>
      </c>
      <c r="L242" s="3" t="s">
        <v>3309</v>
      </c>
      <c r="R242" s="3" t="s">
        <v>3937</v>
      </c>
      <c r="S242" s="15">
        <v>300</v>
      </c>
    </row>
    <row r="243" spans="1:19" x14ac:dyDescent="0.25">
      <c r="A243" s="4" t="s">
        <v>3938</v>
      </c>
      <c r="B243" s="4" t="s">
        <v>3693</v>
      </c>
      <c r="C243" s="4" t="s">
        <v>3939</v>
      </c>
      <c r="D243" s="3" t="str">
        <f t="shared" si="18"/>
        <v>CAB</v>
      </c>
      <c r="E243" s="3" t="str">
        <f t="shared" si="19"/>
        <v>F</v>
      </c>
      <c r="F243" s="3" t="str">
        <f t="shared" si="20"/>
        <v>402</v>
      </c>
      <c r="G243" s="3" t="str">
        <f t="shared" si="21"/>
        <v>PO</v>
      </c>
      <c r="H243" s="3" t="str">
        <f t="shared" si="22"/>
        <v>000</v>
      </c>
      <c r="I243" s="3" t="str">
        <f t="shared" si="23"/>
        <v>01</v>
      </c>
      <c r="L243" s="3" t="s">
        <v>3309</v>
      </c>
      <c r="R243" s="3" t="s">
        <v>3940</v>
      </c>
      <c r="S243" s="15">
        <v>200</v>
      </c>
    </row>
    <row r="244" spans="1:19" x14ac:dyDescent="0.25">
      <c r="A244" s="4" t="s">
        <v>3941</v>
      </c>
      <c r="B244" s="4" t="s">
        <v>3693</v>
      </c>
      <c r="C244" s="4" t="s">
        <v>3942</v>
      </c>
      <c r="D244" s="3" t="str">
        <f t="shared" si="18"/>
        <v>CAB</v>
      </c>
      <c r="E244" s="3" t="str">
        <f t="shared" si="19"/>
        <v>F</v>
      </c>
      <c r="F244" s="3" t="str">
        <f t="shared" si="20"/>
        <v>902</v>
      </c>
      <c r="G244" s="3" t="str">
        <f t="shared" si="21"/>
        <v>PO</v>
      </c>
      <c r="H244" s="3" t="str">
        <f t="shared" si="22"/>
        <v>000</v>
      </c>
      <c r="I244" s="3" t="str">
        <f t="shared" si="23"/>
        <v>01</v>
      </c>
      <c r="L244" s="3" t="s">
        <v>3309</v>
      </c>
      <c r="R244" s="3" t="s">
        <v>3943</v>
      </c>
      <c r="S244" s="15">
        <v>400</v>
      </c>
    </row>
    <row r="245" spans="1:19" x14ac:dyDescent="0.25">
      <c r="A245" s="4" t="s">
        <v>3944</v>
      </c>
      <c r="B245" s="4" t="s">
        <v>3693</v>
      </c>
      <c r="C245" s="4" t="s">
        <v>3945</v>
      </c>
      <c r="D245" s="3" t="str">
        <f t="shared" si="18"/>
        <v>CAB</v>
      </c>
      <c r="E245" s="3" t="str">
        <f t="shared" si="19"/>
        <v>F</v>
      </c>
      <c r="F245" s="3" t="str">
        <f t="shared" si="20"/>
        <v>000</v>
      </c>
      <c r="G245" s="3" t="str">
        <f t="shared" si="21"/>
        <v>PO</v>
      </c>
      <c r="H245" s="3" t="str">
        <f t="shared" si="22"/>
        <v>000</v>
      </c>
      <c r="I245" s="3" t="str">
        <f t="shared" si="23"/>
        <v>00</v>
      </c>
      <c r="L245" s="3" t="s">
        <v>3309</v>
      </c>
      <c r="R245" s="3" t="s">
        <v>3946</v>
      </c>
      <c r="S245" s="15">
        <v>2</v>
      </c>
    </row>
    <row r="246" spans="1:19" x14ac:dyDescent="0.25">
      <c r="A246" s="4" t="s">
        <v>3947</v>
      </c>
      <c r="B246" s="4" t="s">
        <v>42</v>
      </c>
      <c r="C246" s="4" t="s">
        <v>1439</v>
      </c>
      <c r="D246" s="3" t="str">
        <f t="shared" si="18"/>
        <v>CIM</v>
      </c>
      <c r="E246" s="3" t="str">
        <f t="shared" si="19"/>
        <v>A</v>
      </c>
      <c r="F246" s="3" t="str">
        <f t="shared" si="20"/>
        <v>004</v>
      </c>
      <c r="G246" s="3" t="str">
        <f t="shared" si="21"/>
        <v>NA</v>
      </c>
      <c r="H246" s="3" t="str">
        <f t="shared" si="22"/>
        <v>000</v>
      </c>
      <c r="I246" s="3" t="str">
        <f t="shared" si="23"/>
        <v>00</v>
      </c>
      <c r="L246" s="3" t="s">
        <v>3309</v>
      </c>
      <c r="R246" s="3" t="s">
        <v>3948</v>
      </c>
      <c r="S246" s="15" t="s">
        <v>3247</v>
      </c>
    </row>
    <row r="247" spans="1:19" x14ac:dyDescent="0.25">
      <c r="A247" s="4" t="s">
        <v>3949</v>
      </c>
      <c r="B247" s="4" t="s">
        <v>42</v>
      </c>
      <c r="C247" s="4" t="s">
        <v>3950</v>
      </c>
      <c r="D247" s="3" t="str">
        <f t="shared" si="18"/>
        <v>CIM</v>
      </c>
      <c r="E247" s="3" t="str">
        <f t="shared" si="19"/>
        <v>A</v>
      </c>
      <c r="F247" s="3" t="str">
        <f t="shared" si="20"/>
        <v>012</v>
      </c>
      <c r="G247" s="3" t="str">
        <f t="shared" si="21"/>
        <v>NA</v>
      </c>
      <c r="H247" s="3" t="str">
        <f t="shared" si="22"/>
        <v>000</v>
      </c>
      <c r="I247" s="3" t="str">
        <f t="shared" si="23"/>
        <v>00</v>
      </c>
      <c r="L247" s="3" t="s">
        <v>3309</v>
      </c>
      <c r="R247" s="3" t="s">
        <v>3951</v>
      </c>
      <c r="S247" s="15" t="s">
        <v>3247</v>
      </c>
    </row>
    <row r="248" spans="1:19" x14ac:dyDescent="0.25">
      <c r="A248" s="4" t="s">
        <v>3952</v>
      </c>
      <c r="B248" s="4" t="s">
        <v>42</v>
      </c>
      <c r="C248" s="4" t="s">
        <v>3953</v>
      </c>
      <c r="D248" s="3" t="str">
        <f t="shared" si="18"/>
        <v>CIM</v>
      </c>
      <c r="E248" s="3" t="str">
        <f t="shared" si="19"/>
        <v>A</v>
      </c>
      <c r="F248" s="3" t="str">
        <f t="shared" si="20"/>
        <v>015</v>
      </c>
      <c r="G248" s="3" t="str">
        <f t="shared" si="21"/>
        <v>NA</v>
      </c>
      <c r="H248" s="3" t="str">
        <f t="shared" si="22"/>
        <v>000</v>
      </c>
      <c r="I248" s="3" t="str">
        <f t="shared" si="23"/>
        <v>00</v>
      </c>
      <c r="L248" s="3" t="s">
        <v>3309</v>
      </c>
      <c r="R248" s="3" t="s">
        <v>3954</v>
      </c>
      <c r="S248" s="15" t="s">
        <v>3247</v>
      </c>
    </row>
    <row r="249" spans="1:19" x14ac:dyDescent="0.25">
      <c r="A249" s="4" t="s">
        <v>3955</v>
      </c>
      <c r="B249" s="4" t="s">
        <v>42</v>
      </c>
      <c r="C249" s="4" t="s">
        <v>3956</v>
      </c>
      <c r="D249" s="3" t="str">
        <f t="shared" si="18"/>
        <v>CIM</v>
      </c>
      <c r="E249" s="3" t="str">
        <f t="shared" si="19"/>
        <v>B</v>
      </c>
      <c r="F249" s="3" t="str">
        <f t="shared" si="20"/>
        <v>006</v>
      </c>
      <c r="G249" s="3" t="str">
        <f t="shared" si="21"/>
        <v>AB</v>
      </c>
      <c r="H249" s="3" t="str">
        <f t="shared" si="22"/>
        <v>000</v>
      </c>
      <c r="I249" s="3" t="str">
        <f t="shared" si="23"/>
        <v>00</v>
      </c>
      <c r="L249" s="3" t="s">
        <v>3309</v>
      </c>
      <c r="R249" s="3" t="s">
        <v>3957</v>
      </c>
      <c r="S249" s="15" t="s">
        <v>3247</v>
      </c>
    </row>
    <row r="250" spans="1:19" x14ac:dyDescent="0.25">
      <c r="A250" s="4" t="s">
        <v>3958</v>
      </c>
      <c r="B250" s="4" t="s">
        <v>42</v>
      </c>
      <c r="C250" s="4" t="s">
        <v>3959</v>
      </c>
      <c r="D250" s="3" t="str">
        <f t="shared" si="18"/>
        <v>CIM</v>
      </c>
      <c r="E250" s="3" t="str">
        <f t="shared" si="19"/>
        <v>B</v>
      </c>
      <c r="F250" s="3" t="str">
        <f t="shared" si="20"/>
        <v>005</v>
      </c>
      <c r="G250" s="3" t="str">
        <f t="shared" si="21"/>
        <v>AB</v>
      </c>
      <c r="H250" s="3" t="str">
        <f t="shared" si="22"/>
        <v>000</v>
      </c>
      <c r="I250" s="3" t="str">
        <f t="shared" si="23"/>
        <v>00</v>
      </c>
      <c r="L250" s="3" t="s">
        <v>3309</v>
      </c>
      <c r="R250" s="3" t="s">
        <v>3960</v>
      </c>
      <c r="S250" s="15" t="s">
        <v>3247</v>
      </c>
    </row>
    <row r="251" spans="1:19" x14ac:dyDescent="0.25">
      <c r="A251" s="4" t="s">
        <v>3961</v>
      </c>
      <c r="B251" s="4" t="s">
        <v>42</v>
      </c>
      <c r="C251" s="4" t="s">
        <v>3962</v>
      </c>
      <c r="D251" s="3" t="str">
        <f t="shared" si="18"/>
        <v>CIM</v>
      </c>
      <c r="E251" s="3" t="str">
        <f t="shared" si="19"/>
        <v>B</v>
      </c>
      <c r="F251" s="3" t="str">
        <f t="shared" si="20"/>
        <v>003</v>
      </c>
      <c r="G251" s="3" t="str">
        <f t="shared" si="21"/>
        <v>03</v>
      </c>
      <c r="H251" s="3" t="str">
        <f t="shared" si="22"/>
        <v>000</v>
      </c>
      <c r="I251" s="3" t="str">
        <f t="shared" si="23"/>
        <v>00</v>
      </c>
      <c r="L251" s="3" t="s">
        <v>3309</v>
      </c>
      <c r="R251" s="3" t="s">
        <v>3963</v>
      </c>
      <c r="S251" s="15" t="s">
        <v>3247</v>
      </c>
    </row>
    <row r="252" spans="1:19" x14ac:dyDescent="0.25">
      <c r="A252" s="4" t="s">
        <v>3964</v>
      </c>
      <c r="B252" s="4" t="s">
        <v>42</v>
      </c>
      <c r="C252" s="4" t="s">
        <v>3965</v>
      </c>
      <c r="D252" s="3" t="str">
        <f t="shared" si="18"/>
        <v>CIM</v>
      </c>
      <c r="E252" s="3" t="str">
        <f t="shared" si="19"/>
        <v>B</v>
      </c>
      <c r="F252" s="3" t="str">
        <f t="shared" si="20"/>
        <v>003</v>
      </c>
      <c r="G252" s="3" t="str">
        <f t="shared" si="21"/>
        <v>05</v>
      </c>
      <c r="H252" s="3" t="str">
        <f t="shared" si="22"/>
        <v>000</v>
      </c>
      <c r="I252" s="3" t="str">
        <f t="shared" si="23"/>
        <v>00</v>
      </c>
      <c r="L252" s="3" t="s">
        <v>3309</v>
      </c>
      <c r="R252" s="3" t="s">
        <v>3966</v>
      </c>
      <c r="S252" s="15" t="s">
        <v>3247</v>
      </c>
    </row>
    <row r="253" spans="1:19" x14ac:dyDescent="0.25">
      <c r="A253" s="4" t="s">
        <v>3967</v>
      </c>
      <c r="B253" s="4" t="s">
        <v>42</v>
      </c>
      <c r="C253" s="4" t="s">
        <v>3968</v>
      </c>
      <c r="D253" s="3" t="str">
        <f t="shared" si="18"/>
        <v>CIM</v>
      </c>
      <c r="E253" s="3" t="str">
        <f t="shared" si="19"/>
        <v>B</v>
      </c>
      <c r="F253" s="3" t="str">
        <f t="shared" si="20"/>
        <v>007</v>
      </c>
      <c r="G253" s="3" t="str">
        <f t="shared" si="21"/>
        <v>06</v>
      </c>
      <c r="H253" s="3" t="str">
        <f t="shared" si="22"/>
        <v>000</v>
      </c>
      <c r="I253" s="3" t="str">
        <f t="shared" si="23"/>
        <v>00</v>
      </c>
      <c r="L253" s="3" t="s">
        <v>3309</v>
      </c>
      <c r="R253" s="3" t="s">
        <v>3969</v>
      </c>
      <c r="S253" s="15" t="s">
        <v>3247</v>
      </c>
    </row>
    <row r="254" spans="1:19" x14ac:dyDescent="0.25">
      <c r="A254" s="4" t="s">
        <v>3970</v>
      </c>
      <c r="B254" s="4" t="s">
        <v>42</v>
      </c>
      <c r="C254" s="4" t="s">
        <v>3971</v>
      </c>
      <c r="D254" s="3" t="str">
        <f t="shared" si="18"/>
        <v>CIM</v>
      </c>
      <c r="E254" s="3" t="str">
        <f t="shared" si="19"/>
        <v>B</v>
      </c>
      <c r="F254" s="3" t="str">
        <f t="shared" si="20"/>
        <v>003</v>
      </c>
      <c r="G254" s="3" t="str">
        <f t="shared" si="21"/>
        <v>NA</v>
      </c>
      <c r="H254" s="3" t="str">
        <f t="shared" si="22"/>
        <v>003</v>
      </c>
      <c r="I254" s="3" t="str">
        <f t="shared" si="23"/>
        <v>00</v>
      </c>
      <c r="L254" s="3" t="s">
        <v>3309</v>
      </c>
      <c r="R254" s="3" t="s">
        <v>3972</v>
      </c>
      <c r="S254" s="15" t="s">
        <v>3247</v>
      </c>
    </row>
    <row r="255" spans="1:19" x14ac:dyDescent="0.25">
      <c r="A255" s="4" t="s">
        <v>3973</v>
      </c>
      <c r="B255" s="4" t="s">
        <v>42</v>
      </c>
      <c r="C255" s="4" t="s">
        <v>3974</v>
      </c>
      <c r="D255" s="3" t="str">
        <f t="shared" si="18"/>
        <v>CIM</v>
      </c>
      <c r="E255" s="3" t="str">
        <f t="shared" si="19"/>
        <v>B</v>
      </c>
      <c r="F255" s="3" t="str">
        <f t="shared" si="20"/>
        <v>003</v>
      </c>
      <c r="G255" s="3" t="str">
        <f t="shared" si="21"/>
        <v>NA</v>
      </c>
      <c r="H255" s="3" t="str">
        <f t="shared" si="22"/>
        <v>004</v>
      </c>
      <c r="I255" s="3" t="str">
        <f t="shared" si="23"/>
        <v>00</v>
      </c>
      <c r="L255" s="3" t="s">
        <v>3309</v>
      </c>
      <c r="R255" s="3" t="s">
        <v>3975</v>
      </c>
      <c r="S255" s="15" t="s">
        <v>3247</v>
      </c>
    </row>
    <row r="256" spans="1:19" x14ac:dyDescent="0.25">
      <c r="A256" s="4" t="s">
        <v>3976</v>
      </c>
      <c r="B256" s="4" t="s">
        <v>42</v>
      </c>
      <c r="C256" s="4" t="s">
        <v>3977</v>
      </c>
      <c r="D256" s="3" t="str">
        <f t="shared" si="18"/>
        <v>CIM</v>
      </c>
      <c r="E256" s="3" t="str">
        <f t="shared" si="19"/>
        <v>B</v>
      </c>
      <c r="F256" s="3" t="str">
        <f t="shared" si="20"/>
        <v>003</v>
      </c>
      <c r="G256" s="3" t="str">
        <f t="shared" si="21"/>
        <v>HM</v>
      </c>
      <c r="H256" s="3" t="str">
        <f t="shared" si="22"/>
        <v>000</v>
      </c>
      <c r="I256" s="3" t="str">
        <f t="shared" si="23"/>
        <v>00</v>
      </c>
      <c r="L256" s="3" t="s">
        <v>3309</v>
      </c>
      <c r="R256" s="3" t="s">
        <v>3978</v>
      </c>
      <c r="S256" s="15" t="s">
        <v>3247</v>
      </c>
    </row>
    <row r="257" spans="1:19" x14ac:dyDescent="0.25">
      <c r="A257" s="4" t="s">
        <v>3979</v>
      </c>
      <c r="B257" s="4" t="s">
        <v>42</v>
      </c>
      <c r="C257" s="4" t="s">
        <v>3980</v>
      </c>
      <c r="D257" s="3" t="str">
        <f t="shared" si="18"/>
        <v>CIM</v>
      </c>
      <c r="E257" s="3" t="str">
        <f t="shared" si="19"/>
        <v>D</v>
      </c>
      <c r="F257" s="3" t="str">
        <f t="shared" si="20"/>
        <v>001</v>
      </c>
      <c r="G257" s="3" t="str">
        <f t="shared" si="21"/>
        <v>AB</v>
      </c>
      <c r="H257" s="3" t="str">
        <f t="shared" si="22"/>
        <v>000</v>
      </c>
      <c r="I257" s="3" t="str">
        <f t="shared" si="23"/>
        <v>00</v>
      </c>
      <c r="L257" s="3" t="s">
        <v>3309</v>
      </c>
      <c r="R257" s="3" t="s">
        <v>3981</v>
      </c>
      <c r="S257" s="15" t="s">
        <v>3247</v>
      </c>
    </row>
    <row r="258" spans="1:19" x14ac:dyDescent="0.25">
      <c r="A258" s="4" t="s">
        <v>3982</v>
      </c>
      <c r="B258" s="4" t="s">
        <v>42</v>
      </c>
      <c r="C258" s="4" t="s">
        <v>1479</v>
      </c>
      <c r="D258" s="3" t="str">
        <f t="shared" ref="D258:D321" si="24">LEFT(A258,3)</f>
        <v>CIM</v>
      </c>
      <c r="E258" s="3" t="str">
        <f t="shared" ref="E258:E321" si="25">MID(A258,4,1)</f>
        <v>D</v>
      </c>
      <c r="F258" s="3" t="str">
        <f t="shared" ref="F258:F321" si="26">MID(A258,5,3)</f>
        <v>002</v>
      </c>
      <c r="G258" s="3" t="str">
        <f t="shared" ref="G258:G321" si="27">MID(A258,8,2)</f>
        <v>AB</v>
      </c>
      <c r="H258" s="3" t="str">
        <f t="shared" ref="H258:H321" si="28">MID(A258,10,3)</f>
        <v>000</v>
      </c>
      <c r="I258" s="3" t="str">
        <f t="shared" ref="I258:I321" si="29">MID(A258,13,2)</f>
        <v>00</v>
      </c>
      <c r="L258" s="3" t="s">
        <v>3309</v>
      </c>
      <c r="R258" s="3" t="s">
        <v>3983</v>
      </c>
      <c r="S258" s="15" t="s">
        <v>3247</v>
      </c>
    </row>
    <row r="259" spans="1:19" x14ac:dyDescent="0.25">
      <c r="A259" s="4" t="s">
        <v>3984</v>
      </c>
      <c r="B259" s="4" t="s">
        <v>42</v>
      </c>
      <c r="C259" s="4" t="s">
        <v>3985</v>
      </c>
      <c r="D259" s="3" t="str">
        <f t="shared" si="24"/>
        <v>CIM</v>
      </c>
      <c r="E259" s="3" t="str">
        <f t="shared" si="25"/>
        <v>D</v>
      </c>
      <c r="F259" s="3" t="str">
        <f t="shared" si="26"/>
        <v>003</v>
      </c>
      <c r="G259" s="3" t="str">
        <f t="shared" si="27"/>
        <v>AB</v>
      </c>
      <c r="H259" s="3" t="str">
        <f t="shared" si="28"/>
        <v>000</v>
      </c>
      <c r="I259" s="3" t="str">
        <f t="shared" si="29"/>
        <v>00</v>
      </c>
      <c r="L259" s="3" t="s">
        <v>3309</v>
      </c>
      <c r="R259" s="3" t="s">
        <v>3986</v>
      </c>
      <c r="S259" s="15" t="s">
        <v>3247</v>
      </c>
    </row>
    <row r="260" spans="1:19" x14ac:dyDescent="0.25">
      <c r="A260" s="4" t="s">
        <v>3987</v>
      </c>
      <c r="B260" s="4" t="s">
        <v>42</v>
      </c>
      <c r="C260" s="4" t="s">
        <v>3988</v>
      </c>
      <c r="D260" s="3" t="str">
        <f t="shared" si="24"/>
        <v>CIM</v>
      </c>
      <c r="E260" s="3" t="str">
        <f t="shared" si="25"/>
        <v>B</v>
      </c>
      <c r="F260" s="3" t="str">
        <f t="shared" si="26"/>
        <v>006</v>
      </c>
      <c r="G260" s="3" t="str">
        <f t="shared" si="27"/>
        <v>GM</v>
      </c>
      <c r="H260" s="3" t="str">
        <f t="shared" si="28"/>
        <v>000</v>
      </c>
      <c r="I260" s="3" t="str">
        <f t="shared" si="29"/>
        <v>00</v>
      </c>
      <c r="L260" s="3" t="s">
        <v>3309</v>
      </c>
      <c r="R260" s="3" t="s">
        <v>3989</v>
      </c>
      <c r="S260" s="15" t="s">
        <v>3247</v>
      </c>
    </row>
    <row r="261" spans="1:19" x14ac:dyDescent="0.25">
      <c r="A261" s="4" t="s">
        <v>3990</v>
      </c>
      <c r="B261" s="4" t="s">
        <v>42</v>
      </c>
      <c r="C261" s="4" t="s">
        <v>1454</v>
      </c>
      <c r="D261" s="3" t="str">
        <f t="shared" si="24"/>
        <v>CIM</v>
      </c>
      <c r="E261" s="3" t="str">
        <f t="shared" si="25"/>
        <v>C</v>
      </c>
      <c r="F261" s="3" t="str">
        <f t="shared" si="26"/>
        <v>011</v>
      </c>
      <c r="G261" s="3" t="str">
        <f t="shared" si="27"/>
        <v>LR</v>
      </c>
      <c r="H261" s="3" t="str">
        <f t="shared" si="28"/>
        <v>000</v>
      </c>
      <c r="I261" s="3" t="str">
        <f t="shared" si="29"/>
        <v>00</v>
      </c>
      <c r="L261" s="3" t="s">
        <v>3309</v>
      </c>
      <c r="R261" s="3" t="s">
        <v>3991</v>
      </c>
      <c r="S261" s="15" t="s">
        <v>3247</v>
      </c>
    </row>
    <row r="262" spans="1:19" x14ac:dyDescent="0.25">
      <c r="A262" s="4" t="s">
        <v>3992</v>
      </c>
      <c r="B262" s="4" t="s">
        <v>42</v>
      </c>
      <c r="C262" s="4" t="s">
        <v>1455</v>
      </c>
      <c r="D262" s="3" t="str">
        <f t="shared" si="24"/>
        <v>CIM</v>
      </c>
      <c r="E262" s="3" t="str">
        <f t="shared" si="25"/>
        <v>C</v>
      </c>
      <c r="F262" s="3" t="str">
        <f t="shared" si="26"/>
        <v>012</v>
      </c>
      <c r="G262" s="3" t="str">
        <f t="shared" si="27"/>
        <v>LR</v>
      </c>
      <c r="H262" s="3" t="str">
        <f t="shared" si="28"/>
        <v>000</v>
      </c>
      <c r="I262" s="3" t="str">
        <f t="shared" si="29"/>
        <v>00</v>
      </c>
      <c r="L262" s="3" t="s">
        <v>3309</v>
      </c>
      <c r="R262" s="3" t="s">
        <v>3993</v>
      </c>
      <c r="S262" s="15" t="s">
        <v>3247</v>
      </c>
    </row>
    <row r="263" spans="1:19" x14ac:dyDescent="0.25">
      <c r="A263" s="4" t="s">
        <v>3994</v>
      </c>
      <c r="B263" s="4" t="s">
        <v>42</v>
      </c>
      <c r="C263" s="4" t="s">
        <v>3995</v>
      </c>
      <c r="D263" s="3" t="str">
        <f t="shared" si="24"/>
        <v>CIM</v>
      </c>
      <c r="E263" s="3" t="str">
        <f t="shared" si="25"/>
        <v>C</v>
      </c>
      <c r="F263" s="3" t="str">
        <f t="shared" si="26"/>
        <v>013</v>
      </c>
      <c r="G263" s="3" t="str">
        <f t="shared" si="27"/>
        <v>LR</v>
      </c>
      <c r="H263" s="3" t="str">
        <f t="shared" si="28"/>
        <v>000</v>
      </c>
      <c r="I263" s="3" t="str">
        <f t="shared" si="29"/>
        <v>00</v>
      </c>
      <c r="L263" s="3" t="s">
        <v>3309</v>
      </c>
      <c r="R263" s="3" t="s">
        <v>3996</v>
      </c>
      <c r="S263" s="15" t="s">
        <v>3247</v>
      </c>
    </row>
    <row r="264" spans="1:19" x14ac:dyDescent="0.25">
      <c r="A264" s="4" t="s">
        <v>3997</v>
      </c>
      <c r="B264" s="4" t="s">
        <v>42</v>
      </c>
      <c r="C264" s="4" t="s">
        <v>3998</v>
      </c>
      <c r="D264" s="3" t="str">
        <f t="shared" si="24"/>
        <v>CIM</v>
      </c>
      <c r="E264" s="3" t="str">
        <f t="shared" si="25"/>
        <v>E</v>
      </c>
      <c r="F264" s="3" t="str">
        <f t="shared" si="26"/>
        <v>006</v>
      </c>
      <c r="G264" s="3" t="str">
        <f t="shared" si="27"/>
        <v>AB</v>
      </c>
      <c r="H264" s="3" t="str">
        <f t="shared" si="28"/>
        <v>000</v>
      </c>
      <c r="I264" s="3" t="str">
        <f t="shared" si="29"/>
        <v>00</v>
      </c>
      <c r="L264" s="3" t="s">
        <v>3309</v>
      </c>
      <c r="R264" s="3" t="e">
        <v>#N/A</v>
      </c>
      <c r="S264" s="15" t="s">
        <v>3247</v>
      </c>
    </row>
    <row r="265" spans="1:19" x14ac:dyDescent="0.25">
      <c r="A265" s="4" t="s">
        <v>3999</v>
      </c>
      <c r="B265" s="4" t="s">
        <v>42</v>
      </c>
      <c r="C265" s="4" t="s">
        <v>4000</v>
      </c>
      <c r="D265" s="3" t="str">
        <f t="shared" si="24"/>
        <v>CIM</v>
      </c>
      <c r="E265" s="3" t="str">
        <f t="shared" si="25"/>
        <v>A</v>
      </c>
      <c r="F265" s="3" t="str">
        <f t="shared" si="26"/>
        <v>005</v>
      </c>
      <c r="G265" s="3" t="str">
        <f t="shared" si="27"/>
        <v>NA</v>
      </c>
      <c r="H265" s="3" t="str">
        <f t="shared" si="28"/>
        <v>000</v>
      </c>
      <c r="I265" s="3" t="str">
        <f t="shared" si="29"/>
        <v>00</v>
      </c>
      <c r="L265" s="3" t="s">
        <v>3309</v>
      </c>
      <c r="R265" s="3" t="s">
        <v>4001</v>
      </c>
      <c r="S265" s="15" t="s">
        <v>3247</v>
      </c>
    </row>
    <row r="266" spans="1:19" x14ac:dyDescent="0.25">
      <c r="A266" s="4" t="s">
        <v>4002</v>
      </c>
      <c r="B266" s="4" t="s">
        <v>42</v>
      </c>
      <c r="C266" s="4" t="s">
        <v>4003</v>
      </c>
      <c r="D266" s="3" t="str">
        <f t="shared" si="24"/>
        <v>CIM</v>
      </c>
      <c r="E266" s="3" t="str">
        <f t="shared" si="25"/>
        <v>A</v>
      </c>
      <c r="F266" s="3" t="str">
        <f t="shared" si="26"/>
        <v>006</v>
      </c>
      <c r="G266" s="3" t="str">
        <f t="shared" si="27"/>
        <v>NA</v>
      </c>
      <c r="H266" s="3" t="str">
        <f t="shared" si="28"/>
        <v>000</v>
      </c>
      <c r="I266" s="3" t="str">
        <f t="shared" si="29"/>
        <v>00</v>
      </c>
      <c r="L266" s="3" t="s">
        <v>3309</v>
      </c>
      <c r="R266" s="3" t="s">
        <v>4004</v>
      </c>
      <c r="S266" s="15" t="s">
        <v>3247</v>
      </c>
    </row>
    <row r="267" spans="1:19" x14ac:dyDescent="0.25">
      <c r="A267" s="4" t="s">
        <v>4005</v>
      </c>
      <c r="B267" s="4" t="s">
        <v>42</v>
      </c>
      <c r="C267" s="4" t="s">
        <v>1459</v>
      </c>
      <c r="D267" s="3" t="str">
        <f t="shared" si="24"/>
        <v>CIM</v>
      </c>
      <c r="E267" s="3" t="str">
        <f t="shared" si="25"/>
        <v>C</v>
      </c>
      <c r="F267" s="3" t="str">
        <f t="shared" si="26"/>
        <v>017</v>
      </c>
      <c r="G267" s="3" t="str">
        <f t="shared" si="27"/>
        <v>AB</v>
      </c>
      <c r="H267" s="3" t="str">
        <f t="shared" si="28"/>
        <v>000</v>
      </c>
      <c r="I267" s="3" t="str">
        <f t="shared" si="29"/>
        <v>00</v>
      </c>
      <c r="L267" s="3" t="s">
        <v>3309</v>
      </c>
      <c r="R267" s="3" t="s">
        <v>4006</v>
      </c>
      <c r="S267" s="15" t="s">
        <v>3247</v>
      </c>
    </row>
    <row r="268" spans="1:19" x14ac:dyDescent="0.25">
      <c r="A268" s="4" t="s">
        <v>4007</v>
      </c>
      <c r="B268" s="4" t="s">
        <v>42</v>
      </c>
      <c r="C268" s="4" t="s">
        <v>1460</v>
      </c>
      <c r="D268" s="3" t="str">
        <f t="shared" si="24"/>
        <v>CIM</v>
      </c>
      <c r="E268" s="3" t="str">
        <f t="shared" si="25"/>
        <v>C</v>
      </c>
      <c r="F268" s="3" t="str">
        <f t="shared" si="26"/>
        <v>018</v>
      </c>
      <c r="G268" s="3" t="str">
        <f t="shared" si="27"/>
        <v>AB</v>
      </c>
      <c r="H268" s="3" t="str">
        <f t="shared" si="28"/>
        <v>000</v>
      </c>
      <c r="I268" s="3" t="str">
        <f t="shared" si="29"/>
        <v>00</v>
      </c>
      <c r="L268" s="3" t="s">
        <v>3309</v>
      </c>
      <c r="R268" s="3" t="s">
        <v>4008</v>
      </c>
      <c r="S268" s="15" t="s">
        <v>3247</v>
      </c>
    </row>
    <row r="269" spans="1:19" x14ac:dyDescent="0.25">
      <c r="A269" s="4" t="s">
        <v>4009</v>
      </c>
      <c r="B269" s="4" t="s">
        <v>42</v>
      </c>
      <c r="C269" s="4" t="s">
        <v>1461</v>
      </c>
      <c r="D269" s="3" t="str">
        <f t="shared" si="24"/>
        <v>CIM</v>
      </c>
      <c r="E269" s="3" t="str">
        <f t="shared" si="25"/>
        <v>C</v>
      </c>
      <c r="F269" s="3" t="str">
        <f t="shared" si="26"/>
        <v>019</v>
      </c>
      <c r="G269" s="3" t="str">
        <f t="shared" si="27"/>
        <v>AB</v>
      </c>
      <c r="H269" s="3" t="str">
        <f t="shared" si="28"/>
        <v>000</v>
      </c>
      <c r="I269" s="3" t="str">
        <f t="shared" si="29"/>
        <v>00</v>
      </c>
      <c r="L269" s="3" t="s">
        <v>3309</v>
      </c>
      <c r="R269" s="3" t="s">
        <v>4010</v>
      </c>
      <c r="S269" s="15" t="s">
        <v>3247</v>
      </c>
    </row>
    <row r="270" spans="1:19" x14ac:dyDescent="0.25">
      <c r="A270" s="4" t="s">
        <v>4011</v>
      </c>
      <c r="B270" s="4" t="s">
        <v>42</v>
      </c>
      <c r="C270" s="4" t="s">
        <v>1462</v>
      </c>
      <c r="D270" s="3" t="str">
        <f t="shared" si="24"/>
        <v>CIM</v>
      </c>
      <c r="E270" s="3" t="str">
        <f t="shared" si="25"/>
        <v>C</v>
      </c>
      <c r="F270" s="3" t="str">
        <f t="shared" si="26"/>
        <v>020</v>
      </c>
      <c r="G270" s="3" t="str">
        <f t="shared" si="27"/>
        <v>AB</v>
      </c>
      <c r="H270" s="3" t="str">
        <f t="shared" si="28"/>
        <v>000</v>
      </c>
      <c r="I270" s="3" t="str">
        <f t="shared" si="29"/>
        <v>00</v>
      </c>
      <c r="L270" s="3" t="s">
        <v>3309</v>
      </c>
      <c r="R270" s="3" t="s">
        <v>4012</v>
      </c>
      <c r="S270" s="15" t="s">
        <v>3247</v>
      </c>
    </row>
    <row r="271" spans="1:19" x14ac:dyDescent="0.25">
      <c r="A271" s="4" t="s">
        <v>4013</v>
      </c>
      <c r="B271" s="4" t="s">
        <v>42</v>
      </c>
      <c r="C271" s="4" t="s">
        <v>1463</v>
      </c>
      <c r="D271" s="3" t="str">
        <f t="shared" si="24"/>
        <v>CIM</v>
      </c>
      <c r="E271" s="3" t="str">
        <f t="shared" si="25"/>
        <v>C</v>
      </c>
      <c r="F271" s="3" t="str">
        <f t="shared" si="26"/>
        <v>021</v>
      </c>
      <c r="G271" s="3" t="str">
        <f t="shared" si="27"/>
        <v>AB</v>
      </c>
      <c r="H271" s="3" t="str">
        <f t="shared" si="28"/>
        <v>000</v>
      </c>
      <c r="I271" s="3" t="str">
        <f t="shared" si="29"/>
        <v>00</v>
      </c>
      <c r="L271" s="3" t="s">
        <v>3309</v>
      </c>
      <c r="R271" s="3" t="s">
        <v>4014</v>
      </c>
      <c r="S271" s="15" t="s">
        <v>3247</v>
      </c>
    </row>
    <row r="272" spans="1:19" x14ac:dyDescent="0.25">
      <c r="A272" s="4" t="s">
        <v>4015</v>
      </c>
      <c r="B272" s="4" t="s">
        <v>42</v>
      </c>
      <c r="C272" s="4" t="s">
        <v>1464</v>
      </c>
      <c r="D272" s="3" t="str">
        <f t="shared" si="24"/>
        <v>CIM</v>
      </c>
      <c r="E272" s="3" t="str">
        <f t="shared" si="25"/>
        <v>C</v>
      </c>
      <c r="F272" s="3" t="str">
        <f t="shared" si="26"/>
        <v>022</v>
      </c>
      <c r="G272" s="3" t="str">
        <f t="shared" si="27"/>
        <v>AB</v>
      </c>
      <c r="H272" s="3" t="str">
        <f t="shared" si="28"/>
        <v>000</v>
      </c>
      <c r="I272" s="3" t="str">
        <f t="shared" si="29"/>
        <v>00</v>
      </c>
      <c r="L272" s="3" t="s">
        <v>3309</v>
      </c>
      <c r="R272" s="3" t="s">
        <v>4016</v>
      </c>
      <c r="S272" s="15" t="s">
        <v>3247</v>
      </c>
    </row>
    <row r="273" spans="1:19" x14ac:dyDescent="0.25">
      <c r="A273" s="4" t="s">
        <v>4017</v>
      </c>
      <c r="B273" s="4" t="s">
        <v>42</v>
      </c>
      <c r="C273" s="4" t="s">
        <v>1465</v>
      </c>
      <c r="D273" s="3" t="str">
        <f t="shared" si="24"/>
        <v>CIM</v>
      </c>
      <c r="E273" s="3" t="str">
        <f t="shared" si="25"/>
        <v>C</v>
      </c>
      <c r="F273" s="3" t="str">
        <f t="shared" si="26"/>
        <v>023</v>
      </c>
      <c r="G273" s="3" t="str">
        <f t="shared" si="27"/>
        <v>AB</v>
      </c>
      <c r="H273" s="3" t="str">
        <f t="shared" si="28"/>
        <v>000</v>
      </c>
      <c r="I273" s="3" t="str">
        <f t="shared" si="29"/>
        <v>00</v>
      </c>
      <c r="L273" s="3" t="s">
        <v>3309</v>
      </c>
      <c r="R273" s="3" t="s">
        <v>4018</v>
      </c>
      <c r="S273" s="15" t="s">
        <v>3247</v>
      </c>
    </row>
    <row r="274" spans="1:19" x14ac:dyDescent="0.25">
      <c r="A274" s="4" t="s">
        <v>4019</v>
      </c>
      <c r="B274" s="4" t="s">
        <v>42</v>
      </c>
      <c r="C274" s="4" t="s">
        <v>1466</v>
      </c>
      <c r="D274" s="3" t="str">
        <f t="shared" si="24"/>
        <v>CIM</v>
      </c>
      <c r="E274" s="3" t="str">
        <f t="shared" si="25"/>
        <v>C</v>
      </c>
      <c r="F274" s="3" t="str">
        <f t="shared" si="26"/>
        <v>024</v>
      </c>
      <c r="G274" s="3" t="str">
        <f t="shared" si="27"/>
        <v>AB</v>
      </c>
      <c r="H274" s="3" t="str">
        <f t="shared" si="28"/>
        <v>000</v>
      </c>
      <c r="I274" s="3" t="str">
        <f t="shared" si="29"/>
        <v>00</v>
      </c>
      <c r="L274" s="3" t="s">
        <v>3309</v>
      </c>
      <c r="R274" s="3" t="s">
        <v>4020</v>
      </c>
      <c r="S274" s="15" t="s">
        <v>3247</v>
      </c>
    </row>
    <row r="275" spans="1:19" x14ac:dyDescent="0.25">
      <c r="A275" s="4" t="s">
        <v>4021</v>
      </c>
      <c r="B275" s="4" t="s">
        <v>42</v>
      </c>
      <c r="C275" s="4" t="s">
        <v>1467</v>
      </c>
      <c r="D275" s="3" t="str">
        <f t="shared" si="24"/>
        <v>CIM</v>
      </c>
      <c r="E275" s="3" t="str">
        <f t="shared" si="25"/>
        <v>C</v>
      </c>
      <c r="F275" s="3" t="str">
        <f t="shared" si="26"/>
        <v>025</v>
      </c>
      <c r="G275" s="3" t="str">
        <f t="shared" si="27"/>
        <v>AB</v>
      </c>
      <c r="H275" s="3" t="str">
        <f t="shared" si="28"/>
        <v>000</v>
      </c>
      <c r="I275" s="3" t="str">
        <f t="shared" si="29"/>
        <v>00</v>
      </c>
      <c r="L275" s="3" t="s">
        <v>3309</v>
      </c>
      <c r="R275" s="3" t="s">
        <v>4022</v>
      </c>
      <c r="S275" s="15" t="s">
        <v>3247</v>
      </c>
    </row>
    <row r="276" spans="1:19" x14ac:dyDescent="0.25">
      <c r="A276" s="4" t="s">
        <v>4023</v>
      </c>
      <c r="B276" s="4" t="s">
        <v>42</v>
      </c>
      <c r="C276" s="4" t="s">
        <v>4024</v>
      </c>
      <c r="D276" s="3" t="str">
        <f t="shared" si="24"/>
        <v>CIM</v>
      </c>
      <c r="E276" s="3" t="str">
        <f t="shared" si="25"/>
        <v>C</v>
      </c>
      <c r="F276" s="3" t="str">
        <f t="shared" si="26"/>
        <v>026</v>
      </c>
      <c r="G276" s="3" t="str">
        <f t="shared" si="27"/>
        <v>AB</v>
      </c>
      <c r="H276" s="3" t="str">
        <f t="shared" si="28"/>
        <v>000</v>
      </c>
      <c r="I276" s="3" t="str">
        <f t="shared" si="29"/>
        <v>00</v>
      </c>
      <c r="L276" s="3" t="s">
        <v>3309</v>
      </c>
      <c r="R276" s="3" t="s">
        <v>4025</v>
      </c>
      <c r="S276" s="15" t="s">
        <v>3247</v>
      </c>
    </row>
    <row r="277" spans="1:19" x14ac:dyDescent="0.25">
      <c r="A277" s="4" t="s">
        <v>4026</v>
      </c>
      <c r="B277" s="4" t="s">
        <v>42</v>
      </c>
      <c r="C277" s="4" t="s">
        <v>1468</v>
      </c>
      <c r="D277" s="3" t="str">
        <f t="shared" si="24"/>
        <v>CIM</v>
      </c>
      <c r="E277" s="3" t="str">
        <f t="shared" si="25"/>
        <v>C</v>
      </c>
      <c r="F277" s="3" t="str">
        <f t="shared" si="26"/>
        <v>027</v>
      </c>
      <c r="G277" s="3" t="str">
        <f t="shared" si="27"/>
        <v>AB</v>
      </c>
      <c r="H277" s="3" t="str">
        <f t="shared" si="28"/>
        <v>000</v>
      </c>
      <c r="I277" s="3" t="str">
        <f t="shared" si="29"/>
        <v>00</v>
      </c>
      <c r="L277" s="3" t="s">
        <v>3309</v>
      </c>
      <c r="R277" s="3" t="s">
        <v>4027</v>
      </c>
      <c r="S277" s="15" t="s">
        <v>3247</v>
      </c>
    </row>
    <row r="278" spans="1:19" x14ac:dyDescent="0.25">
      <c r="A278" s="4" t="s">
        <v>4028</v>
      </c>
      <c r="B278" s="4" t="s">
        <v>42</v>
      </c>
      <c r="C278" s="4" t="s">
        <v>4029</v>
      </c>
      <c r="D278" s="3" t="str">
        <f t="shared" si="24"/>
        <v>CIM</v>
      </c>
      <c r="E278" s="3" t="str">
        <f t="shared" si="25"/>
        <v>A</v>
      </c>
      <c r="F278" s="3" t="str">
        <f t="shared" si="26"/>
        <v>007</v>
      </c>
      <c r="G278" s="3" t="str">
        <f t="shared" si="27"/>
        <v>NA</v>
      </c>
      <c r="H278" s="3" t="str">
        <f t="shared" si="28"/>
        <v>000</v>
      </c>
      <c r="I278" s="3" t="str">
        <f t="shared" si="29"/>
        <v>00</v>
      </c>
      <c r="L278" s="3" t="s">
        <v>3309</v>
      </c>
      <c r="R278" s="3" t="s">
        <v>4030</v>
      </c>
      <c r="S278" s="15" t="s">
        <v>3247</v>
      </c>
    </row>
    <row r="279" spans="1:19" x14ac:dyDescent="0.25">
      <c r="A279" s="4" t="s">
        <v>4031</v>
      </c>
      <c r="B279" s="4" t="s">
        <v>42</v>
      </c>
      <c r="C279" s="4" t="s">
        <v>4032</v>
      </c>
      <c r="D279" s="3" t="str">
        <f t="shared" si="24"/>
        <v>CIM</v>
      </c>
      <c r="E279" s="3" t="str">
        <f t="shared" si="25"/>
        <v>B</v>
      </c>
      <c r="F279" s="3" t="str">
        <f t="shared" si="26"/>
        <v>004</v>
      </c>
      <c r="G279" s="3" t="str">
        <f t="shared" si="27"/>
        <v>AB</v>
      </c>
      <c r="H279" s="3" t="str">
        <f t="shared" si="28"/>
        <v>000</v>
      </c>
      <c r="I279" s="3" t="str">
        <f t="shared" si="29"/>
        <v>00</v>
      </c>
      <c r="L279" s="3" t="s">
        <v>3309</v>
      </c>
      <c r="R279" s="3" t="s">
        <v>4033</v>
      </c>
      <c r="S279" s="15" t="s">
        <v>3247</v>
      </c>
    </row>
    <row r="280" spans="1:19" x14ac:dyDescent="0.25">
      <c r="A280" s="4" t="s">
        <v>4034</v>
      </c>
      <c r="B280" s="4" t="s">
        <v>42</v>
      </c>
      <c r="C280" s="4" t="s">
        <v>4035</v>
      </c>
      <c r="D280" s="3" t="str">
        <f t="shared" si="24"/>
        <v>CIM</v>
      </c>
      <c r="E280" s="3" t="str">
        <f t="shared" si="25"/>
        <v>B</v>
      </c>
      <c r="F280" s="3" t="str">
        <f t="shared" si="26"/>
        <v>028</v>
      </c>
      <c r="G280" s="3" t="str">
        <f t="shared" si="27"/>
        <v>AB</v>
      </c>
      <c r="H280" s="3" t="str">
        <f t="shared" si="28"/>
        <v>000</v>
      </c>
      <c r="I280" s="3" t="str">
        <f t="shared" si="29"/>
        <v>00</v>
      </c>
      <c r="L280" s="3" t="s">
        <v>3309</v>
      </c>
      <c r="R280" s="3" t="s">
        <v>4036</v>
      </c>
      <c r="S280" s="15" t="s">
        <v>3247</v>
      </c>
    </row>
    <row r="281" spans="1:19" x14ac:dyDescent="0.25">
      <c r="A281" s="4" t="s">
        <v>4037</v>
      </c>
      <c r="B281" s="4" t="s">
        <v>42</v>
      </c>
      <c r="C281" s="4" t="s">
        <v>1470</v>
      </c>
      <c r="D281" s="3" t="str">
        <f t="shared" si="24"/>
        <v>CIM</v>
      </c>
      <c r="E281" s="3" t="str">
        <f t="shared" si="25"/>
        <v>B</v>
      </c>
      <c r="F281" s="3" t="str">
        <f t="shared" si="26"/>
        <v>029</v>
      </c>
      <c r="G281" s="3" t="str">
        <f t="shared" si="27"/>
        <v>AB</v>
      </c>
      <c r="H281" s="3" t="str">
        <f t="shared" si="28"/>
        <v>000</v>
      </c>
      <c r="I281" s="3" t="str">
        <f t="shared" si="29"/>
        <v>00</v>
      </c>
      <c r="L281" s="3" t="s">
        <v>3309</v>
      </c>
      <c r="R281" s="3" t="s">
        <v>4038</v>
      </c>
      <c r="S281" s="15" t="s">
        <v>3247</v>
      </c>
    </row>
    <row r="282" spans="1:19" x14ac:dyDescent="0.25">
      <c r="A282" s="4" t="s">
        <v>4039</v>
      </c>
      <c r="B282" s="4" t="s">
        <v>42</v>
      </c>
      <c r="C282" s="4" t="s">
        <v>1471</v>
      </c>
      <c r="D282" s="3" t="str">
        <f t="shared" si="24"/>
        <v>CIM</v>
      </c>
      <c r="E282" s="3" t="str">
        <f t="shared" si="25"/>
        <v>B</v>
      </c>
      <c r="F282" s="3" t="str">
        <f t="shared" si="26"/>
        <v>030</v>
      </c>
      <c r="G282" s="3" t="str">
        <f t="shared" si="27"/>
        <v>AB</v>
      </c>
      <c r="H282" s="3" t="str">
        <f t="shared" si="28"/>
        <v>000</v>
      </c>
      <c r="I282" s="3" t="str">
        <f t="shared" si="29"/>
        <v>00</v>
      </c>
      <c r="L282" s="3" t="s">
        <v>3309</v>
      </c>
      <c r="R282" s="3" t="s">
        <v>4040</v>
      </c>
      <c r="S282" s="15" t="s">
        <v>3247</v>
      </c>
    </row>
    <row r="283" spans="1:19" ht="30" x14ac:dyDescent="0.25">
      <c r="A283" s="4" t="s">
        <v>4041</v>
      </c>
      <c r="B283" s="4" t="s">
        <v>42</v>
      </c>
      <c r="C283" s="4" t="s">
        <v>4042</v>
      </c>
      <c r="D283" s="3" t="str">
        <f t="shared" si="24"/>
        <v>CIM</v>
      </c>
      <c r="E283" s="3" t="str">
        <f t="shared" si="25"/>
        <v>F</v>
      </c>
      <c r="F283" s="3" t="str">
        <f t="shared" si="26"/>
        <v>029</v>
      </c>
      <c r="G283" s="3" t="str">
        <f t="shared" si="27"/>
        <v>AB</v>
      </c>
      <c r="H283" s="3" t="str">
        <f t="shared" si="28"/>
        <v>000</v>
      </c>
      <c r="I283" s="3" t="str">
        <f t="shared" si="29"/>
        <v>00</v>
      </c>
      <c r="L283" s="3" t="s">
        <v>3608</v>
      </c>
      <c r="R283" s="3" t="s">
        <v>4043</v>
      </c>
      <c r="S283" s="15" t="s">
        <v>3247</v>
      </c>
    </row>
    <row r="284" spans="1:19" x14ac:dyDescent="0.25">
      <c r="A284" s="4" t="s">
        <v>4044</v>
      </c>
      <c r="B284" s="4" t="s">
        <v>4045</v>
      </c>
      <c r="C284" s="4" t="s">
        <v>2346</v>
      </c>
      <c r="D284" s="3" t="str">
        <f t="shared" si="24"/>
        <v>CIV</v>
      </c>
      <c r="E284" s="3" t="str">
        <f t="shared" si="25"/>
        <v>C</v>
      </c>
      <c r="F284" s="3" t="str">
        <f t="shared" si="26"/>
        <v>000</v>
      </c>
      <c r="G284" s="3" t="str">
        <f t="shared" si="27"/>
        <v>XX</v>
      </c>
      <c r="H284" s="3" t="str">
        <f t="shared" si="28"/>
        <v>000</v>
      </c>
      <c r="I284" s="3" t="str">
        <f t="shared" si="29"/>
        <v>00</v>
      </c>
      <c r="L284" s="3" t="s">
        <v>3309</v>
      </c>
      <c r="R284" s="3" t="s">
        <v>2346</v>
      </c>
      <c r="S284" s="15" t="s">
        <v>3247</v>
      </c>
    </row>
    <row r="285" spans="1:19" x14ac:dyDescent="0.25">
      <c r="A285" s="4" t="s">
        <v>4046</v>
      </c>
      <c r="B285" s="4" t="s">
        <v>4045</v>
      </c>
      <c r="C285" s="4" t="s">
        <v>4046</v>
      </c>
      <c r="D285" s="3" t="str">
        <f t="shared" si="24"/>
        <v>CIV</v>
      </c>
      <c r="E285" s="3" t="str">
        <f t="shared" si="25"/>
        <v>E</v>
      </c>
      <c r="F285" s="3" t="str">
        <f t="shared" si="26"/>
        <v>000</v>
      </c>
      <c r="G285" s="3" t="str">
        <f t="shared" si="27"/>
        <v>XX</v>
      </c>
      <c r="H285" s="3" t="str">
        <f t="shared" si="28"/>
        <v>000</v>
      </c>
      <c r="I285" s="3" t="str">
        <f t="shared" si="29"/>
        <v>00</v>
      </c>
      <c r="L285" s="3" t="s">
        <v>3309</v>
      </c>
      <c r="R285" s="3" t="s">
        <v>4047</v>
      </c>
      <c r="S285" s="15" t="s">
        <v>3247</v>
      </c>
    </row>
    <row r="286" spans="1:19" ht="30" x14ac:dyDescent="0.25">
      <c r="A286" s="4" t="s">
        <v>4048</v>
      </c>
      <c r="B286" s="4" t="s">
        <v>57</v>
      </c>
      <c r="C286" s="4" t="s">
        <v>4049</v>
      </c>
      <c r="D286" s="3" t="str">
        <f t="shared" si="24"/>
        <v>ELA</v>
      </c>
      <c r="E286" s="3" t="str">
        <f t="shared" si="25"/>
        <v>J</v>
      </c>
      <c r="F286" s="3" t="str">
        <f t="shared" si="26"/>
        <v>001</v>
      </c>
      <c r="G286" s="3" t="str">
        <f t="shared" si="27"/>
        <v>ST</v>
      </c>
      <c r="H286" s="3" t="str">
        <f t="shared" si="28"/>
        <v>000</v>
      </c>
      <c r="I286" s="3" t="str">
        <f t="shared" si="29"/>
        <v>00</v>
      </c>
      <c r="L286" s="3" t="s">
        <v>3245</v>
      </c>
      <c r="R286" s="3" t="s">
        <v>4050</v>
      </c>
      <c r="S286" s="15" t="s">
        <v>3247</v>
      </c>
    </row>
    <row r="287" spans="1:19" ht="30" x14ac:dyDescent="0.25">
      <c r="A287" s="4" t="s">
        <v>4051</v>
      </c>
      <c r="B287" s="4" t="s">
        <v>57</v>
      </c>
      <c r="C287" s="4" t="s">
        <v>4052</v>
      </c>
      <c r="D287" s="3" t="str">
        <f t="shared" si="24"/>
        <v>DPI</v>
      </c>
      <c r="E287" s="3" t="str">
        <f t="shared" si="25"/>
        <v>A</v>
      </c>
      <c r="F287" s="3" t="str">
        <f t="shared" si="26"/>
        <v>001</v>
      </c>
      <c r="G287" s="3" t="str">
        <f t="shared" si="27"/>
        <v>AL</v>
      </c>
      <c r="H287" s="3" t="str">
        <f t="shared" si="28"/>
        <v>001</v>
      </c>
      <c r="I287" s="3" t="str">
        <f t="shared" si="29"/>
        <v>00</v>
      </c>
      <c r="L287" s="3" t="s">
        <v>3309</v>
      </c>
      <c r="R287" s="3" t="s">
        <v>4053</v>
      </c>
      <c r="S287" s="15" t="s">
        <v>3247</v>
      </c>
    </row>
    <row r="288" spans="1:19" ht="30" x14ac:dyDescent="0.25">
      <c r="A288" s="4" t="s">
        <v>4054</v>
      </c>
      <c r="B288" s="4" t="s">
        <v>57</v>
      </c>
      <c r="C288" s="4" t="s">
        <v>2397</v>
      </c>
      <c r="D288" s="3" t="str">
        <f t="shared" si="24"/>
        <v>DPI</v>
      </c>
      <c r="E288" s="3" t="str">
        <f t="shared" si="25"/>
        <v>B</v>
      </c>
      <c r="F288" s="3" t="str">
        <f t="shared" si="26"/>
        <v>002</v>
      </c>
      <c r="G288" s="3" t="str">
        <f t="shared" si="27"/>
        <v>AL</v>
      </c>
      <c r="H288" s="3" t="str">
        <f t="shared" si="28"/>
        <v>007</v>
      </c>
      <c r="I288" s="3" t="str">
        <f t="shared" si="29"/>
        <v>00</v>
      </c>
      <c r="L288" s="3" t="s">
        <v>3309</v>
      </c>
      <c r="R288" s="3" t="s">
        <v>4055</v>
      </c>
      <c r="S288" s="15" t="s">
        <v>3247</v>
      </c>
    </row>
    <row r="289" spans="1:19" ht="30" x14ac:dyDescent="0.25">
      <c r="A289" s="4" t="s">
        <v>4056</v>
      </c>
      <c r="B289" s="4" t="s">
        <v>57</v>
      </c>
      <c r="C289" s="4" t="s">
        <v>4057</v>
      </c>
      <c r="D289" s="3" t="str">
        <f t="shared" si="24"/>
        <v>DPI</v>
      </c>
      <c r="E289" s="3" t="str">
        <f t="shared" si="25"/>
        <v>E</v>
      </c>
      <c r="F289" s="3" t="str">
        <f t="shared" si="26"/>
        <v>000</v>
      </c>
      <c r="G289" s="3" t="str">
        <f t="shared" si="27"/>
        <v>AL</v>
      </c>
      <c r="H289" s="3" t="str">
        <f t="shared" si="28"/>
        <v>003</v>
      </c>
      <c r="I289" s="3" t="str">
        <f t="shared" si="29"/>
        <v>00</v>
      </c>
      <c r="L289" s="3" t="s">
        <v>3309</v>
      </c>
      <c r="R289" s="3" t="s">
        <v>4058</v>
      </c>
      <c r="S289" s="15" t="s">
        <v>3247</v>
      </c>
    </row>
    <row r="290" spans="1:19" ht="45" x14ac:dyDescent="0.25">
      <c r="A290" s="4" t="s">
        <v>4059</v>
      </c>
      <c r="B290" s="4" t="s">
        <v>57</v>
      </c>
      <c r="C290" s="4" t="s">
        <v>4060</v>
      </c>
      <c r="D290" s="3" t="str">
        <f t="shared" si="24"/>
        <v>DPI</v>
      </c>
      <c r="E290" s="3" t="str">
        <f t="shared" si="25"/>
        <v>C</v>
      </c>
      <c r="F290" s="3" t="str">
        <f t="shared" si="26"/>
        <v>000</v>
      </c>
      <c r="G290" s="3" t="str">
        <f t="shared" si="27"/>
        <v>AL</v>
      </c>
      <c r="H290" s="3" t="str">
        <f t="shared" si="28"/>
        <v>008</v>
      </c>
      <c r="I290" s="3" t="str">
        <f t="shared" si="29"/>
        <v>01</v>
      </c>
      <c r="L290" s="3" t="s">
        <v>3309</v>
      </c>
      <c r="R290" s="3" t="s">
        <v>4061</v>
      </c>
      <c r="S290" s="15" t="s">
        <v>3247</v>
      </c>
    </row>
    <row r="291" spans="1:19" ht="30" x14ac:dyDescent="0.25">
      <c r="A291" s="4" t="s">
        <v>4062</v>
      </c>
      <c r="B291" s="4" t="s">
        <v>57</v>
      </c>
      <c r="C291" s="4" t="s">
        <v>2401</v>
      </c>
      <c r="D291" s="3" t="str">
        <f t="shared" si="24"/>
        <v>DPI</v>
      </c>
      <c r="E291" s="3" t="str">
        <f t="shared" si="25"/>
        <v>F</v>
      </c>
      <c r="F291" s="3" t="str">
        <f t="shared" si="26"/>
        <v>000</v>
      </c>
      <c r="G291" s="3" t="str">
        <f t="shared" si="27"/>
        <v>AL</v>
      </c>
      <c r="H291" s="3" t="str">
        <f t="shared" si="28"/>
        <v>010</v>
      </c>
      <c r="I291" s="3" t="str">
        <f t="shared" si="29"/>
        <v>00</v>
      </c>
      <c r="L291" s="3" t="s">
        <v>3309</v>
      </c>
      <c r="R291" s="3" t="s">
        <v>4063</v>
      </c>
      <c r="S291" s="15" t="s">
        <v>3247</v>
      </c>
    </row>
    <row r="292" spans="1:19" ht="30" x14ac:dyDescent="0.25">
      <c r="A292" s="4" t="s">
        <v>4064</v>
      </c>
      <c r="B292" s="4" t="s">
        <v>57</v>
      </c>
      <c r="C292" s="4" t="s">
        <v>2402</v>
      </c>
      <c r="D292" s="3" t="str">
        <f t="shared" si="24"/>
        <v>DPI</v>
      </c>
      <c r="E292" s="3" t="str">
        <f t="shared" si="25"/>
        <v>G</v>
      </c>
      <c r="F292" s="3" t="str">
        <f t="shared" si="26"/>
        <v>000</v>
      </c>
      <c r="G292" s="3" t="str">
        <f t="shared" si="27"/>
        <v>AL</v>
      </c>
      <c r="H292" s="3" t="str">
        <f t="shared" si="28"/>
        <v>011</v>
      </c>
      <c r="I292" s="3" t="str">
        <f t="shared" si="29"/>
        <v>00</v>
      </c>
      <c r="L292" s="3" t="s">
        <v>3309</v>
      </c>
      <c r="R292" s="3" t="s">
        <v>4065</v>
      </c>
      <c r="S292" s="15" t="s">
        <v>3247</v>
      </c>
    </row>
    <row r="293" spans="1:19" ht="30" x14ac:dyDescent="0.25">
      <c r="A293" s="4" t="s">
        <v>4066</v>
      </c>
      <c r="B293" s="4" t="s">
        <v>57</v>
      </c>
      <c r="C293" s="4" t="s">
        <v>2403</v>
      </c>
      <c r="D293" s="3" t="str">
        <f t="shared" si="24"/>
        <v>DPI</v>
      </c>
      <c r="E293" s="3" t="str">
        <f t="shared" si="25"/>
        <v>H</v>
      </c>
      <c r="F293" s="3" t="str">
        <f t="shared" si="26"/>
        <v>000</v>
      </c>
      <c r="G293" s="3" t="str">
        <f t="shared" si="27"/>
        <v>WE</v>
      </c>
      <c r="H293" s="3" t="str">
        <f t="shared" si="28"/>
        <v>000</v>
      </c>
      <c r="I293" s="3" t="str">
        <f t="shared" si="29"/>
        <v>00</v>
      </c>
      <c r="L293" s="3" t="s">
        <v>3309</v>
      </c>
      <c r="R293" s="3" t="s">
        <v>4067</v>
      </c>
      <c r="S293" s="15" t="s">
        <v>3247</v>
      </c>
    </row>
    <row r="294" spans="1:19" ht="30" x14ac:dyDescent="0.25">
      <c r="A294" s="4" t="s">
        <v>4068</v>
      </c>
      <c r="B294" s="4" t="s">
        <v>57</v>
      </c>
      <c r="C294" s="4" t="s">
        <v>2404</v>
      </c>
      <c r="D294" s="3" t="str">
        <f t="shared" si="24"/>
        <v>DPI</v>
      </c>
      <c r="E294" s="3" t="str">
        <f t="shared" si="25"/>
        <v>I</v>
      </c>
      <c r="F294" s="3" t="str">
        <f t="shared" si="26"/>
        <v>000</v>
      </c>
      <c r="G294" s="3" t="str">
        <f t="shared" si="27"/>
        <v>RI</v>
      </c>
      <c r="H294" s="3" t="str">
        <f t="shared" si="28"/>
        <v>000</v>
      </c>
      <c r="I294" s="3" t="str">
        <f t="shared" si="29"/>
        <v>00</v>
      </c>
      <c r="L294" s="3" t="s">
        <v>3309</v>
      </c>
      <c r="R294" s="3" t="s">
        <v>4069</v>
      </c>
      <c r="S294" s="15" t="s">
        <v>3247</v>
      </c>
    </row>
    <row r="295" spans="1:19" ht="30" x14ac:dyDescent="0.25">
      <c r="A295" s="4" t="s">
        <v>4070</v>
      </c>
      <c r="B295" s="4" t="s">
        <v>57</v>
      </c>
      <c r="C295" s="4" t="s">
        <v>2405</v>
      </c>
      <c r="D295" s="3" t="str">
        <f t="shared" si="24"/>
        <v>DPI</v>
      </c>
      <c r="E295" s="3" t="str">
        <f t="shared" si="25"/>
        <v>J</v>
      </c>
      <c r="F295" s="3" t="str">
        <f t="shared" si="26"/>
        <v>000</v>
      </c>
      <c r="G295" s="3" t="str">
        <f t="shared" si="27"/>
        <v>AL</v>
      </c>
      <c r="H295" s="3" t="str">
        <f t="shared" si="28"/>
        <v>000</v>
      </c>
      <c r="I295" s="3" t="str">
        <f t="shared" si="29"/>
        <v>00</v>
      </c>
      <c r="L295" s="3" t="s">
        <v>3309</v>
      </c>
      <c r="R295" s="3" t="s">
        <v>4071</v>
      </c>
      <c r="S295" s="15" t="s">
        <v>3247</v>
      </c>
    </row>
    <row r="296" spans="1:19" ht="30" x14ac:dyDescent="0.25">
      <c r="A296" s="4" t="s">
        <v>4072</v>
      </c>
      <c r="B296" s="4" t="s">
        <v>57</v>
      </c>
      <c r="C296" s="4" t="s">
        <v>2408</v>
      </c>
      <c r="D296" s="3" t="str">
        <f t="shared" si="24"/>
        <v>DPI</v>
      </c>
      <c r="E296" s="3" t="str">
        <f t="shared" si="25"/>
        <v>M</v>
      </c>
      <c r="F296" s="3" t="str">
        <f t="shared" si="26"/>
        <v>005</v>
      </c>
      <c r="G296" s="3" t="str">
        <f t="shared" si="27"/>
        <v>AL</v>
      </c>
      <c r="H296" s="3" t="str">
        <f t="shared" si="28"/>
        <v>012</v>
      </c>
      <c r="I296" s="3" t="str">
        <f t="shared" si="29"/>
        <v>00</v>
      </c>
      <c r="L296" s="3" t="s">
        <v>3309</v>
      </c>
      <c r="R296" s="3" t="s">
        <v>4073</v>
      </c>
      <c r="S296" s="15" t="s">
        <v>3247</v>
      </c>
    </row>
    <row r="297" spans="1:19" ht="30" x14ac:dyDescent="0.25">
      <c r="A297" s="4" t="s">
        <v>4074</v>
      </c>
      <c r="B297" s="4" t="s">
        <v>57</v>
      </c>
      <c r="C297" s="4" t="s">
        <v>3210</v>
      </c>
      <c r="D297" s="3" t="str">
        <f t="shared" si="24"/>
        <v>DPI</v>
      </c>
      <c r="E297" s="3" t="str">
        <f t="shared" si="25"/>
        <v>P</v>
      </c>
      <c r="F297" s="3" t="str">
        <f t="shared" si="26"/>
        <v>000</v>
      </c>
      <c r="G297" s="3" t="str">
        <f t="shared" si="27"/>
        <v>AL</v>
      </c>
      <c r="H297" s="3" t="str">
        <f t="shared" si="28"/>
        <v>013</v>
      </c>
      <c r="I297" s="3" t="str">
        <f t="shared" si="29"/>
        <v>04</v>
      </c>
      <c r="L297" s="3" t="s">
        <v>3309</v>
      </c>
      <c r="R297" s="3" t="s">
        <v>4075</v>
      </c>
      <c r="S297" s="15" t="s">
        <v>3247</v>
      </c>
    </row>
    <row r="298" spans="1:19" ht="30" x14ac:dyDescent="0.25">
      <c r="A298" t="s">
        <v>4076</v>
      </c>
      <c r="B298" t="s">
        <v>57</v>
      </c>
      <c r="C298" s="4" t="s">
        <v>3211</v>
      </c>
      <c r="D298" s="3" t="str">
        <f t="shared" si="24"/>
        <v>DPI</v>
      </c>
      <c r="E298" s="3" t="str">
        <f t="shared" si="25"/>
        <v>P</v>
      </c>
      <c r="F298" s="3" t="str">
        <f t="shared" si="26"/>
        <v>000</v>
      </c>
      <c r="G298" s="3" t="str">
        <f t="shared" si="27"/>
        <v>AL</v>
      </c>
      <c r="H298" s="3" t="str">
        <f t="shared" si="28"/>
        <v>014</v>
      </c>
      <c r="I298" s="3" t="str">
        <f t="shared" si="29"/>
        <v>05</v>
      </c>
      <c r="J298" s="18"/>
      <c r="K298" s="18"/>
      <c r="L298" s="3" t="s">
        <v>3309</v>
      </c>
      <c r="M298" s="18"/>
      <c r="N298" s="18"/>
      <c r="O298" s="18"/>
      <c r="P298" s="18"/>
      <c r="Q298" s="18"/>
      <c r="R298" s="3" t="s">
        <v>4077</v>
      </c>
      <c r="S298" s="15" t="s">
        <v>3247</v>
      </c>
    </row>
    <row r="299" spans="1:19" ht="30" x14ac:dyDescent="0.25">
      <c r="A299" s="4" t="s">
        <v>4078</v>
      </c>
      <c r="B299" s="4" t="s">
        <v>57</v>
      </c>
      <c r="C299" s="4" t="s">
        <v>3212</v>
      </c>
      <c r="D299" s="3" t="str">
        <f t="shared" si="24"/>
        <v>DPI</v>
      </c>
      <c r="E299" s="3" t="str">
        <f t="shared" si="25"/>
        <v>P</v>
      </c>
      <c r="F299" s="3" t="str">
        <f t="shared" si="26"/>
        <v>000</v>
      </c>
      <c r="G299" s="3" t="str">
        <f t="shared" si="27"/>
        <v>AL</v>
      </c>
      <c r="H299" s="3" t="str">
        <f t="shared" si="28"/>
        <v>015</v>
      </c>
      <c r="I299" s="3" t="str">
        <f t="shared" si="29"/>
        <v>06</v>
      </c>
      <c r="L299" s="3" t="s">
        <v>3309</v>
      </c>
      <c r="R299" s="3" t="s">
        <v>4079</v>
      </c>
      <c r="S299" s="15" t="s">
        <v>3247</v>
      </c>
    </row>
    <row r="300" spans="1:19" ht="30" x14ac:dyDescent="0.25">
      <c r="A300" s="4" t="s">
        <v>4080</v>
      </c>
      <c r="B300" s="4" t="s">
        <v>57</v>
      </c>
      <c r="C300" s="4" t="s">
        <v>3213</v>
      </c>
      <c r="D300" s="3" t="str">
        <f t="shared" si="24"/>
        <v>DPI</v>
      </c>
      <c r="E300" s="3" t="str">
        <f t="shared" si="25"/>
        <v>P</v>
      </c>
      <c r="F300" s="3" t="str">
        <f t="shared" si="26"/>
        <v>000</v>
      </c>
      <c r="G300" s="3" t="str">
        <f t="shared" si="27"/>
        <v>AL</v>
      </c>
      <c r="H300" s="3" t="str">
        <f t="shared" si="28"/>
        <v>016</v>
      </c>
      <c r="I300" s="3" t="str">
        <f t="shared" si="29"/>
        <v>07</v>
      </c>
      <c r="L300" s="3" t="s">
        <v>3309</v>
      </c>
      <c r="R300" s="3" t="s">
        <v>4081</v>
      </c>
      <c r="S300" s="15" t="s">
        <v>3247</v>
      </c>
    </row>
    <row r="301" spans="1:19" ht="30" x14ac:dyDescent="0.25">
      <c r="A301" s="4" t="s">
        <v>4082</v>
      </c>
      <c r="B301" s="4" t="s">
        <v>57</v>
      </c>
      <c r="C301" s="4" t="s">
        <v>3214</v>
      </c>
      <c r="D301" s="3" t="str">
        <f t="shared" si="24"/>
        <v>DPI</v>
      </c>
      <c r="E301" s="3" t="str">
        <f t="shared" si="25"/>
        <v>P</v>
      </c>
      <c r="F301" s="3" t="str">
        <f t="shared" si="26"/>
        <v>000</v>
      </c>
      <c r="G301" s="3" t="str">
        <f t="shared" si="27"/>
        <v>AL</v>
      </c>
      <c r="H301" s="3" t="str">
        <f t="shared" si="28"/>
        <v>017</v>
      </c>
      <c r="I301" s="3" t="str">
        <f t="shared" si="29"/>
        <v>08</v>
      </c>
      <c r="L301" s="3" t="s">
        <v>3309</v>
      </c>
      <c r="R301" s="3" t="s">
        <v>4083</v>
      </c>
      <c r="S301" s="15" t="s">
        <v>3247</v>
      </c>
    </row>
    <row r="302" spans="1:19" ht="30" x14ac:dyDescent="0.25">
      <c r="A302" s="4" t="s">
        <v>4084</v>
      </c>
      <c r="B302" s="4" t="s">
        <v>57</v>
      </c>
      <c r="C302" s="4" t="s">
        <v>3215</v>
      </c>
      <c r="D302" s="3" t="str">
        <f t="shared" si="24"/>
        <v>DPI</v>
      </c>
      <c r="E302" s="3" t="str">
        <f t="shared" si="25"/>
        <v>P</v>
      </c>
      <c r="F302" s="3" t="str">
        <f t="shared" si="26"/>
        <v>000</v>
      </c>
      <c r="G302" s="3" t="str">
        <f t="shared" si="27"/>
        <v>AL</v>
      </c>
      <c r="H302" s="3" t="str">
        <f t="shared" si="28"/>
        <v>018</v>
      </c>
      <c r="I302" s="3" t="str">
        <f t="shared" si="29"/>
        <v>09</v>
      </c>
      <c r="L302" s="3" t="s">
        <v>3309</v>
      </c>
      <c r="R302" s="3" t="s">
        <v>4085</v>
      </c>
      <c r="S302" s="15" t="s">
        <v>3247</v>
      </c>
    </row>
    <row r="303" spans="1:19" ht="30" x14ac:dyDescent="0.25">
      <c r="A303" s="4" t="s">
        <v>4086</v>
      </c>
      <c r="B303" s="4" t="s">
        <v>57</v>
      </c>
      <c r="C303" s="4" t="s">
        <v>3216</v>
      </c>
      <c r="D303" s="3" t="str">
        <f t="shared" si="24"/>
        <v>DPI</v>
      </c>
      <c r="E303" s="3" t="str">
        <f t="shared" si="25"/>
        <v>P</v>
      </c>
      <c r="F303" s="3" t="str">
        <f t="shared" si="26"/>
        <v>000</v>
      </c>
      <c r="G303" s="3" t="str">
        <f t="shared" si="27"/>
        <v>AL</v>
      </c>
      <c r="H303" s="3" t="str">
        <f t="shared" si="28"/>
        <v>019</v>
      </c>
      <c r="I303" s="3" t="str">
        <f t="shared" si="29"/>
        <v>10</v>
      </c>
      <c r="L303" s="3" t="s">
        <v>3309</v>
      </c>
      <c r="R303" s="3" t="s">
        <v>4087</v>
      </c>
      <c r="S303" s="15" t="s">
        <v>3247</v>
      </c>
    </row>
    <row r="304" spans="1:19" ht="45" x14ac:dyDescent="0.25">
      <c r="A304" s="4" t="s">
        <v>4088</v>
      </c>
      <c r="B304" s="4" t="s">
        <v>57</v>
      </c>
      <c r="C304" s="4" t="s">
        <v>4089</v>
      </c>
      <c r="D304" s="3" t="str">
        <f t="shared" si="24"/>
        <v>DPI</v>
      </c>
      <c r="E304" s="3" t="str">
        <f t="shared" si="25"/>
        <v>P</v>
      </c>
      <c r="F304" s="3" t="str">
        <f t="shared" si="26"/>
        <v>000</v>
      </c>
      <c r="G304" s="3" t="str">
        <f t="shared" si="27"/>
        <v>AL</v>
      </c>
      <c r="H304" s="3" t="str">
        <f t="shared" si="28"/>
        <v>020</v>
      </c>
      <c r="I304" s="3" t="str">
        <f t="shared" si="29"/>
        <v>11</v>
      </c>
      <c r="L304" s="3" t="s">
        <v>3309</v>
      </c>
      <c r="R304" s="3" t="s">
        <v>4090</v>
      </c>
      <c r="S304" s="15" t="s">
        <v>3247</v>
      </c>
    </row>
    <row r="305" spans="1:19" ht="30" x14ac:dyDescent="0.25">
      <c r="A305" s="4" t="s">
        <v>4091</v>
      </c>
      <c r="B305" s="4" t="s">
        <v>57</v>
      </c>
      <c r="C305" s="4" t="s">
        <v>3209</v>
      </c>
      <c r="D305" s="3" t="str">
        <f t="shared" si="24"/>
        <v>DPI</v>
      </c>
      <c r="E305" s="3" t="str">
        <f t="shared" si="25"/>
        <v>P</v>
      </c>
      <c r="F305" s="3" t="str">
        <f t="shared" si="26"/>
        <v>000</v>
      </c>
      <c r="G305" s="3" t="str">
        <f t="shared" si="27"/>
        <v>AL</v>
      </c>
      <c r="H305" s="3" t="str">
        <f t="shared" si="28"/>
        <v>021</v>
      </c>
      <c r="I305" s="3" t="str">
        <f t="shared" si="29"/>
        <v>12</v>
      </c>
      <c r="L305" s="3" t="s">
        <v>3309</v>
      </c>
      <c r="R305" s="3" t="s">
        <v>4092</v>
      </c>
      <c r="S305" s="15" t="s">
        <v>3247</v>
      </c>
    </row>
    <row r="306" spans="1:19" ht="30" x14ac:dyDescent="0.25">
      <c r="A306" s="4" t="s">
        <v>4093</v>
      </c>
      <c r="B306" s="4" t="s">
        <v>57</v>
      </c>
      <c r="C306" s="4" t="s">
        <v>4094</v>
      </c>
      <c r="D306" s="3" t="str">
        <f t="shared" si="24"/>
        <v>DPI</v>
      </c>
      <c r="E306" s="3" t="str">
        <f t="shared" si="25"/>
        <v>P</v>
      </c>
      <c r="F306" s="3" t="str">
        <f t="shared" si="26"/>
        <v>000</v>
      </c>
      <c r="G306" s="3" t="str">
        <f t="shared" si="27"/>
        <v>AL</v>
      </c>
      <c r="H306" s="3" t="str">
        <f t="shared" si="28"/>
        <v>022</v>
      </c>
      <c r="I306" s="3" t="str">
        <f t="shared" si="29"/>
        <v>13</v>
      </c>
      <c r="L306" s="3" t="s">
        <v>3309</v>
      </c>
      <c r="R306" s="3" t="s">
        <v>4095</v>
      </c>
      <c r="S306" s="15" t="s">
        <v>3247</v>
      </c>
    </row>
    <row r="307" spans="1:19" ht="45" x14ac:dyDescent="0.25">
      <c r="A307" s="4" t="s">
        <v>4096</v>
      </c>
      <c r="B307" s="4" t="s">
        <v>57</v>
      </c>
      <c r="C307" s="4" t="s">
        <v>3222</v>
      </c>
      <c r="D307" s="3" t="str">
        <f t="shared" si="24"/>
        <v>DPI</v>
      </c>
      <c r="E307" s="3" t="str">
        <f t="shared" si="25"/>
        <v>P</v>
      </c>
      <c r="F307" s="3" t="str">
        <f t="shared" si="26"/>
        <v>000</v>
      </c>
      <c r="G307" s="3" t="str">
        <f t="shared" si="27"/>
        <v>AL</v>
      </c>
      <c r="H307" s="3" t="str">
        <f t="shared" si="28"/>
        <v>023</v>
      </c>
      <c r="I307" s="3" t="str">
        <f t="shared" si="29"/>
        <v>14</v>
      </c>
      <c r="L307" s="3" t="s">
        <v>3309</v>
      </c>
      <c r="R307" s="3" t="s">
        <v>4097</v>
      </c>
      <c r="S307" s="15" t="s">
        <v>3247</v>
      </c>
    </row>
    <row r="308" spans="1:19" ht="30" x14ac:dyDescent="0.25">
      <c r="A308" s="4" t="s">
        <v>4098</v>
      </c>
      <c r="B308" s="4" t="s">
        <v>57</v>
      </c>
      <c r="C308" s="4" t="s">
        <v>2411</v>
      </c>
      <c r="D308" s="3" t="str">
        <f t="shared" si="24"/>
        <v>DPI</v>
      </c>
      <c r="E308" s="3" t="str">
        <f t="shared" si="25"/>
        <v>Q</v>
      </c>
      <c r="F308" s="3" t="str">
        <f t="shared" si="26"/>
        <v>006</v>
      </c>
      <c r="G308" s="3" t="str">
        <f t="shared" si="27"/>
        <v>AL</v>
      </c>
      <c r="H308" s="3" t="str">
        <f t="shared" si="28"/>
        <v>024</v>
      </c>
      <c r="I308" s="3" t="str">
        <f t="shared" si="29"/>
        <v>00</v>
      </c>
      <c r="L308" s="3" t="s">
        <v>3309</v>
      </c>
      <c r="R308" s="3" t="s">
        <v>4099</v>
      </c>
      <c r="S308" s="15" t="s">
        <v>3247</v>
      </c>
    </row>
    <row r="309" spans="1:19" x14ac:dyDescent="0.25">
      <c r="A309" s="4" t="s">
        <v>4100</v>
      </c>
      <c r="B309" s="4" t="s">
        <v>4101</v>
      </c>
      <c r="C309" s="4" t="s">
        <v>4102</v>
      </c>
      <c r="D309" s="3" t="str">
        <f t="shared" si="24"/>
        <v>ELA</v>
      </c>
      <c r="E309" s="3" t="str">
        <f t="shared" si="25"/>
        <v>U</v>
      </c>
      <c r="F309" s="3" t="str">
        <f t="shared" si="26"/>
        <v>101</v>
      </c>
      <c r="G309" s="3" t="str">
        <f t="shared" si="27"/>
        <v>TR</v>
      </c>
      <c r="H309" s="3" t="str">
        <f t="shared" si="28"/>
        <v>000</v>
      </c>
      <c r="I309" s="3" t="str">
        <f t="shared" si="29"/>
        <v>00</v>
      </c>
      <c r="L309" s="3" t="s">
        <v>3309</v>
      </c>
      <c r="R309" s="3" t="s">
        <v>4103</v>
      </c>
      <c r="S309" s="15" t="s">
        <v>3247</v>
      </c>
    </row>
    <row r="310" spans="1:19" x14ac:dyDescent="0.25">
      <c r="A310" s="4" t="s">
        <v>4104</v>
      </c>
      <c r="B310" s="4" t="s">
        <v>4101</v>
      </c>
      <c r="C310" s="4" t="s">
        <v>4105</v>
      </c>
      <c r="D310" s="3" t="str">
        <f t="shared" si="24"/>
        <v>ELA</v>
      </c>
      <c r="E310" s="3" t="str">
        <f t="shared" si="25"/>
        <v>U</v>
      </c>
      <c r="F310" s="3" t="str">
        <f t="shared" si="26"/>
        <v>201</v>
      </c>
      <c r="G310" s="3" t="str">
        <f t="shared" si="27"/>
        <v>TR</v>
      </c>
      <c r="H310" s="3" t="str">
        <f t="shared" si="28"/>
        <v>000</v>
      </c>
      <c r="I310" s="3" t="str">
        <f t="shared" si="29"/>
        <v>00</v>
      </c>
      <c r="L310" s="3" t="s">
        <v>3309</v>
      </c>
      <c r="R310" s="3" t="s">
        <v>4106</v>
      </c>
      <c r="S310" s="15" t="s">
        <v>3247</v>
      </c>
    </row>
    <row r="311" spans="1:19" x14ac:dyDescent="0.25">
      <c r="A311" s="4" t="s">
        <v>4107</v>
      </c>
      <c r="B311" s="4" t="s">
        <v>4101</v>
      </c>
      <c r="C311" s="4" t="s">
        <v>533</v>
      </c>
      <c r="D311" s="3" t="str">
        <f t="shared" si="24"/>
        <v>ELA</v>
      </c>
      <c r="E311" s="3" t="str">
        <f t="shared" si="25"/>
        <v>U</v>
      </c>
      <c r="F311" s="3" t="str">
        <f t="shared" si="26"/>
        <v>105</v>
      </c>
      <c r="G311" s="3" t="str">
        <f t="shared" si="27"/>
        <v>VS</v>
      </c>
      <c r="H311" s="3" t="str">
        <f t="shared" si="28"/>
        <v>000</v>
      </c>
      <c r="I311" s="3" t="str">
        <f t="shared" si="29"/>
        <v>00</v>
      </c>
      <c r="L311" s="3" t="s">
        <v>3309</v>
      </c>
      <c r="R311" s="3" t="s">
        <v>4108</v>
      </c>
      <c r="S311" s="15" t="s">
        <v>3247</v>
      </c>
    </row>
    <row r="312" spans="1:19" x14ac:dyDescent="0.25">
      <c r="A312" s="4" t="s">
        <v>4109</v>
      </c>
      <c r="B312" s="4" t="s">
        <v>4101</v>
      </c>
      <c r="C312" s="4" t="s">
        <v>4110</v>
      </c>
      <c r="D312" s="3" t="str">
        <f t="shared" si="24"/>
        <v>ELA</v>
      </c>
      <c r="E312" s="3" t="str">
        <f t="shared" si="25"/>
        <v>U</v>
      </c>
      <c r="F312" s="3" t="str">
        <f t="shared" si="26"/>
        <v>101</v>
      </c>
      <c r="G312" s="3" t="str">
        <f t="shared" si="27"/>
        <v>NA</v>
      </c>
      <c r="H312" s="3" t="str">
        <f t="shared" si="28"/>
        <v>000</v>
      </c>
      <c r="I312" s="3" t="str">
        <f t="shared" si="29"/>
        <v>00</v>
      </c>
      <c r="L312" s="3" t="s">
        <v>3309</v>
      </c>
      <c r="R312" s="3" t="s">
        <v>4111</v>
      </c>
      <c r="S312" s="15" t="s">
        <v>3247</v>
      </c>
    </row>
    <row r="313" spans="1:19" x14ac:dyDescent="0.25">
      <c r="A313" s="4" t="s">
        <v>4112</v>
      </c>
      <c r="B313" s="4" t="s">
        <v>4101</v>
      </c>
      <c r="C313" s="4" t="s">
        <v>4113</v>
      </c>
      <c r="D313" s="3" t="str">
        <f t="shared" si="24"/>
        <v>ELA</v>
      </c>
      <c r="E313" s="3" t="str">
        <f t="shared" si="25"/>
        <v>U</v>
      </c>
      <c r="F313" s="3" t="str">
        <f t="shared" si="26"/>
        <v>107</v>
      </c>
      <c r="G313" s="3" t="str">
        <f t="shared" si="27"/>
        <v>VS</v>
      </c>
      <c r="H313" s="3" t="str">
        <f t="shared" si="28"/>
        <v>000</v>
      </c>
      <c r="I313" s="3" t="str">
        <f t="shared" si="29"/>
        <v>00</v>
      </c>
      <c r="L313" s="3" t="s">
        <v>3309</v>
      </c>
      <c r="R313" s="3" t="s">
        <v>4114</v>
      </c>
      <c r="S313" s="15" t="s">
        <v>3247</v>
      </c>
    </row>
    <row r="314" spans="1:19" x14ac:dyDescent="0.25">
      <c r="A314" s="4" t="s">
        <v>4115</v>
      </c>
      <c r="B314" s="4" t="s">
        <v>4101</v>
      </c>
      <c r="C314" s="4" t="s">
        <v>4116</v>
      </c>
      <c r="D314" s="3" t="str">
        <f t="shared" si="24"/>
        <v>ELA</v>
      </c>
      <c r="E314" s="3" t="str">
        <f t="shared" si="25"/>
        <v>U</v>
      </c>
      <c r="F314" s="3" t="str">
        <f t="shared" si="26"/>
        <v>108</v>
      </c>
      <c r="G314" s="3" t="str">
        <f t="shared" si="27"/>
        <v>VS</v>
      </c>
      <c r="H314" s="3" t="str">
        <f t="shared" si="28"/>
        <v>000</v>
      </c>
      <c r="I314" s="3" t="str">
        <f t="shared" si="29"/>
        <v>00</v>
      </c>
      <c r="L314" s="3" t="s">
        <v>3309</v>
      </c>
      <c r="R314" s="3" t="s">
        <v>4117</v>
      </c>
      <c r="S314" s="15" t="s">
        <v>3247</v>
      </c>
    </row>
    <row r="315" spans="1:19" x14ac:dyDescent="0.25">
      <c r="A315" s="4" t="s">
        <v>4118</v>
      </c>
      <c r="B315" s="4" t="s">
        <v>4101</v>
      </c>
      <c r="C315" s="4" t="s">
        <v>537</v>
      </c>
      <c r="D315" s="3" t="str">
        <f t="shared" si="24"/>
        <v>ELA</v>
      </c>
      <c r="E315" s="3" t="str">
        <f t="shared" si="25"/>
        <v>U</v>
      </c>
      <c r="F315" s="3" t="str">
        <f t="shared" si="26"/>
        <v>109</v>
      </c>
      <c r="G315" s="3" t="str">
        <f t="shared" si="27"/>
        <v>TR</v>
      </c>
      <c r="H315" s="3" t="str">
        <f t="shared" si="28"/>
        <v>000</v>
      </c>
      <c r="I315" s="3" t="str">
        <f t="shared" si="29"/>
        <v>00</v>
      </c>
      <c r="L315" s="3" t="s">
        <v>3309</v>
      </c>
      <c r="R315" s="3" t="s">
        <v>4119</v>
      </c>
      <c r="S315" s="15" t="s">
        <v>3247</v>
      </c>
    </row>
    <row r="316" spans="1:19" ht="30" x14ac:dyDescent="0.25">
      <c r="A316" s="4" t="s">
        <v>4120</v>
      </c>
      <c r="B316" s="4" t="s">
        <v>4101</v>
      </c>
      <c r="C316" s="4" t="s">
        <v>538</v>
      </c>
      <c r="D316" s="3" t="str">
        <f t="shared" si="24"/>
        <v>ELA</v>
      </c>
      <c r="E316" s="3" t="str">
        <f t="shared" si="25"/>
        <v>U</v>
      </c>
      <c r="F316" s="3" t="str">
        <f t="shared" si="26"/>
        <v>110</v>
      </c>
      <c r="G316" s="3" t="str">
        <f t="shared" si="27"/>
        <v>TR</v>
      </c>
      <c r="H316" s="3" t="str">
        <f t="shared" si="28"/>
        <v>000</v>
      </c>
      <c r="I316" s="3" t="str">
        <f t="shared" si="29"/>
        <v>00</v>
      </c>
      <c r="L316" s="3" t="s">
        <v>3309</v>
      </c>
      <c r="R316" s="3" t="s">
        <v>4121</v>
      </c>
      <c r="S316" s="15" t="s">
        <v>3247</v>
      </c>
    </row>
    <row r="317" spans="1:19" x14ac:dyDescent="0.25">
      <c r="A317" s="4" t="s">
        <v>4122</v>
      </c>
      <c r="B317" s="4" t="s">
        <v>4101</v>
      </c>
      <c r="C317" s="4" t="s">
        <v>539</v>
      </c>
      <c r="D317" s="3" t="str">
        <f t="shared" si="24"/>
        <v>ELA</v>
      </c>
      <c r="E317" s="3" t="str">
        <f t="shared" si="25"/>
        <v>U</v>
      </c>
      <c r="F317" s="3" t="str">
        <f t="shared" si="26"/>
        <v>111</v>
      </c>
      <c r="G317" s="3" t="str">
        <f t="shared" si="27"/>
        <v>NA</v>
      </c>
      <c r="H317" s="3" t="str">
        <f t="shared" si="28"/>
        <v>000</v>
      </c>
      <c r="I317" s="3" t="str">
        <f t="shared" si="29"/>
        <v>00</v>
      </c>
      <c r="L317" s="3" t="s">
        <v>3309</v>
      </c>
      <c r="R317" s="3" t="s">
        <v>4123</v>
      </c>
      <c r="S317" s="15" t="s">
        <v>3247</v>
      </c>
    </row>
    <row r="318" spans="1:19" x14ac:dyDescent="0.25">
      <c r="A318" s="4" t="s">
        <v>4124</v>
      </c>
      <c r="B318" s="4" t="s">
        <v>4101</v>
      </c>
      <c r="C318" s="4" t="s">
        <v>4125</v>
      </c>
      <c r="D318" s="3" t="str">
        <f t="shared" si="24"/>
        <v>ELA</v>
      </c>
      <c r="E318" s="3" t="str">
        <f t="shared" si="25"/>
        <v>U</v>
      </c>
      <c r="F318" s="3" t="str">
        <f t="shared" si="26"/>
        <v>203</v>
      </c>
      <c r="G318" s="3" t="str">
        <f t="shared" si="27"/>
        <v>NA</v>
      </c>
      <c r="H318" s="3" t="str">
        <f t="shared" si="28"/>
        <v>000</v>
      </c>
      <c r="I318" s="3" t="str">
        <f t="shared" si="29"/>
        <v>00</v>
      </c>
      <c r="L318" s="3" t="s">
        <v>3309</v>
      </c>
      <c r="R318" s="3" t="s">
        <v>4126</v>
      </c>
      <c r="S318" s="15" t="s">
        <v>3247</v>
      </c>
    </row>
    <row r="319" spans="1:19" x14ac:dyDescent="0.25">
      <c r="A319" s="4" t="s">
        <v>4127</v>
      </c>
      <c r="B319" s="4" t="s">
        <v>4101</v>
      </c>
      <c r="C319" s="4" t="s">
        <v>4128</v>
      </c>
      <c r="D319" s="3" t="str">
        <f t="shared" si="24"/>
        <v>ELA</v>
      </c>
      <c r="E319" s="3" t="str">
        <f t="shared" si="25"/>
        <v>U</v>
      </c>
      <c r="F319" s="3" t="str">
        <f t="shared" si="26"/>
        <v>108</v>
      </c>
      <c r="G319" s="3" t="str">
        <f t="shared" si="27"/>
        <v>NA</v>
      </c>
      <c r="H319" s="3" t="str">
        <f t="shared" si="28"/>
        <v>000</v>
      </c>
      <c r="I319" s="3" t="str">
        <f t="shared" si="29"/>
        <v>00</v>
      </c>
      <c r="L319" s="3" t="s">
        <v>3309</v>
      </c>
      <c r="R319" s="3" t="s">
        <v>4129</v>
      </c>
      <c r="S319" s="15" t="s">
        <v>3247</v>
      </c>
    </row>
    <row r="320" spans="1:19" x14ac:dyDescent="0.25">
      <c r="A320" s="4" t="s">
        <v>4130</v>
      </c>
      <c r="B320" s="4" t="s">
        <v>4101</v>
      </c>
      <c r="C320" s="4" t="s">
        <v>4131</v>
      </c>
      <c r="D320" s="3" t="str">
        <f t="shared" si="24"/>
        <v>ELA</v>
      </c>
      <c r="E320" s="3" t="str">
        <f t="shared" si="25"/>
        <v>U</v>
      </c>
      <c r="F320" s="3" t="str">
        <f t="shared" si="26"/>
        <v>109</v>
      </c>
      <c r="G320" s="3" t="str">
        <f t="shared" si="27"/>
        <v>NA</v>
      </c>
      <c r="H320" s="3" t="str">
        <f t="shared" si="28"/>
        <v>000</v>
      </c>
      <c r="I320" s="3" t="str">
        <f t="shared" si="29"/>
        <v>00</v>
      </c>
      <c r="L320" s="3" t="s">
        <v>3309</v>
      </c>
      <c r="R320" s="3" t="s">
        <v>4132</v>
      </c>
      <c r="S320" s="15" t="s">
        <v>3247</v>
      </c>
    </row>
    <row r="321" spans="1:19" x14ac:dyDescent="0.25">
      <c r="A321" s="4" t="s">
        <v>4133</v>
      </c>
      <c r="B321" s="4" t="s">
        <v>4101</v>
      </c>
      <c r="C321" s="4" t="s">
        <v>545</v>
      </c>
      <c r="D321" s="3" t="str">
        <f t="shared" si="24"/>
        <v>ELA</v>
      </c>
      <c r="E321" s="3" t="str">
        <f t="shared" si="25"/>
        <v>U</v>
      </c>
      <c r="F321" s="3" t="str">
        <f t="shared" si="26"/>
        <v>204</v>
      </c>
      <c r="G321" s="3" t="str">
        <f t="shared" si="27"/>
        <v>NA</v>
      </c>
      <c r="H321" s="3" t="str">
        <f t="shared" si="28"/>
        <v>000</v>
      </c>
      <c r="I321" s="3" t="str">
        <f t="shared" si="29"/>
        <v>00</v>
      </c>
      <c r="L321" s="3" t="s">
        <v>3309</v>
      </c>
      <c r="R321" s="3" t="s">
        <v>4134</v>
      </c>
      <c r="S321" s="15" t="s">
        <v>3247</v>
      </c>
    </row>
    <row r="322" spans="1:19" ht="30" x14ac:dyDescent="0.25">
      <c r="A322" s="4" t="s">
        <v>4135</v>
      </c>
      <c r="B322" s="4" t="s">
        <v>4101</v>
      </c>
      <c r="C322" s="4" t="s">
        <v>4136</v>
      </c>
      <c r="D322" s="3" t="str">
        <f t="shared" ref="D322:D385" si="30">LEFT(A322,3)</f>
        <v>ELA</v>
      </c>
      <c r="E322" s="3" t="str">
        <f t="shared" ref="E322:E385" si="31">MID(A322,4,1)</f>
        <v>U</v>
      </c>
      <c r="F322" s="3" t="str">
        <f t="shared" ref="F322:F385" si="32">MID(A322,5,3)</f>
        <v>113</v>
      </c>
      <c r="G322" s="3" t="str">
        <f t="shared" ref="G322:G385" si="33">MID(A322,8,2)</f>
        <v>KA</v>
      </c>
      <c r="H322" s="3" t="str">
        <f t="shared" ref="H322:H385" si="34">MID(A322,10,3)</f>
        <v>006</v>
      </c>
      <c r="I322" s="3" t="str">
        <f t="shared" ref="I322:I385" si="35">MID(A322,13,2)</f>
        <v>00</v>
      </c>
      <c r="L322" s="3" t="s">
        <v>3309</v>
      </c>
      <c r="R322" s="3" t="s">
        <v>4137</v>
      </c>
      <c r="S322" s="15">
        <v>1</v>
      </c>
    </row>
    <row r="323" spans="1:19" x14ac:dyDescent="0.25">
      <c r="A323" s="4" t="s">
        <v>4138</v>
      </c>
      <c r="B323" s="4" t="s">
        <v>4101</v>
      </c>
      <c r="C323" s="4" t="s">
        <v>4139</v>
      </c>
      <c r="D323" s="3" t="str">
        <f t="shared" si="30"/>
        <v>ELA</v>
      </c>
      <c r="E323" s="3" t="str">
        <f t="shared" si="31"/>
        <v>U</v>
      </c>
      <c r="F323" s="3" t="str">
        <f t="shared" si="32"/>
        <v>206</v>
      </c>
      <c r="G323" s="3" t="str">
        <f t="shared" si="33"/>
        <v>ST</v>
      </c>
      <c r="H323" s="3" t="str">
        <f t="shared" si="34"/>
        <v>000</v>
      </c>
      <c r="I323" s="3" t="str">
        <f t="shared" si="35"/>
        <v>00</v>
      </c>
      <c r="L323" s="3" t="s">
        <v>3309</v>
      </c>
      <c r="R323" s="3" t="s">
        <v>4140</v>
      </c>
      <c r="S323" s="15" t="s">
        <v>3247</v>
      </c>
    </row>
    <row r="324" spans="1:19" x14ac:dyDescent="0.25">
      <c r="A324" s="4" t="s">
        <v>4141</v>
      </c>
      <c r="B324" s="4" t="s">
        <v>4101</v>
      </c>
      <c r="C324" s="4" t="s">
        <v>4142</v>
      </c>
      <c r="D324" s="3" t="str">
        <f t="shared" si="30"/>
        <v>ELA</v>
      </c>
      <c r="E324" s="3" t="str">
        <f t="shared" si="31"/>
        <v>U</v>
      </c>
      <c r="F324" s="3" t="str">
        <f t="shared" si="32"/>
        <v>207</v>
      </c>
      <c r="G324" s="3" t="str">
        <f t="shared" si="33"/>
        <v>ST</v>
      </c>
      <c r="H324" s="3" t="str">
        <f t="shared" si="34"/>
        <v>000</v>
      </c>
      <c r="I324" s="3" t="str">
        <f t="shared" si="35"/>
        <v>00</v>
      </c>
      <c r="L324" s="3" t="s">
        <v>3309</v>
      </c>
      <c r="R324" s="3" t="s">
        <v>4143</v>
      </c>
      <c r="S324" s="15" t="s">
        <v>3247</v>
      </c>
    </row>
    <row r="325" spans="1:19" ht="30" x14ac:dyDescent="0.25">
      <c r="A325" s="4" t="s">
        <v>4144</v>
      </c>
      <c r="B325" s="4" t="s">
        <v>17</v>
      </c>
      <c r="C325" s="4" t="s">
        <v>4145</v>
      </c>
      <c r="D325" s="3" t="str">
        <f t="shared" si="30"/>
        <v>EFM</v>
      </c>
      <c r="E325" s="3" t="str">
        <f t="shared" si="31"/>
        <v>R</v>
      </c>
      <c r="F325" s="3" t="str">
        <f t="shared" si="32"/>
        <v>008</v>
      </c>
      <c r="G325" s="3" t="str">
        <f t="shared" si="33"/>
        <v>PL</v>
      </c>
      <c r="H325" s="3" t="str">
        <f t="shared" si="34"/>
        <v>000</v>
      </c>
      <c r="I325" s="3" t="str">
        <f t="shared" si="35"/>
        <v>04</v>
      </c>
      <c r="L325" s="3" t="s">
        <v>3309</v>
      </c>
      <c r="R325" s="3" t="s">
        <v>4146</v>
      </c>
      <c r="S325" s="15" t="s">
        <v>3247</v>
      </c>
    </row>
    <row r="326" spans="1:19" ht="30" x14ac:dyDescent="0.25">
      <c r="A326" s="4" t="s">
        <v>4147</v>
      </c>
      <c r="B326" s="4" t="s">
        <v>17</v>
      </c>
      <c r="C326" s="4" t="s">
        <v>4148</v>
      </c>
      <c r="D326" s="3" t="str">
        <f t="shared" si="30"/>
        <v>EFM</v>
      </c>
      <c r="E326" s="3" t="str">
        <f t="shared" si="31"/>
        <v>R</v>
      </c>
      <c r="F326" s="3" t="str">
        <f t="shared" si="32"/>
        <v>009</v>
      </c>
      <c r="G326" s="3" t="str">
        <f t="shared" si="33"/>
        <v>PL</v>
      </c>
      <c r="H326" s="3" t="str">
        <f t="shared" si="34"/>
        <v>000</v>
      </c>
      <c r="I326" s="3" t="str">
        <f t="shared" si="35"/>
        <v>05</v>
      </c>
      <c r="L326" s="3" t="s">
        <v>3309</v>
      </c>
      <c r="R326" s="3" t="s">
        <v>4149</v>
      </c>
      <c r="S326" s="15" t="s">
        <v>3247</v>
      </c>
    </row>
    <row r="327" spans="1:19" ht="30" x14ac:dyDescent="0.25">
      <c r="A327" s="4" t="s">
        <v>4150</v>
      </c>
      <c r="B327" s="4" t="s">
        <v>17</v>
      </c>
      <c r="C327" s="4" t="s">
        <v>4151</v>
      </c>
      <c r="D327" s="3" t="str">
        <f t="shared" si="30"/>
        <v>EFM</v>
      </c>
      <c r="E327" s="3" t="str">
        <f t="shared" si="31"/>
        <v>R</v>
      </c>
      <c r="F327" s="3" t="str">
        <f t="shared" si="32"/>
        <v>006</v>
      </c>
      <c r="G327" s="3" t="str">
        <f t="shared" si="33"/>
        <v>PL</v>
      </c>
      <c r="H327" s="3" t="str">
        <f t="shared" si="34"/>
        <v>000</v>
      </c>
      <c r="I327" s="3" t="str">
        <f t="shared" si="35"/>
        <v>06</v>
      </c>
      <c r="L327" s="3" t="s">
        <v>3309</v>
      </c>
      <c r="R327" s="3" t="s">
        <v>4152</v>
      </c>
      <c r="S327" s="15" t="s">
        <v>3247</v>
      </c>
    </row>
    <row r="328" spans="1:19" ht="30" x14ac:dyDescent="0.25">
      <c r="A328" s="4" t="s">
        <v>4153</v>
      </c>
      <c r="B328" s="4" t="s">
        <v>17</v>
      </c>
      <c r="C328" s="4" t="s">
        <v>4154</v>
      </c>
      <c r="D328" s="3" t="str">
        <f t="shared" si="30"/>
        <v>EFM</v>
      </c>
      <c r="E328" s="3" t="str">
        <f t="shared" si="31"/>
        <v>R</v>
      </c>
      <c r="F328" s="3" t="str">
        <f t="shared" si="32"/>
        <v>007</v>
      </c>
      <c r="G328" s="3" t="str">
        <f t="shared" si="33"/>
        <v>PL</v>
      </c>
      <c r="H328" s="3" t="str">
        <f t="shared" si="34"/>
        <v>000</v>
      </c>
      <c r="I328" s="3" t="str">
        <f t="shared" si="35"/>
        <v>04</v>
      </c>
      <c r="L328" s="3" t="s">
        <v>3309</v>
      </c>
      <c r="R328" s="3" t="s">
        <v>4155</v>
      </c>
      <c r="S328" s="15" t="s">
        <v>3247</v>
      </c>
    </row>
    <row r="329" spans="1:19" ht="30" x14ac:dyDescent="0.25">
      <c r="A329" s="4" t="s">
        <v>4156</v>
      </c>
      <c r="B329" s="4" t="s">
        <v>17</v>
      </c>
      <c r="C329" s="4" t="s">
        <v>4157</v>
      </c>
      <c r="D329" s="3" t="str">
        <f t="shared" si="30"/>
        <v>EFM</v>
      </c>
      <c r="E329" s="3" t="str">
        <f t="shared" si="31"/>
        <v>I</v>
      </c>
      <c r="F329" s="3" t="str">
        <f t="shared" si="32"/>
        <v>006</v>
      </c>
      <c r="G329" s="3" t="str">
        <f t="shared" si="33"/>
        <v>PL</v>
      </c>
      <c r="H329" s="3" t="str">
        <f t="shared" si="34"/>
        <v>000</v>
      </c>
      <c r="I329" s="3" t="str">
        <f t="shared" si="35"/>
        <v>04</v>
      </c>
      <c r="L329" s="3" t="s">
        <v>3309</v>
      </c>
      <c r="R329" s="3" t="s">
        <v>4158</v>
      </c>
      <c r="S329" s="15" t="s">
        <v>3247</v>
      </c>
    </row>
    <row r="330" spans="1:19" ht="30" x14ac:dyDescent="0.25">
      <c r="A330" s="4" t="s">
        <v>4159</v>
      </c>
      <c r="B330" s="4" t="s">
        <v>17</v>
      </c>
      <c r="C330" s="4" t="s">
        <v>4160</v>
      </c>
      <c r="D330" s="3" t="str">
        <f t="shared" si="30"/>
        <v>EFM</v>
      </c>
      <c r="E330" s="3" t="str">
        <f t="shared" si="31"/>
        <v>I</v>
      </c>
      <c r="F330" s="3" t="str">
        <f t="shared" si="32"/>
        <v>006</v>
      </c>
      <c r="G330" s="3" t="str">
        <f t="shared" si="33"/>
        <v>PL</v>
      </c>
      <c r="H330" s="3" t="str">
        <f t="shared" si="34"/>
        <v>000</v>
      </c>
      <c r="I330" s="3" t="str">
        <f t="shared" si="35"/>
        <v>05</v>
      </c>
      <c r="L330" s="3" t="s">
        <v>3309</v>
      </c>
      <c r="R330" s="3" t="s">
        <v>4161</v>
      </c>
      <c r="S330" s="15" t="s">
        <v>3247</v>
      </c>
    </row>
    <row r="331" spans="1:19" ht="45" x14ac:dyDescent="0.25">
      <c r="A331" s="4" t="s">
        <v>4162</v>
      </c>
      <c r="B331" s="4" t="s">
        <v>17</v>
      </c>
      <c r="C331" s="4" t="s">
        <v>4163</v>
      </c>
      <c r="D331" s="3" t="str">
        <f t="shared" si="30"/>
        <v>EFM</v>
      </c>
      <c r="E331" s="3" t="str">
        <f t="shared" si="31"/>
        <v>R</v>
      </c>
      <c r="F331" s="3" t="str">
        <f t="shared" si="32"/>
        <v>005</v>
      </c>
      <c r="G331" s="3" t="str">
        <f t="shared" si="33"/>
        <v>SB</v>
      </c>
      <c r="H331" s="3" t="str">
        <f t="shared" si="34"/>
        <v>001</v>
      </c>
      <c r="I331" s="3" t="str">
        <f t="shared" si="35"/>
        <v>03</v>
      </c>
      <c r="L331" s="3" t="s">
        <v>3309</v>
      </c>
      <c r="R331" s="3" t="s">
        <v>4164</v>
      </c>
      <c r="S331" s="15" t="s">
        <v>3247</v>
      </c>
    </row>
    <row r="332" spans="1:19" ht="30" x14ac:dyDescent="0.25">
      <c r="A332" s="4" t="s">
        <v>4165</v>
      </c>
      <c r="B332" s="4" t="s">
        <v>17</v>
      </c>
      <c r="C332" s="4" t="s">
        <v>4166</v>
      </c>
      <c r="D332" s="3" t="str">
        <f t="shared" si="30"/>
        <v>EFM</v>
      </c>
      <c r="E332" s="3" t="str">
        <f t="shared" si="31"/>
        <v>F</v>
      </c>
      <c r="F332" s="3" t="str">
        <f t="shared" si="32"/>
        <v>004</v>
      </c>
      <c r="G332" s="3" t="str">
        <f t="shared" si="33"/>
        <v>FT</v>
      </c>
      <c r="H332" s="3" t="str">
        <f t="shared" si="34"/>
        <v>000</v>
      </c>
      <c r="I332" s="3" t="str">
        <f t="shared" si="35"/>
        <v>00</v>
      </c>
      <c r="L332" s="3" t="s">
        <v>3309</v>
      </c>
      <c r="R332" s="3" t="s">
        <v>4167</v>
      </c>
      <c r="S332" s="15" t="s">
        <v>3247</v>
      </c>
    </row>
    <row r="333" spans="1:19" ht="30" x14ac:dyDescent="0.25">
      <c r="A333" s="4" t="s">
        <v>4168</v>
      </c>
      <c r="B333" s="4" t="s">
        <v>17</v>
      </c>
      <c r="C333" s="4" t="s">
        <v>4169</v>
      </c>
      <c r="D333" s="3" t="str">
        <f t="shared" si="30"/>
        <v>EFM</v>
      </c>
      <c r="E333" s="3" t="str">
        <f t="shared" si="31"/>
        <v>F</v>
      </c>
      <c r="F333" s="3" t="str">
        <f t="shared" si="32"/>
        <v>004</v>
      </c>
      <c r="G333" s="3" t="str">
        <f t="shared" si="33"/>
        <v>MI</v>
      </c>
      <c r="H333" s="3" t="str">
        <f t="shared" si="34"/>
        <v>003</v>
      </c>
      <c r="I333" s="3" t="str">
        <f t="shared" si="35"/>
        <v>02</v>
      </c>
      <c r="L333" s="3" t="s">
        <v>3309</v>
      </c>
      <c r="R333" s="3" t="s">
        <v>4170</v>
      </c>
      <c r="S333" s="15" t="s">
        <v>3247</v>
      </c>
    </row>
    <row r="334" spans="1:19" x14ac:dyDescent="0.25">
      <c r="A334" s="4" t="s">
        <v>4171</v>
      </c>
      <c r="B334" s="4" t="s">
        <v>17</v>
      </c>
      <c r="C334" s="4" t="s">
        <v>4172</v>
      </c>
      <c r="D334" s="3" t="str">
        <f t="shared" si="30"/>
        <v>EFM</v>
      </c>
      <c r="E334" s="3" t="str">
        <f t="shared" si="31"/>
        <v>B</v>
      </c>
      <c r="F334" s="3" t="str">
        <f t="shared" si="32"/>
        <v>001</v>
      </c>
      <c r="G334" s="3" t="str">
        <f t="shared" si="33"/>
        <v>EL</v>
      </c>
      <c r="H334" s="3" t="str">
        <f t="shared" si="34"/>
        <v>000</v>
      </c>
      <c r="I334" s="3" t="str">
        <f t="shared" si="35"/>
        <v>00</v>
      </c>
      <c r="L334" s="3" t="s">
        <v>3245</v>
      </c>
      <c r="R334" s="3" t="s">
        <v>4173</v>
      </c>
      <c r="S334" s="15" t="s">
        <v>3247</v>
      </c>
    </row>
    <row r="335" spans="1:19" x14ac:dyDescent="0.25">
      <c r="A335" s="4" t="s">
        <v>4174</v>
      </c>
      <c r="B335" s="4" t="s">
        <v>17</v>
      </c>
      <c r="C335" s="4" t="s">
        <v>4172</v>
      </c>
      <c r="D335" s="3" t="str">
        <f t="shared" si="30"/>
        <v>EFM</v>
      </c>
      <c r="E335" s="3" t="str">
        <f t="shared" si="31"/>
        <v>B</v>
      </c>
      <c r="F335" s="3" t="str">
        <f t="shared" si="32"/>
        <v>002</v>
      </c>
      <c r="G335" s="3" t="str">
        <f t="shared" si="33"/>
        <v>EL</v>
      </c>
      <c r="H335" s="3" t="str">
        <f t="shared" si="34"/>
        <v>000</v>
      </c>
      <c r="I335" s="3" t="str">
        <f t="shared" si="35"/>
        <v>00</v>
      </c>
      <c r="L335" s="3" t="s">
        <v>3309</v>
      </c>
      <c r="R335" s="3" t="s">
        <v>4175</v>
      </c>
      <c r="S335" s="15" t="s">
        <v>3247</v>
      </c>
    </row>
    <row r="336" spans="1:19" x14ac:dyDescent="0.25">
      <c r="A336" s="4" t="s">
        <v>4176</v>
      </c>
      <c r="B336" s="4" t="s">
        <v>17</v>
      </c>
      <c r="C336" s="4" t="s">
        <v>4172</v>
      </c>
      <c r="D336" s="3" t="str">
        <f t="shared" si="30"/>
        <v>EFM</v>
      </c>
      <c r="E336" s="3" t="str">
        <f t="shared" si="31"/>
        <v>B</v>
      </c>
      <c r="F336" s="3" t="str">
        <f t="shared" si="32"/>
        <v>003</v>
      </c>
      <c r="G336" s="3" t="str">
        <f t="shared" si="33"/>
        <v>EL</v>
      </c>
      <c r="H336" s="3" t="str">
        <f t="shared" si="34"/>
        <v>000</v>
      </c>
      <c r="I336" s="3" t="str">
        <f t="shared" si="35"/>
        <v>00</v>
      </c>
      <c r="L336" s="3" t="s">
        <v>3245</v>
      </c>
      <c r="R336" s="3" t="s">
        <v>4177</v>
      </c>
      <c r="S336" s="15" t="s">
        <v>3247</v>
      </c>
    </row>
    <row r="337" spans="1:19" x14ac:dyDescent="0.25">
      <c r="A337" s="4" t="s">
        <v>4178</v>
      </c>
      <c r="B337" s="4" t="s">
        <v>17</v>
      </c>
      <c r="C337" s="4" t="s">
        <v>4172</v>
      </c>
      <c r="D337" s="3" t="str">
        <f t="shared" si="30"/>
        <v>EFM</v>
      </c>
      <c r="E337" s="3" t="str">
        <f t="shared" si="31"/>
        <v>B</v>
      </c>
      <c r="F337" s="3" t="str">
        <f t="shared" si="32"/>
        <v>004</v>
      </c>
      <c r="G337" s="3" t="str">
        <f t="shared" si="33"/>
        <v>EL</v>
      </c>
      <c r="H337" s="3" t="str">
        <f t="shared" si="34"/>
        <v>000</v>
      </c>
      <c r="I337" s="3" t="str">
        <f t="shared" si="35"/>
        <v>00</v>
      </c>
      <c r="L337" s="3" t="s">
        <v>3309</v>
      </c>
      <c r="R337" s="3" t="s">
        <v>4179</v>
      </c>
      <c r="S337" s="15" t="s">
        <v>3247</v>
      </c>
    </row>
    <row r="338" spans="1:19" x14ac:dyDescent="0.25">
      <c r="A338" s="4" t="s">
        <v>4180</v>
      </c>
      <c r="B338" s="4" t="s">
        <v>17</v>
      </c>
      <c r="C338" s="4" t="s">
        <v>4181</v>
      </c>
      <c r="D338" s="3" t="str">
        <f t="shared" si="30"/>
        <v>EFM</v>
      </c>
      <c r="E338" s="3" t="str">
        <f t="shared" si="31"/>
        <v>F</v>
      </c>
      <c r="F338" s="3" t="str">
        <f t="shared" si="32"/>
        <v>008</v>
      </c>
      <c r="G338" s="3" t="str">
        <f t="shared" si="33"/>
        <v>FT</v>
      </c>
      <c r="H338" s="3" t="str">
        <f t="shared" si="34"/>
        <v>002</v>
      </c>
      <c r="I338" s="3" t="str">
        <f t="shared" si="35"/>
        <v>03</v>
      </c>
      <c r="L338" s="3" t="s">
        <v>3309</v>
      </c>
      <c r="R338" s="3" t="s">
        <v>4182</v>
      </c>
      <c r="S338" s="15" t="s">
        <v>3247</v>
      </c>
    </row>
    <row r="339" spans="1:19" x14ac:dyDescent="0.25">
      <c r="A339" s="4" t="s">
        <v>4183</v>
      </c>
      <c r="B339" s="4" t="s">
        <v>17</v>
      </c>
      <c r="C339" s="4" t="s">
        <v>4184</v>
      </c>
      <c r="D339" s="3" t="str">
        <f t="shared" si="30"/>
        <v>EFM</v>
      </c>
      <c r="E339" s="3" t="str">
        <f t="shared" si="31"/>
        <v>F</v>
      </c>
      <c r="F339" s="3" t="str">
        <f t="shared" si="32"/>
        <v>009</v>
      </c>
      <c r="G339" s="3" t="str">
        <f t="shared" si="33"/>
        <v>FT</v>
      </c>
      <c r="H339" s="3" t="str">
        <f t="shared" si="34"/>
        <v>002</v>
      </c>
      <c r="I339" s="3" t="str">
        <f t="shared" si="35"/>
        <v>03</v>
      </c>
      <c r="L339" s="3" t="s">
        <v>3309</v>
      </c>
      <c r="R339" s="3" t="s">
        <v>4185</v>
      </c>
      <c r="S339" s="15" t="s">
        <v>3247</v>
      </c>
    </row>
    <row r="340" spans="1:19" x14ac:dyDescent="0.25">
      <c r="A340" s="4" t="s">
        <v>4186</v>
      </c>
      <c r="B340" s="4" t="s">
        <v>17</v>
      </c>
      <c r="C340" s="4" t="s">
        <v>4172</v>
      </c>
      <c r="D340" s="3" t="str">
        <f t="shared" si="30"/>
        <v>EFM</v>
      </c>
      <c r="E340" s="3" t="str">
        <f t="shared" si="31"/>
        <v>B</v>
      </c>
      <c r="F340" s="3" t="str">
        <f t="shared" si="32"/>
        <v>005</v>
      </c>
      <c r="G340" s="3" t="str">
        <f t="shared" si="33"/>
        <v>EL</v>
      </c>
      <c r="H340" s="3" t="str">
        <f t="shared" si="34"/>
        <v>000</v>
      </c>
      <c r="I340" s="3" t="str">
        <f t="shared" si="35"/>
        <v>00</v>
      </c>
      <c r="L340" s="3" t="s">
        <v>3309</v>
      </c>
      <c r="R340" s="3" t="s">
        <v>4187</v>
      </c>
      <c r="S340" s="15" t="s">
        <v>3247</v>
      </c>
    </row>
    <row r="341" spans="1:19" x14ac:dyDescent="0.25">
      <c r="A341" s="4" t="s">
        <v>4188</v>
      </c>
      <c r="B341" s="4" t="s">
        <v>17</v>
      </c>
      <c r="C341" s="4" t="s">
        <v>4172</v>
      </c>
      <c r="D341" s="3" t="str">
        <f t="shared" si="30"/>
        <v>EFM</v>
      </c>
      <c r="E341" s="3" t="str">
        <f t="shared" si="31"/>
        <v>B</v>
      </c>
      <c r="F341" s="3" t="str">
        <f t="shared" si="32"/>
        <v>006</v>
      </c>
      <c r="G341" s="3" t="str">
        <f t="shared" si="33"/>
        <v>EL</v>
      </c>
      <c r="H341" s="3" t="str">
        <f t="shared" si="34"/>
        <v>000</v>
      </c>
      <c r="I341" s="3" t="str">
        <f t="shared" si="35"/>
        <v>00</v>
      </c>
      <c r="L341" s="3" t="s">
        <v>3309</v>
      </c>
      <c r="R341" s="3" t="s">
        <v>4189</v>
      </c>
      <c r="S341" s="15" t="s">
        <v>3247</v>
      </c>
    </row>
    <row r="342" spans="1:19" x14ac:dyDescent="0.25">
      <c r="A342" s="4" t="s">
        <v>4190</v>
      </c>
      <c r="B342" s="4" t="s">
        <v>17</v>
      </c>
      <c r="C342" s="4" t="s">
        <v>4172</v>
      </c>
      <c r="D342" s="3" t="str">
        <f t="shared" si="30"/>
        <v>EFM</v>
      </c>
      <c r="E342" s="3" t="str">
        <f t="shared" si="31"/>
        <v>B</v>
      </c>
      <c r="F342" s="3" t="str">
        <f t="shared" si="32"/>
        <v>007</v>
      </c>
      <c r="G342" s="3" t="str">
        <f t="shared" si="33"/>
        <v>EL</v>
      </c>
      <c r="H342" s="3" t="str">
        <f t="shared" si="34"/>
        <v>000</v>
      </c>
      <c r="I342" s="3" t="str">
        <f t="shared" si="35"/>
        <v>00</v>
      </c>
      <c r="L342" s="3" t="s">
        <v>3309</v>
      </c>
      <c r="R342" s="3" t="s">
        <v>4191</v>
      </c>
      <c r="S342" s="15" t="s">
        <v>3247</v>
      </c>
    </row>
    <row r="343" spans="1:19" x14ac:dyDescent="0.25">
      <c r="A343" s="4" t="s">
        <v>4192</v>
      </c>
      <c r="B343" s="4" t="s">
        <v>17</v>
      </c>
      <c r="C343" s="4" t="s">
        <v>4172</v>
      </c>
      <c r="D343" s="3" t="str">
        <f t="shared" si="30"/>
        <v>EFM</v>
      </c>
      <c r="E343" s="3" t="str">
        <f t="shared" si="31"/>
        <v>B</v>
      </c>
      <c r="F343" s="3" t="str">
        <f t="shared" si="32"/>
        <v>008</v>
      </c>
      <c r="G343" s="3" t="str">
        <f t="shared" si="33"/>
        <v>EL</v>
      </c>
      <c r="H343" s="3" t="str">
        <f t="shared" si="34"/>
        <v>000</v>
      </c>
      <c r="I343" s="3" t="str">
        <f t="shared" si="35"/>
        <v>00</v>
      </c>
      <c r="L343" s="3" t="s">
        <v>3309</v>
      </c>
      <c r="R343" s="3" t="s">
        <v>4193</v>
      </c>
      <c r="S343" s="15" t="s">
        <v>3247</v>
      </c>
    </row>
    <row r="344" spans="1:19" x14ac:dyDescent="0.25">
      <c r="A344" s="4" t="s">
        <v>4194</v>
      </c>
      <c r="B344" s="4" t="s">
        <v>17</v>
      </c>
      <c r="C344" s="4" t="s">
        <v>4172</v>
      </c>
      <c r="D344" s="3" t="str">
        <f t="shared" si="30"/>
        <v>EFM</v>
      </c>
      <c r="E344" s="3" t="str">
        <f t="shared" si="31"/>
        <v>B</v>
      </c>
      <c r="F344" s="3" t="str">
        <f t="shared" si="32"/>
        <v>009</v>
      </c>
      <c r="G344" s="3" t="str">
        <f t="shared" si="33"/>
        <v>EL</v>
      </c>
      <c r="H344" s="3" t="str">
        <f t="shared" si="34"/>
        <v>000</v>
      </c>
      <c r="I344" s="3" t="str">
        <f t="shared" si="35"/>
        <v>00</v>
      </c>
      <c r="L344" s="3" t="s">
        <v>3245</v>
      </c>
      <c r="R344" s="3" t="s">
        <v>4195</v>
      </c>
      <c r="S344" s="15" t="s">
        <v>3247</v>
      </c>
    </row>
    <row r="345" spans="1:19" x14ac:dyDescent="0.25">
      <c r="A345" s="4" t="s">
        <v>4196</v>
      </c>
      <c r="B345" s="4" t="s">
        <v>17</v>
      </c>
      <c r="C345" s="4" t="s">
        <v>4172</v>
      </c>
      <c r="D345" s="3" t="str">
        <f t="shared" si="30"/>
        <v>EFM</v>
      </c>
      <c r="E345" s="3" t="str">
        <f t="shared" si="31"/>
        <v>B</v>
      </c>
      <c r="F345" s="3" t="str">
        <f t="shared" si="32"/>
        <v>010</v>
      </c>
      <c r="G345" s="3" t="str">
        <f t="shared" si="33"/>
        <v>EL</v>
      </c>
      <c r="H345" s="3" t="str">
        <f t="shared" si="34"/>
        <v>000</v>
      </c>
      <c r="I345" s="3" t="str">
        <f t="shared" si="35"/>
        <v>00</v>
      </c>
      <c r="L345" s="3" t="s">
        <v>3309</v>
      </c>
      <c r="R345" s="3" t="s">
        <v>4197</v>
      </c>
      <c r="S345" s="15" t="s">
        <v>3247</v>
      </c>
    </row>
    <row r="346" spans="1:19" x14ac:dyDescent="0.25">
      <c r="A346" s="4" t="s">
        <v>4198</v>
      </c>
      <c r="B346" s="4" t="s">
        <v>17</v>
      </c>
      <c r="C346" s="4" t="s">
        <v>4199</v>
      </c>
      <c r="D346" s="3" t="str">
        <f t="shared" si="30"/>
        <v>EFM</v>
      </c>
      <c r="E346" s="3" t="str">
        <f t="shared" si="31"/>
        <v>R</v>
      </c>
      <c r="F346" s="3" t="str">
        <f t="shared" si="32"/>
        <v>008</v>
      </c>
      <c r="G346" s="3" t="str">
        <f t="shared" si="33"/>
        <v>SB</v>
      </c>
      <c r="H346" s="3" t="str">
        <f t="shared" si="34"/>
        <v>001</v>
      </c>
      <c r="I346" s="3" t="str">
        <f t="shared" si="35"/>
        <v>03</v>
      </c>
      <c r="L346" s="3" t="s">
        <v>3309</v>
      </c>
      <c r="R346" s="3" t="s">
        <v>4200</v>
      </c>
      <c r="S346" s="15" t="s">
        <v>3247</v>
      </c>
    </row>
    <row r="347" spans="1:19" ht="45" x14ac:dyDescent="0.25">
      <c r="A347" s="4" t="s">
        <v>4201</v>
      </c>
      <c r="B347" s="4" t="s">
        <v>17</v>
      </c>
      <c r="C347" s="4" t="s">
        <v>4202</v>
      </c>
      <c r="D347" s="3" t="str">
        <f t="shared" si="30"/>
        <v>EFM</v>
      </c>
      <c r="E347" s="3" t="str">
        <f t="shared" si="31"/>
        <v>R</v>
      </c>
      <c r="F347" s="3" t="str">
        <f t="shared" si="32"/>
        <v>004</v>
      </c>
      <c r="G347" s="3" t="str">
        <f t="shared" si="33"/>
        <v>SB</v>
      </c>
      <c r="H347" s="3" t="str">
        <f t="shared" si="34"/>
        <v>001</v>
      </c>
      <c r="I347" s="3" t="str">
        <f t="shared" si="35"/>
        <v>03</v>
      </c>
      <c r="L347" s="3" t="s">
        <v>3309</v>
      </c>
      <c r="R347" s="3" t="s">
        <v>4203</v>
      </c>
      <c r="S347" s="15" t="s">
        <v>3247</v>
      </c>
    </row>
    <row r="348" spans="1:19" ht="45" x14ac:dyDescent="0.25">
      <c r="A348" s="4" t="s">
        <v>4204</v>
      </c>
      <c r="B348" s="4" t="s">
        <v>17</v>
      </c>
      <c r="C348" s="4" t="s">
        <v>4202</v>
      </c>
      <c r="D348" s="3" t="str">
        <f t="shared" si="30"/>
        <v>EFM</v>
      </c>
      <c r="E348" s="3" t="str">
        <f t="shared" si="31"/>
        <v>R</v>
      </c>
      <c r="F348" s="3" t="str">
        <f t="shared" si="32"/>
        <v>006</v>
      </c>
      <c r="G348" s="3" t="str">
        <f t="shared" si="33"/>
        <v>SB</v>
      </c>
      <c r="H348" s="3" t="str">
        <f t="shared" si="34"/>
        <v>001</v>
      </c>
      <c r="I348" s="3" t="str">
        <f t="shared" si="35"/>
        <v>03</v>
      </c>
      <c r="L348" s="3" t="s">
        <v>3309</v>
      </c>
      <c r="R348" s="3" t="s">
        <v>4205</v>
      </c>
      <c r="S348" s="15" t="s">
        <v>3247</v>
      </c>
    </row>
    <row r="349" spans="1:19" ht="45" x14ac:dyDescent="0.25">
      <c r="A349" s="4" t="s">
        <v>4206</v>
      </c>
      <c r="B349" s="4" t="s">
        <v>17</v>
      </c>
      <c r="C349" s="4" t="s">
        <v>4202</v>
      </c>
      <c r="D349" s="3" t="str">
        <f t="shared" si="30"/>
        <v>EFM</v>
      </c>
      <c r="E349" s="3" t="str">
        <f t="shared" si="31"/>
        <v>R</v>
      </c>
      <c r="F349" s="3" t="str">
        <f t="shared" si="32"/>
        <v>007</v>
      </c>
      <c r="G349" s="3" t="str">
        <f t="shared" si="33"/>
        <v>SB</v>
      </c>
      <c r="H349" s="3" t="str">
        <f t="shared" si="34"/>
        <v>001</v>
      </c>
      <c r="I349" s="3" t="str">
        <f t="shared" si="35"/>
        <v>03</v>
      </c>
      <c r="L349" s="3" t="s">
        <v>3245</v>
      </c>
      <c r="R349" s="3" t="s">
        <v>4207</v>
      </c>
      <c r="S349" s="15">
        <v>1</v>
      </c>
    </row>
    <row r="350" spans="1:19" ht="45" x14ac:dyDescent="0.25">
      <c r="A350" s="4" t="s">
        <v>4208</v>
      </c>
      <c r="B350" s="4" t="s">
        <v>17</v>
      </c>
      <c r="C350" s="4" t="s">
        <v>4202</v>
      </c>
      <c r="D350" s="3" t="str">
        <f t="shared" si="30"/>
        <v>EFM</v>
      </c>
      <c r="E350" s="3" t="str">
        <f t="shared" si="31"/>
        <v>R</v>
      </c>
      <c r="F350" s="3" t="str">
        <f t="shared" si="32"/>
        <v>001</v>
      </c>
      <c r="G350" s="3" t="str">
        <f t="shared" si="33"/>
        <v>SB</v>
      </c>
      <c r="H350" s="3" t="str">
        <f t="shared" si="34"/>
        <v>001</v>
      </c>
      <c r="I350" s="3" t="str">
        <f t="shared" si="35"/>
        <v>03</v>
      </c>
      <c r="L350" s="3" t="s">
        <v>3309</v>
      </c>
      <c r="R350" s="3" t="s">
        <v>4209</v>
      </c>
      <c r="S350" s="15" t="s">
        <v>3247</v>
      </c>
    </row>
    <row r="351" spans="1:19" ht="45" x14ac:dyDescent="0.25">
      <c r="A351" s="4" t="s">
        <v>4210</v>
      </c>
      <c r="B351" s="4" t="s">
        <v>17</v>
      </c>
      <c r="C351" s="4" t="s">
        <v>4202</v>
      </c>
      <c r="D351" s="3" t="str">
        <f t="shared" si="30"/>
        <v>EFM</v>
      </c>
      <c r="E351" s="3" t="str">
        <f t="shared" si="31"/>
        <v>R</v>
      </c>
      <c r="F351" s="3" t="str">
        <f t="shared" si="32"/>
        <v>002</v>
      </c>
      <c r="G351" s="3" t="str">
        <f t="shared" si="33"/>
        <v>SB</v>
      </c>
      <c r="H351" s="3" t="str">
        <f t="shared" si="34"/>
        <v>001</v>
      </c>
      <c r="I351" s="3" t="str">
        <f t="shared" si="35"/>
        <v>03</v>
      </c>
      <c r="L351" s="3" t="s">
        <v>3309</v>
      </c>
      <c r="R351" s="3" t="s">
        <v>4211</v>
      </c>
      <c r="S351" s="15" t="s">
        <v>3247</v>
      </c>
    </row>
    <row r="352" spans="1:19" ht="45" x14ac:dyDescent="0.25">
      <c r="A352" s="4" t="s">
        <v>4212</v>
      </c>
      <c r="B352" s="4" t="s">
        <v>17</v>
      </c>
      <c r="C352" s="4" t="s">
        <v>4202</v>
      </c>
      <c r="D352" s="3" t="str">
        <f t="shared" si="30"/>
        <v>EFM</v>
      </c>
      <c r="E352" s="3" t="str">
        <f t="shared" si="31"/>
        <v>R</v>
      </c>
      <c r="F352" s="3" t="str">
        <f t="shared" si="32"/>
        <v>003</v>
      </c>
      <c r="G352" s="3" t="str">
        <f t="shared" si="33"/>
        <v>SB</v>
      </c>
      <c r="H352" s="3" t="str">
        <f t="shared" si="34"/>
        <v>001</v>
      </c>
      <c r="I352" s="3" t="str">
        <f t="shared" si="35"/>
        <v>03</v>
      </c>
      <c r="L352" s="3" t="s">
        <v>3309</v>
      </c>
      <c r="R352" s="3" t="s">
        <v>4213</v>
      </c>
      <c r="S352" s="15">
        <v>9</v>
      </c>
    </row>
    <row r="353" spans="1:19" ht="30" x14ac:dyDescent="0.25">
      <c r="A353" s="4" t="s">
        <v>4214</v>
      </c>
      <c r="B353" s="4" t="s">
        <v>17</v>
      </c>
      <c r="C353" s="4" t="s">
        <v>4215</v>
      </c>
      <c r="D353" s="3" t="str">
        <f t="shared" si="30"/>
        <v>EFM</v>
      </c>
      <c r="E353" s="3" t="str">
        <f t="shared" si="31"/>
        <v>F</v>
      </c>
      <c r="F353" s="3" t="str">
        <f t="shared" si="32"/>
        <v>011</v>
      </c>
      <c r="G353" s="3" t="str">
        <f t="shared" si="33"/>
        <v>FT</v>
      </c>
      <c r="H353" s="3" t="str">
        <f t="shared" si="34"/>
        <v>000</v>
      </c>
      <c r="I353" s="3" t="str">
        <f t="shared" si="35"/>
        <v>03</v>
      </c>
      <c r="L353" s="3" t="s">
        <v>3309</v>
      </c>
      <c r="R353" s="3" t="s">
        <v>4216</v>
      </c>
      <c r="S353" s="15" t="s">
        <v>3247</v>
      </c>
    </row>
    <row r="354" spans="1:19" ht="30" x14ac:dyDescent="0.25">
      <c r="A354" s="4" t="s">
        <v>4217</v>
      </c>
      <c r="B354" s="4" t="s">
        <v>17</v>
      </c>
      <c r="C354" s="4" t="s">
        <v>4218</v>
      </c>
      <c r="D354" s="3" t="str">
        <f t="shared" si="30"/>
        <v>EFM</v>
      </c>
      <c r="E354" s="3" t="str">
        <f t="shared" si="31"/>
        <v>F</v>
      </c>
      <c r="F354" s="3" t="str">
        <f t="shared" si="32"/>
        <v>006</v>
      </c>
      <c r="G354" s="3" t="str">
        <f t="shared" si="33"/>
        <v>FT</v>
      </c>
      <c r="H354" s="3" t="str">
        <f t="shared" si="34"/>
        <v>000</v>
      </c>
      <c r="I354" s="3" t="str">
        <f t="shared" si="35"/>
        <v>00</v>
      </c>
      <c r="L354" s="3" t="s">
        <v>3309</v>
      </c>
      <c r="R354" s="3" t="s">
        <v>4219</v>
      </c>
      <c r="S354" s="15" t="s">
        <v>3247</v>
      </c>
    </row>
    <row r="355" spans="1:19" x14ac:dyDescent="0.25">
      <c r="A355" s="4" t="s">
        <v>4220</v>
      </c>
      <c r="B355" s="4" t="s">
        <v>17</v>
      </c>
      <c r="C355" s="4" t="s">
        <v>4221</v>
      </c>
      <c r="D355" s="3" t="str">
        <f t="shared" si="30"/>
        <v>EFM</v>
      </c>
      <c r="E355" s="3" t="str">
        <f t="shared" si="31"/>
        <v>G</v>
      </c>
      <c r="F355" s="3" t="str">
        <f t="shared" si="32"/>
        <v>001</v>
      </c>
      <c r="G355" s="3" t="str">
        <f t="shared" si="33"/>
        <v>SB</v>
      </c>
      <c r="H355" s="3" t="str">
        <f t="shared" si="34"/>
        <v>001</v>
      </c>
      <c r="I355" s="3" t="str">
        <f t="shared" si="35"/>
        <v>00</v>
      </c>
      <c r="L355" s="3" t="s">
        <v>3309</v>
      </c>
      <c r="R355" s="3" t="s">
        <v>4222</v>
      </c>
      <c r="S355" s="15" t="s">
        <v>3247</v>
      </c>
    </row>
    <row r="356" spans="1:19" x14ac:dyDescent="0.25">
      <c r="A356" s="4" t="s">
        <v>4223</v>
      </c>
      <c r="B356" s="4" t="s">
        <v>17</v>
      </c>
      <c r="C356" s="4" t="s">
        <v>4224</v>
      </c>
      <c r="D356" s="3" t="str">
        <f t="shared" si="30"/>
        <v>EFM</v>
      </c>
      <c r="E356" s="3" t="str">
        <f t="shared" si="31"/>
        <v>G</v>
      </c>
      <c r="F356" s="3" t="str">
        <f t="shared" si="32"/>
        <v>002</v>
      </c>
      <c r="G356" s="3" t="str">
        <f t="shared" si="33"/>
        <v>SB</v>
      </c>
      <c r="H356" s="3" t="str">
        <f t="shared" si="34"/>
        <v>001</v>
      </c>
      <c r="I356" s="3" t="str">
        <f t="shared" si="35"/>
        <v>00</v>
      </c>
      <c r="L356" s="3" t="s">
        <v>3309</v>
      </c>
      <c r="R356" s="3" t="s">
        <v>4225</v>
      </c>
      <c r="S356" s="15" t="s">
        <v>3247</v>
      </c>
    </row>
    <row r="357" spans="1:19" x14ac:dyDescent="0.25">
      <c r="A357" s="4" t="s">
        <v>4226</v>
      </c>
      <c r="B357" s="4" t="s">
        <v>17</v>
      </c>
      <c r="C357" s="4" t="s">
        <v>4227</v>
      </c>
      <c r="D357" s="3" t="str">
        <f t="shared" si="30"/>
        <v>EFM</v>
      </c>
      <c r="E357" s="3" t="str">
        <f t="shared" si="31"/>
        <v>G</v>
      </c>
      <c r="F357" s="3" t="str">
        <f t="shared" si="32"/>
        <v>003</v>
      </c>
      <c r="G357" s="3" t="str">
        <f t="shared" si="33"/>
        <v>SB</v>
      </c>
      <c r="H357" s="3" t="str">
        <f t="shared" si="34"/>
        <v>001</v>
      </c>
      <c r="I357" s="3" t="str">
        <f t="shared" si="35"/>
        <v>00</v>
      </c>
      <c r="L357" s="3" t="s">
        <v>3309</v>
      </c>
      <c r="R357" s="3" t="s">
        <v>4228</v>
      </c>
      <c r="S357" s="15" t="s">
        <v>3247</v>
      </c>
    </row>
    <row r="358" spans="1:19" x14ac:dyDescent="0.25">
      <c r="A358" s="4" t="s">
        <v>4229</v>
      </c>
      <c r="B358" s="4" t="s">
        <v>17</v>
      </c>
      <c r="C358" s="4" t="s">
        <v>4230</v>
      </c>
      <c r="D358" s="3" t="str">
        <f t="shared" si="30"/>
        <v>EFM</v>
      </c>
      <c r="E358" s="3" t="str">
        <f t="shared" si="31"/>
        <v>G</v>
      </c>
      <c r="F358" s="3" t="str">
        <f t="shared" si="32"/>
        <v>004</v>
      </c>
      <c r="G358" s="3" t="str">
        <f t="shared" si="33"/>
        <v>SB</v>
      </c>
      <c r="H358" s="3" t="str">
        <f t="shared" si="34"/>
        <v>001</v>
      </c>
      <c r="I358" s="3" t="str">
        <f t="shared" si="35"/>
        <v>00</v>
      </c>
      <c r="L358" s="3" t="s">
        <v>3309</v>
      </c>
      <c r="R358" s="3" t="s">
        <v>4231</v>
      </c>
      <c r="S358" s="15" t="s">
        <v>3247</v>
      </c>
    </row>
    <row r="359" spans="1:19" x14ac:dyDescent="0.25">
      <c r="A359" s="4" t="s">
        <v>4232</v>
      </c>
      <c r="B359" s="4" t="s">
        <v>17</v>
      </c>
      <c r="C359" s="4" t="s">
        <v>4233</v>
      </c>
      <c r="D359" s="3" t="str">
        <f t="shared" si="30"/>
        <v>EFM</v>
      </c>
      <c r="E359" s="3" t="str">
        <f t="shared" si="31"/>
        <v>G</v>
      </c>
      <c r="F359" s="3" t="str">
        <f t="shared" si="32"/>
        <v>005</v>
      </c>
      <c r="G359" s="3" t="str">
        <f t="shared" si="33"/>
        <v>SB</v>
      </c>
      <c r="H359" s="3" t="str">
        <f t="shared" si="34"/>
        <v>001</v>
      </c>
      <c r="I359" s="3" t="str">
        <f t="shared" si="35"/>
        <v>00</v>
      </c>
      <c r="L359" s="3" t="s">
        <v>3309</v>
      </c>
      <c r="R359" s="3" t="s">
        <v>4234</v>
      </c>
      <c r="S359" s="15" t="s">
        <v>3247</v>
      </c>
    </row>
    <row r="360" spans="1:19" x14ac:dyDescent="0.25">
      <c r="A360" s="4" t="s">
        <v>4235</v>
      </c>
      <c r="B360" s="4" t="s">
        <v>17</v>
      </c>
      <c r="C360" s="4" t="s">
        <v>4236</v>
      </c>
      <c r="D360" s="3" t="str">
        <f t="shared" si="30"/>
        <v>EFM</v>
      </c>
      <c r="E360" s="3" t="str">
        <f t="shared" si="31"/>
        <v>D</v>
      </c>
      <c r="F360" s="3" t="str">
        <f t="shared" si="32"/>
        <v>000</v>
      </c>
      <c r="G360" s="3" t="str">
        <f t="shared" si="33"/>
        <v>NA</v>
      </c>
      <c r="H360" s="3" t="str">
        <f t="shared" si="34"/>
        <v>000</v>
      </c>
      <c r="I360" s="3" t="str">
        <f t="shared" si="35"/>
        <v>00</v>
      </c>
      <c r="L360" s="3" t="s">
        <v>3245</v>
      </c>
      <c r="R360" s="3" t="s">
        <v>4237</v>
      </c>
      <c r="S360" s="15" t="s">
        <v>3247</v>
      </c>
    </row>
    <row r="361" spans="1:19" ht="30" x14ac:dyDescent="0.25">
      <c r="A361" s="4" t="s">
        <v>4238</v>
      </c>
      <c r="B361" s="4" t="s">
        <v>17</v>
      </c>
      <c r="C361" s="4" t="s">
        <v>4239</v>
      </c>
      <c r="D361" s="3" t="str">
        <f t="shared" si="30"/>
        <v>EFM</v>
      </c>
      <c r="E361" s="3" t="str">
        <f t="shared" si="31"/>
        <v>I</v>
      </c>
      <c r="F361" s="3" t="str">
        <f t="shared" si="32"/>
        <v>004</v>
      </c>
      <c r="G361" s="3" t="str">
        <f t="shared" si="33"/>
        <v>NA</v>
      </c>
      <c r="H361" s="3" t="str">
        <f t="shared" si="34"/>
        <v>000</v>
      </c>
      <c r="I361" s="3" t="str">
        <f t="shared" si="35"/>
        <v>00</v>
      </c>
      <c r="L361" s="3" t="s">
        <v>3309</v>
      </c>
      <c r="R361" s="3" t="s">
        <v>4240</v>
      </c>
      <c r="S361" s="15" t="s">
        <v>3247</v>
      </c>
    </row>
    <row r="362" spans="1:19" ht="30" x14ac:dyDescent="0.25">
      <c r="A362" s="4" t="s">
        <v>4241</v>
      </c>
      <c r="B362" s="4" t="s">
        <v>17</v>
      </c>
      <c r="C362" s="4" t="s">
        <v>4242</v>
      </c>
      <c r="D362" s="3" t="str">
        <f t="shared" si="30"/>
        <v>EFM</v>
      </c>
      <c r="E362" s="3" t="str">
        <f t="shared" si="31"/>
        <v>R</v>
      </c>
      <c r="F362" s="3" t="str">
        <f t="shared" si="32"/>
        <v>006</v>
      </c>
      <c r="G362" s="3" t="str">
        <f t="shared" si="33"/>
        <v>FT</v>
      </c>
      <c r="H362" s="3" t="str">
        <f t="shared" si="34"/>
        <v>000</v>
      </c>
      <c r="I362" s="3" t="str">
        <f t="shared" si="35"/>
        <v>02</v>
      </c>
      <c r="L362" s="3" t="s">
        <v>3309</v>
      </c>
      <c r="R362" s="3" t="s">
        <v>4243</v>
      </c>
      <c r="S362" s="15">
        <v>1</v>
      </c>
    </row>
    <row r="363" spans="1:19" ht="30" x14ac:dyDescent="0.25">
      <c r="A363" s="4" t="s">
        <v>4244</v>
      </c>
      <c r="B363" s="4" t="s">
        <v>17</v>
      </c>
      <c r="C363" s="4" t="s">
        <v>4245</v>
      </c>
      <c r="D363" s="3" t="str">
        <f t="shared" si="30"/>
        <v>EFM</v>
      </c>
      <c r="E363" s="3" t="str">
        <f t="shared" si="31"/>
        <v>R</v>
      </c>
      <c r="F363" s="3" t="str">
        <f t="shared" si="32"/>
        <v>007</v>
      </c>
      <c r="G363" s="3" t="str">
        <f t="shared" si="33"/>
        <v>FT</v>
      </c>
      <c r="H363" s="3" t="str">
        <f t="shared" si="34"/>
        <v>000</v>
      </c>
      <c r="I363" s="3" t="str">
        <f t="shared" si="35"/>
        <v>02</v>
      </c>
      <c r="L363" s="3" t="s">
        <v>3309</v>
      </c>
      <c r="R363" s="3" t="s">
        <v>4246</v>
      </c>
      <c r="S363" s="15" t="s">
        <v>3247</v>
      </c>
    </row>
    <row r="364" spans="1:19" ht="30" x14ac:dyDescent="0.25">
      <c r="A364" s="4" t="s">
        <v>4247</v>
      </c>
      <c r="B364" s="4" t="s">
        <v>17</v>
      </c>
      <c r="C364" s="4" t="s">
        <v>4248</v>
      </c>
      <c r="D364" s="3" t="str">
        <f t="shared" si="30"/>
        <v>EFM</v>
      </c>
      <c r="E364" s="3" t="str">
        <f t="shared" si="31"/>
        <v>R</v>
      </c>
      <c r="F364" s="3" t="str">
        <f t="shared" si="32"/>
        <v>008</v>
      </c>
      <c r="G364" s="3" t="str">
        <f t="shared" si="33"/>
        <v>FT</v>
      </c>
      <c r="H364" s="3" t="str">
        <f t="shared" si="34"/>
        <v>000</v>
      </c>
      <c r="I364" s="3" t="str">
        <f t="shared" si="35"/>
        <v>02</v>
      </c>
      <c r="L364" s="3" t="s">
        <v>3245</v>
      </c>
      <c r="R364" s="3" t="s">
        <v>4249</v>
      </c>
      <c r="S364" s="15" t="s">
        <v>3247</v>
      </c>
    </row>
    <row r="365" spans="1:19" ht="30" x14ac:dyDescent="0.25">
      <c r="A365" s="4" t="s">
        <v>4250</v>
      </c>
      <c r="B365" s="4" t="s">
        <v>17</v>
      </c>
      <c r="C365" s="4" t="s">
        <v>4251</v>
      </c>
      <c r="D365" s="3" t="str">
        <f t="shared" si="30"/>
        <v>EFM</v>
      </c>
      <c r="E365" s="3" t="str">
        <f t="shared" si="31"/>
        <v>R</v>
      </c>
      <c r="F365" s="3" t="str">
        <f t="shared" si="32"/>
        <v>009</v>
      </c>
      <c r="G365" s="3" t="str">
        <f t="shared" si="33"/>
        <v>FT</v>
      </c>
      <c r="H365" s="3" t="str">
        <f t="shared" si="34"/>
        <v>000</v>
      </c>
      <c r="I365" s="3" t="str">
        <f t="shared" si="35"/>
        <v>02</v>
      </c>
      <c r="L365" s="3" t="s">
        <v>3245</v>
      </c>
      <c r="R365" s="3" t="s">
        <v>4252</v>
      </c>
      <c r="S365" s="15" t="s">
        <v>3247</v>
      </c>
    </row>
    <row r="366" spans="1:19" ht="30" x14ac:dyDescent="0.25">
      <c r="A366" s="4" t="s">
        <v>4253</v>
      </c>
      <c r="B366" s="4" t="s">
        <v>17</v>
      </c>
      <c r="C366" s="4" t="s">
        <v>4254</v>
      </c>
      <c r="D366" s="3" t="str">
        <f t="shared" si="30"/>
        <v>EFM</v>
      </c>
      <c r="E366" s="3" t="str">
        <f t="shared" si="31"/>
        <v>R</v>
      </c>
      <c r="F366" s="3" t="str">
        <f t="shared" si="32"/>
        <v>010</v>
      </c>
      <c r="G366" s="3" t="str">
        <f t="shared" si="33"/>
        <v>FT</v>
      </c>
      <c r="H366" s="3" t="str">
        <f t="shared" si="34"/>
        <v>000</v>
      </c>
      <c r="I366" s="3" t="str">
        <f t="shared" si="35"/>
        <v>02</v>
      </c>
      <c r="L366" s="3" t="s">
        <v>3245</v>
      </c>
      <c r="R366" s="3" t="s">
        <v>4255</v>
      </c>
      <c r="S366" s="15" t="s">
        <v>3247</v>
      </c>
    </row>
    <row r="367" spans="1:19" ht="30" x14ac:dyDescent="0.25">
      <c r="A367" s="4" t="s">
        <v>4256</v>
      </c>
      <c r="B367" s="4" t="s">
        <v>17</v>
      </c>
      <c r="C367" s="4" t="s">
        <v>4257</v>
      </c>
      <c r="D367" s="3" t="str">
        <f t="shared" si="30"/>
        <v>EFM</v>
      </c>
      <c r="E367" s="3" t="str">
        <f t="shared" si="31"/>
        <v>R</v>
      </c>
      <c r="F367" s="3" t="str">
        <f t="shared" si="32"/>
        <v>011</v>
      </c>
      <c r="G367" s="3" t="str">
        <f t="shared" si="33"/>
        <v>FT</v>
      </c>
      <c r="H367" s="3" t="str">
        <f t="shared" si="34"/>
        <v>000</v>
      </c>
      <c r="I367" s="3" t="str">
        <f t="shared" si="35"/>
        <v>02</v>
      </c>
      <c r="L367" s="3" t="s">
        <v>3309</v>
      </c>
      <c r="R367" s="3" t="s">
        <v>4258</v>
      </c>
      <c r="S367" s="15" t="s">
        <v>3247</v>
      </c>
    </row>
    <row r="368" spans="1:19" x14ac:dyDescent="0.25">
      <c r="A368" s="4" t="s">
        <v>4259</v>
      </c>
      <c r="B368" s="4" t="s">
        <v>17</v>
      </c>
      <c r="C368" s="4" t="s">
        <v>4260</v>
      </c>
      <c r="D368" s="3" t="str">
        <f t="shared" si="30"/>
        <v>EFM</v>
      </c>
      <c r="E368" s="3" t="str">
        <f t="shared" si="31"/>
        <v>F</v>
      </c>
      <c r="F368" s="3" t="str">
        <f t="shared" si="32"/>
        <v>003</v>
      </c>
      <c r="G368" s="3" t="str">
        <f t="shared" si="33"/>
        <v>FT</v>
      </c>
      <c r="H368" s="3" t="str">
        <f t="shared" si="34"/>
        <v>004</v>
      </c>
      <c r="I368" s="3" t="str">
        <f t="shared" si="35"/>
        <v>03</v>
      </c>
      <c r="L368" s="3" t="s">
        <v>3309</v>
      </c>
      <c r="R368" s="3" t="s">
        <v>4261</v>
      </c>
      <c r="S368" s="15" t="s">
        <v>3247</v>
      </c>
    </row>
    <row r="369" spans="1:19" x14ac:dyDescent="0.25">
      <c r="A369" s="4" t="s">
        <v>4262</v>
      </c>
      <c r="B369" s="4" t="s">
        <v>17</v>
      </c>
      <c r="C369" s="4" t="s">
        <v>4263</v>
      </c>
      <c r="D369" s="3" t="str">
        <f t="shared" si="30"/>
        <v>EFM</v>
      </c>
      <c r="E369" s="3" t="str">
        <f t="shared" si="31"/>
        <v>F</v>
      </c>
      <c r="F369" s="3" t="str">
        <f t="shared" si="32"/>
        <v>003</v>
      </c>
      <c r="G369" s="3" t="str">
        <f t="shared" si="33"/>
        <v>FT</v>
      </c>
      <c r="H369" s="3" t="str">
        <f t="shared" si="34"/>
        <v>000</v>
      </c>
      <c r="I369" s="3" t="str">
        <f t="shared" si="35"/>
        <v>00</v>
      </c>
      <c r="L369" s="3" t="s">
        <v>3309</v>
      </c>
      <c r="R369" s="3" t="s">
        <v>4264</v>
      </c>
      <c r="S369" s="15" t="s">
        <v>3247</v>
      </c>
    </row>
    <row r="370" spans="1:19" x14ac:dyDescent="0.25">
      <c r="A370" s="4" t="s">
        <v>4265</v>
      </c>
      <c r="B370" s="4" t="s">
        <v>17</v>
      </c>
      <c r="C370" s="4" t="s">
        <v>4266</v>
      </c>
      <c r="D370" s="3" t="str">
        <f t="shared" si="30"/>
        <v>EFM</v>
      </c>
      <c r="E370" s="3" t="str">
        <f t="shared" si="31"/>
        <v>R</v>
      </c>
      <c r="F370" s="3" t="str">
        <f t="shared" si="32"/>
        <v>009</v>
      </c>
      <c r="G370" s="3" t="str">
        <f t="shared" si="33"/>
        <v>SB</v>
      </c>
      <c r="H370" s="3" t="str">
        <f t="shared" si="34"/>
        <v>001</v>
      </c>
      <c r="I370" s="3" t="str">
        <f t="shared" si="35"/>
        <v>03</v>
      </c>
      <c r="L370" s="3" t="s">
        <v>3309</v>
      </c>
      <c r="R370" s="3" t="s">
        <v>4267</v>
      </c>
      <c r="S370" s="15" t="s">
        <v>3247</v>
      </c>
    </row>
    <row r="371" spans="1:19" ht="30" x14ac:dyDescent="0.25">
      <c r="A371" s="4" t="s">
        <v>4268</v>
      </c>
      <c r="B371" s="4" t="s">
        <v>17</v>
      </c>
      <c r="C371" s="4" t="s">
        <v>4269</v>
      </c>
      <c r="D371" s="3" t="str">
        <f t="shared" si="30"/>
        <v>EFM</v>
      </c>
      <c r="E371" s="3" t="str">
        <f t="shared" si="31"/>
        <v>I</v>
      </c>
      <c r="F371" s="3" t="str">
        <f t="shared" si="32"/>
        <v>007</v>
      </c>
      <c r="G371" s="3" t="str">
        <f t="shared" si="33"/>
        <v>NA</v>
      </c>
      <c r="H371" s="3" t="str">
        <f t="shared" si="34"/>
        <v>000</v>
      </c>
      <c r="I371" s="3" t="str">
        <f t="shared" si="35"/>
        <v>00</v>
      </c>
      <c r="L371" s="3" t="s">
        <v>3309</v>
      </c>
      <c r="R371" s="3" t="s">
        <v>4270</v>
      </c>
      <c r="S371" s="15" t="s">
        <v>3247</v>
      </c>
    </row>
    <row r="372" spans="1:19" ht="30" x14ac:dyDescent="0.25">
      <c r="A372" s="4" t="s">
        <v>4271</v>
      </c>
      <c r="B372" s="4" t="s">
        <v>17</v>
      </c>
      <c r="C372" s="4" t="s">
        <v>4272</v>
      </c>
      <c r="D372" s="3" t="str">
        <f t="shared" si="30"/>
        <v>EFM</v>
      </c>
      <c r="E372" s="3" t="str">
        <f t="shared" si="31"/>
        <v>R</v>
      </c>
      <c r="F372" s="3" t="str">
        <f t="shared" si="32"/>
        <v>012</v>
      </c>
      <c r="G372" s="3" t="str">
        <f t="shared" si="33"/>
        <v>CM</v>
      </c>
      <c r="H372" s="3" t="str">
        <f t="shared" si="34"/>
        <v>000</v>
      </c>
      <c r="I372" s="3" t="str">
        <f t="shared" si="35"/>
        <v>03</v>
      </c>
      <c r="L372" s="3" t="s">
        <v>3309</v>
      </c>
      <c r="R372" s="3" t="s">
        <v>4273</v>
      </c>
      <c r="S372" s="15">
        <v>6</v>
      </c>
    </row>
    <row r="373" spans="1:19" ht="30" x14ac:dyDescent="0.25">
      <c r="A373" s="4" t="s">
        <v>4274</v>
      </c>
      <c r="B373" s="4" t="s">
        <v>17</v>
      </c>
      <c r="C373" s="4" t="s">
        <v>4275</v>
      </c>
      <c r="D373" s="3" t="str">
        <f t="shared" si="30"/>
        <v>EFM</v>
      </c>
      <c r="E373" s="3" t="str">
        <f t="shared" si="31"/>
        <v>R</v>
      </c>
      <c r="F373" s="3" t="str">
        <f t="shared" si="32"/>
        <v>001</v>
      </c>
      <c r="G373" s="3" t="str">
        <f t="shared" si="33"/>
        <v>CM</v>
      </c>
      <c r="H373" s="3" t="str">
        <f t="shared" si="34"/>
        <v>000</v>
      </c>
      <c r="I373" s="3" t="str">
        <f t="shared" si="35"/>
        <v>03</v>
      </c>
      <c r="L373" s="3" t="s">
        <v>3309</v>
      </c>
      <c r="R373" s="3" t="s">
        <v>4276</v>
      </c>
      <c r="S373" s="15">
        <v>90</v>
      </c>
    </row>
    <row r="374" spans="1:19" ht="30" x14ac:dyDescent="0.25">
      <c r="A374" s="4" t="s">
        <v>4277</v>
      </c>
      <c r="B374" s="4" t="s">
        <v>17</v>
      </c>
      <c r="C374" s="4" t="s">
        <v>4278</v>
      </c>
      <c r="D374" s="3" t="str">
        <f t="shared" si="30"/>
        <v>EFM</v>
      </c>
      <c r="E374" s="3" t="str">
        <f t="shared" si="31"/>
        <v>R</v>
      </c>
      <c r="F374" s="3" t="str">
        <f t="shared" si="32"/>
        <v>003</v>
      </c>
      <c r="G374" s="3" t="str">
        <f t="shared" si="33"/>
        <v>CM</v>
      </c>
      <c r="H374" s="3" t="str">
        <f t="shared" si="34"/>
        <v>000</v>
      </c>
      <c r="I374" s="3" t="str">
        <f t="shared" si="35"/>
        <v>03</v>
      </c>
      <c r="L374" s="3" t="s">
        <v>3309</v>
      </c>
      <c r="R374" s="3" t="s">
        <v>4279</v>
      </c>
      <c r="S374" s="15">
        <v>6</v>
      </c>
    </row>
    <row r="375" spans="1:19" ht="30" x14ac:dyDescent="0.25">
      <c r="A375" s="4" t="s">
        <v>4280</v>
      </c>
      <c r="B375" s="4" t="s">
        <v>17</v>
      </c>
      <c r="C375" s="4" t="s">
        <v>4281</v>
      </c>
      <c r="D375" s="3" t="str">
        <f t="shared" si="30"/>
        <v>EFM</v>
      </c>
      <c r="E375" s="3" t="str">
        <f t="shared" si="31"/>
        <v>R</v>
      </c>
      <c r="F375" s="3" t="str">
        <f t="shared" si="32"/>
        <v>004</v>
      </c>
      <c r="G375" s="3" t="str">
        <f t="shared" si="33"/>
        <v>CM</v>
      </c>
      <c r="H375" s="3" t="str">
        <f t="shared" si="34"/>
        <v>000</v>
      </c>
      <c r="I375" s="3" t="str">
        <f t="shared" si="35"/>
        <v>03</v>
      </c>
      <c r="L375" s="3" t="s">
        <v>3309</v>
      </c>
      <c r="R375" s="3" t="s">
        <v>4282</v>
      </c>
      <c r="S375" s="15">
        <v>11</v>
      </c>
    </row>
    <row r="376" spans="1:19" ht="30" x14ac:dyDescent="0.25">
      <c r="A376" s="4" t="s">
        <v>4283</v>
      </c>
      <c r="B376" s="4" t="s">
        <v>17</v>
      </c>
      <c r="C376" s="4" t="s">
        <v>4284</v>
      </c>
      <c r="D376" s="3" t="str">
        <f t="shared" si="30"/>
        <v>EFM</v>
      </c>
      <c r="E376" s="3" t="str">
        <f t="shared" si="31"/>
        <v>R</v>
      </c>
      <c r="F376" s="3" t="str">
        <f t="shared" si="32"/>
        <v>006</v>
      </c>
      <c r="G376" s="3" t="str">
        <f t="shared" si="33"/>
        <v>CM</v>
      </c>
      <c r="H376" s="3" t="str">
        <f t="shared" si="34"/>
        <v>000</v>
      </c>
      <c r="I376" s="3" t="str">
        <f t="shared" si="35"/>
        <v>03</v>
      </c>
      <c r="L376" s="3" t="s">
        <v>3309</v>
      </c>
      <c r="R376" s="3" t="s">
        <v>4285</v>
      </c>
      <c r="S376" s="15">
        <v>7</v>
      </c>
    </row>
    <row r="377" spans="1:19" ht="30" x14ac:dyDescent="0.25">
      <c r="A377" s="4" t="s">
        <v>4286</v>
      </c>
      <c r="B377" s="4" t="s">
        <v>17</v>
      </c>
      <c r="C377" s="4" t="s">
        <v>4287</v>
      </c>
      <c r="D377" s="3" t="str">
        <f t="shared" si="30"/>
        <v>EFM</v>
      </c>
      <c r="E377" s="3" t="str">
        <f t="shared" si="31"/>
        <v>R</v>
      </c>
      <c r="F377" s="3" t="str">
        <f t="shared" si="32"/>
        <v>007</v>
      </c>
      <c r="G377" s="3" t="str">
        <f t="shared" si="33"/>
        <v>CM</v>
      </c>
      <c r="H377" s="3" t="str">
        <f t="shared" si="34"/>
        <v>000</v>
      </c>
      <c r="I377" s="3" t="str">
        <f t="shared" si="35"/>
        <v>03</v>
      </c>
      <c r="L377" s="3" t="s">
        <v>3309</v>
      </c>
      <c r="R377" s="3" t="s">
        <v>4288</v>
      </c>
      <c r="S377" s="15">
        <v>5</v>
      </c>
    </row>
    <row r="378" spans="1:19" ht="30" x14ac:dyDescent="0.25">
      <c r="A378" s="4" t="s">
        <v>4289</v>
      </c>
      <c r="B378" s="4" t="s">
        <v>17</v>
      </c>
      <c r="C378" s="4" t="s">
        <v>4290</v>
      </c>
      <c r="D378" s="3" t="str">
        <f t="shared" si="30"/>
        <v>EFM</v>
      </c>
      <c r="E378" s="3" t="str">
        <f t="shared" si="31"/>
        <v>R</v>
      </c>
      <c r="F378" s="3" t="str">
        <f t="shared" si="32"/>
        <v>008</v>
      </c>
      <c r="G378" s="3" t="str">
        <f t="shared" si="33"/>
        <v>CM</v>
      </c>
      <c r="H378" s="3" t="str">
        <f t="shared" si="34"/>
        <v>000</v>
      </c>
      <c r="I378" s="3" t="str">
        <f t="shared" si="35"/>
        <v>03</v>
      </c>
      <c r="L378" s="3" t="s">
        <v>3309</v>
      </c>
      <c r="R378" s="3" t="s">
        <v>4291</v>
      </c>
      <c r="S378" s="15">
        <v>5</v>
      </c>
    </row>
    <row r="379" spans="1:19" ht="30" x14ac:dyDescent="0.25">
      <c r="A379" s="4" t="s">
        <v>4292</v>
      </c>
      <c r="B379" s="4" t="s">
        <v>17</v>
      </c>
      <c r="C379" s="4" t="s">
        <v>4293</v>
      </c>
      <c r="D379" s="3" t="str">
        <f t="shared" si="30"/>
        <v>EFM</v>
      </c>
      <c r="E379" s="3" t="str">
        <f t="shared" si="31"/>
        <v>R</v>
      </c>
      <c r="F379" s="3" t="str">
        <f t="shared" si="32"/>
        <v>009</v>
      </c>
      <c r="G379" s="3" t="str">
        <f t="shared" si="33"/>
        <v>CM</v>
      </c>
      <c r="H379" s="3" t="str">
        <f t="shared" si="34"/>
        <v>000</v>
      </c>
      <c r="I379" s="3" t="str">
        <f t="shared" si="35"/>
        <v>03</v>
      </c>
      <c r="L379" s="3" t="s">
        <v>3309</v>
      </c>
      <c r="R379" s="3" t="s">
        <v>4294</v>
      </c>
      <c r="S379" s="15">
        <v>6</v>
      </c>
    </row>
    <row r="380" spans="1:19" ht="30" x14ac:dyDescent="0.25">
      <c r="A380" s="4" t="s">
        <v>4295</v>
      </c>
      <c r="B380" s="4" t="s">
        <v>17</v>
      </c>
      <c r="C380" s="4" t="s">
        <v>4296</v>
      </c>
      <c r="D380" s="3" t="str">
        <f t="shared" si="30"/>
        <v>EFM</v>
      </c>
      <c r="E380" s="3" t="str">
        <f t="shared" si="31"/>
        <v>R</v>
      </c>
      <c r="F380" s="3" t="str">
        <f t="shared" si="32"/>
        <v>010</v>
      </c>
      <c r="G380" s="3" t="str">
        <f t="shared" si="33"/>
        <v>CM</v>
      </c>
      <c r="H380" s="3" t="str">
        <f t="shared" si="34"/>
        <v>000</v>
      </c>
      <c r="I380" s="3" t="str">
        <f t="shared" si="35"/>
        <v>03</v>
      </c>
      <c r="L380" s="3" t="s">
        <v>3309</v>
      </c>
      <c r="R380" s="3" t="s">
        <v>4297</v>
      </c>
      <c r="S380" s="15">
        <v>1</v>
      </c>
    </row>
    <row r="381" spans="1:19" ht="30" x14ac:dyDescent="0.25">
      <c r="A381" s="4" t="s">
        <v>4298</v>
      </c>
      <c r="B381" s="4" t="s">
        <v>17</v>
      </c>
      <c r="C381" s="4" t="s">
        <v>4299</v>
      </c>
      <c r="D381" s="3" t="str">
        <f t="shared" si="30"/>
        <v>EFM</v>
      </c>
      <c r="E381" s="3" t="str">
        <f t="shared" si="31"/>
        <v>R</v>
      </c>
      <c r="F381" s="3" t="str">
        <f t="shared" si="32"/>
        <v>011</v>
      </c>
      <c r="G381" s="3" t="str">
        <f t="shared" si="33"/>
        <v>CM</v>
      </c>
      <c r="H381" s="3" t="str">
        <f t="shared" si="34"/>
        <v>000</v>
      </c>
      <c r="I381" s="3" t="str">
        <f t="shared" si="35"/>
        <v>03</v>
      </c>
      <c r="L381" s="3" t="s">
        <v>3309</v>
      </c>
      <c r="R381" s="3" t="s">
        <v>4300</v>
      </c>
      <c r="S381" s="15">
        <v>1</v>
      </c>
    </row>
    <row r="382" spans="1:19" ht="30" x14ac:dyDescent="0.25">
      <c r="A382" s="4" t="s">
        <v>4301</v>
      </c>
      <c r="B382" s="4" t="s">
        <v>17</v>
      </c>
      <c r="C382" s="4" t="s">
        <v>4302</v>
      </c>
      <c r="D382" s="3" t="str">
        <f t="shared" si="30"/>
        <v>EFM</v>
      </c>
      <c r="E382" s="3" t="str">
        <f t="shared" si="31"/>
        <v>R</v>
      </c>
      <c r="F382" s="3" t="str">
        <f t="shared" si="32"/>
        <v>013</v>
      </c>
      <c r="G382" s="3" t="str">
        <f t="shared" si="33"/>
        <v>CM</v>
      </c>
      <c r="H382" s="3" t="str">
        <f t="shared" si="34"/>
        <v>000</v>
      </c>
      <c r="I382" s="3" t="str">
        <f t="shared" si="35"/>
        <v>03</v>
      </c>
      <c r="L382" s="3" t="s">
        <v>3309</v>
      </c>
      <c r="R382" s="3" t="s">
        <v>4303</v>
      </c>
      <c r="S382" s="15">
        <v>1</v>
      </c>
    </row>
    <row r="383" spans="1:19" ht="30" x14ac:dyDescent="0.25">
      <c r="A383" s="4" t="s">
        <v>4304</v>
      </c>
      <c r="B383" s="4" t="s">
        <v>17</v>
      </c>
      <c r="C383" s="4" t="s">
        <v>4305</v>
      </c>
      <c r="D383" s="3" t="str">
        <f t="shared" si="30"/>
        <v>EFM</v>
      </c>
      <c r="E383" s="3" t="str">
        <f t="shared" si="31"/>
        <v>R</v>
      </c>
      <c r="F383" s="3" t="str">
        <f t="shared" si="32"/>
        <v>014</v>
      </c>
      <c r="G383" s="3" t="str">
        <f t="shared" si="33"/>
        <v>CM</v>
      </c>
      <c r="H383" s="3" t="str">
        <f t="shared" si="34"/>
        <v>000</v>
      </c>
      <c r="I383" s="3" t="str">
        <f t="shared" si="35"/>
        <v>03</v>
      </c>
      <c r="L383" s="3" t="s">
        <v>3309</v>
      </c>
      <c r="R383" s="3" t="s">
        <v>4306</v>
      </c>
      <c r="S383" s="15">
        <v>2</v>
      </c>
    </row>
    <row r="384" spans="1:19" x14ac:dyDescent="0.25">
      <c r="A384" s="4" t="s">
        <v>4307</v>
      </c>
      <c r="B384" s="4" t="s">
        <v>17</v>
      </c>
      <c r="C384" s="4" t="s">
        <v>4308</v>
      </c>
      <c r="D384" s="3" t="str">
        <f t="shared" si="30"/>
        <v>EFM</v>
      </c>
      <c r="E384" s="3" t="str">
        <f t="shared" si="31"/>
        <v>G</v>
      </c>
      <c r="F384" s="3" t="str">
        <f t="shared" si="32"/>
        <v>004</v>
      </c>
      <c r="G384" s="3" t="str">
        <f t="shared" si="33"/>
        <v>AD</v>
      </c>
      <c r="H384" s="3" t="str">
        <f t="shared" si="34"/>
        <v>000</v>
      </c>
      <c r="I384" s="3" t="str">
        <f t="shared" si="35"/>
        <v>00</v>
      </c>
      <c r="L384" s="3" t="s">
        <v>3309</v>
      </c>
      <c r="R384" s="3" t="s">
        <v>4309</v>
      </c>
      <c r="S384" s="15" t="s">
        <v>3247</v>
      </c>
    </row>
    <row r="385" spans="1:19" x14ac:dyDescent="0.25">
      <c r="A385" s="4" t="s">
        <v>4310</v>
      </c>
      <c r="B385" s="4" t="s">
        <v>17</v>
      </c>
      <c r="C385" s="4" t="s">
        <v>4311</v>
      </c>
      <c r="D385" s="3" t="str">
        <f t="shared" si="30"/>
        <v>EFM</v>
      </c>
      <c r="E385" s="3" t="str">
        <f t="shared" si="31"/>
        <v>G</v>
      </c>
      <c r="F385" s="3" t="str">
        <f t="shared" si="32"/>
        <v>012</v>
      </c>
      <c r="G385" s="3" t="str">
        <f t="shared" si="33"/>
        <v>AD</v>
      </c>
      <c r="H385" s="3" t="str">
        <f t="shared" si="34"/>
        <v>000</v>
      </c>
      <c r="I385" s="3" t="str">
        <f t="shared" si="35"/>
        <v>00</v>
      </c>
      <c r="L385" s="3" t="s">
        <v>3309</v>
      </c>
      <c r="R385" s="3" t="s">
        <v>4312</v>
      </c>
      <c r="S385" s="15" t="s">
        <v>3247</v>
      </c>
    </row>
    <row r="386" spans="1:19" x14ac:dyDescent="0.25">
      <c r="A386" s="4" t="s">
        <v>4313</v>
      </c>
      <c r="B386" s="4" t="s">
        <v>17</v>
      </c>
      <c r="C386" s="4" t="s">
        <v>4314</v>
      </c>
      <c r="D386" s="3" t="str">
        <f t="shared" ref="D386:D449" si="36">LEFT(A386,3)</f>
        <v>EFM</v>
      </c>
      <c r="E386" s="3" t="str">
        <f t="shared" ref="E386:E449" si="37">MID(A386,4,1)</f>
        <v>G</v>
      </c>
      <c r="F386" s="3" t="str">
        <f t="shared" ref="F386:F449" si="38">MID(A386,5,3)</f>
        <v>013</v>
      </c>
      <c r="G386" s="3" t="str">
        <f t="shared" ref="G386:G449" si="39">MID(A386,8,2)</f>
        <v>AD</v>
      </c>
      <c r="H386" s="3" t="str">
        <f t="shared" ref="H386:H449" si="40">MID(A386,10,3)</f>
        <v>000</v>
      </c>
      <c r="I386" s="3" t="str">
        <f t="shared" ref="I386:I449" si="41">MID(A386,13,2)</f>
        <v>00</v>
      </c>
      <c r="L386" s="3" t="s">
        <v>3309</v>
      </c>
      <c r="R386" s="3" t="s">
        <v>4315</v>
      </c>
      <c r="S386" s="15" t="s">
        <v>3247</v>
      </c>
    </row>
    <row r="387" spans="1:19" ht="30" x14ac:dyDescent="0.25">
      <c r="A387" s="4" t="s">
        <v>4316</v>
      </c>
      <c r="B387" s="4" t="s">
        <v>17</v>
      </c>
      <c r="C387" s="4" t="s">
        <v>4317</v>
      </c>
      <c r="D387" s="3" t="str">
        <f t="shared" si="36"/>
        <v>EFM</v>
      </c>
      <c r="E387" s="3" t="str">
        <f t="shared" si="37"/>
        <v>F</v>
      </c>
      <c r="F387" s="3" t="str">
        <f t="shared" si="38"/>
        <v>009</v>
      </c>
      <c r="G387" s="3" t="str">
        <f t="shared" si="39"/>
        <v>MI</v>
      </c>
      <c r="H387" s="3" t="str">
        <f t="shared" si="40"/>
        <v>000</v>
      </c>
      <c r="I387" s="3" t="str">
        <f t="shared" si="41"/>
        <v>03</v>
      </c>
      <c r="L387" s="3" t="s">
        <v>3309</v>
      </c>
      <c r="R387" s="3" t="s">
        <v>4318</v>
      </c>
      <c r="S387" s="15" t="s">
        <v>3247</v>
      </c>
    </row>
    <row r="388" spans="1:19" ht="30" x14ac:dyDescent="0.25">
      <c r="A388" s="4" t="s">
        <v>4319</v>
      </c>
      <c r="B388" s="4" t="s">
        <v>17</v>
      </c>
      <c r="C388" s="4" t="s">
        <v>4320</v>
      </c>
      <c r="D388" s="3" t="str">
        <f t="shared" si="36"/>
        <v>EFM</v>
      </c>
      <c r="E388" s="3" t="str">
        <f t="shared" si="37"/>
        <v>F</v>
      </c>
      <c r="F388" s="3" t="str">
        <f t="shared" si="38"/>
        <v>010</v>
      </c>
      <c r="G388" s="3" t="str">
        <f t="shared" si="39"/>
        <v>MI</v>
      </c>
      <c r="H388" s="3" t="str">
        <f t="shared" si="40"/>
        <v>000</v>
      </c>
      <c r="I388" s="3" t="str">
        <f t="shared" si="41"/>
        <v>03</v>
      </c>
      <c r="L388" s="3" t="s">
        <v>3309</v>
      </c>
      <c r="R388" s="3" t="s">
        <v>4321</v>
      </c>
      <c r="S388" s="15" t="s">
        <v>3247</v>
      </c>
    </row>
    <row r="389" spans="1:19" x14ac:dyDescent="0.25">
      <c r="A389" s="4" t="s">
        <v>4322</v>
      </c>
      <c r="B389" s="4" t="s">
        <v>17</v>
      </c>
      <c r="C389" s="4" t="s">
        <v>4323</v>
      </c>
      <c r="D389" s="3" t="str">
        <f t="shared" si="36"/>
        <v>EFM</v>
      </c>
      <c r="E389" s="3" t="str">
        <f t="shared" si="37"/>
        <v>R</v>
      </c>
      <c r="F389" s="3" t="str">
        <f t="shared" si="38"/>
        <v>006</v>
      </c>
      <c r="G389" s="3" t="str">
        <f t="shared" si="39"/>
        <v>XT</v>
      </c>
      <c r="H389" s="3" t="str">
        <f t="shared" si="40"/>
        <v>003</v>
      </c>
      <c r="I389" s="3" t="str">
        <f t="shared" si="41"/>
        <v>00</v>
      </c>
      <c r="L389" s="3" t="s">
        <v>3309</v>
      </c>
      <c r="R389" s="3" t="s">
        <v>4324</v>
      </c>
      <c r="S389" s="15">
        <v>2</v>
      </c>
    </row>
    <row r="390" spans="1:19" x14ac:dyDescent="0.25">
      <c r="A390" s="4" t="s">
        <v>4325</v>
      </c>
      <c r="B390" s="4" t="s">
        <v>17</v>
      </c>
      <c r="C390" s="4" t="s">
        <v>4326</v>
      </c>
      <c r="D390" s="3" t="str">
        <f t="shared" si="36"/>
        <v>EFM</v>
      </c>
      <c r="E390" s="3" t="str">
        <f t="shared" si="37"/>
        <v>R</v>
      </c>
      <c r="F390" s="3" t="str">
        <f t="shared" si="38"/>
        <v>006</v>
      </c>
      <c r="G390" s="3" t="str">
        <f t="shared" si="39"/>
        <v>MI</v>
      </c>
      <c r="H390" s="3" t="str">
        <f t="shared" si="40"/>
        <v>003</v>
      </c>
      <c r="I390" s="3" t="str">
        <f t="shared" si="41"/>
        <v>00</v>
      </c>
      <c r="L390" s="3" t="s">
        <v>3309</v>
      </c>
      <c r="R390" s="3" t="s">
        <v>4326</v>
      </c>
      <c r="S390" s="15">
        <v>9</v>
      </c>
    </row>
    <row r="391" spans="1:19" x14ac:dyDescent="0.25">
      <c r="A391" s="4" t="s">
        <v>4327</v>
      </c>
      <c r="B391" s="4" t="s">
        <v>17</v>
      </c>
      <c r="C391" s="4" t="s">
        <v>4328</v>
      </c>
      <c r="D391" s="3" t="str">
        <f t="shared" si="36"/>
        <v>EFM</v>
      </c>
      <c r="E391" s="3" t="str">
        <f t="shared" si="37"/>
        <v>R</v>
      </c>
      <c r="F391" s="3" t="str">
        <f t="shared" si="38"/>
        <v>004</v>
      </c>
      <c r="G391" s="3" t="str">
        <f t="shared" si="39"/>
        <v>MI</v>
      </c>
      <c r="H391" s="3" t="str">
        <f t="shared" si="40"/>
        <v>003</v>
      </c>
      <c r="I391" s="3" t="str">
        <f t="shared" si="41"/>
        <v>00</v>
      </c>
      <c r="L391" s="3" t="s">
        <v>3309</v>
      </c>
      <c r="R391" s="3" t="s">
        <v>4328</v>
      </c>
      <c r="S391" s="15">
        <v>7</v>
      </c>
    </row>
    <row r="392" spans="1:19" x14ac:dyDescent="0.25">
      <c r="A392" s="4" t="s">
        <v>4329</v>
      </c>
      <c r="B392" s="4" t="s">
        <v>17</v>
      </c>
      <c r="C392" s="4" t="s">
        <v>4330</v>
      </c>
      <c r="D392" s="3" t="str">
        <f t="shared" si="36"/>
        <v>EFM</v>
      </c>
      <c r="E392" s="3" t="str">
        <f t="shared" si="37"/>
        <v>R</v>
      </c>
      <c r="F392" s="3" t="str">
        <f t="shared" si="38"/>
        <v>007</v>
      </c>
      <c r="G392" s="3" t="str">
        <f t="shared" si="39"/>
        <v>MI</v>
      </c>
      <c r="H392" s="3" t="str">
        <f t="shared" si="40"/>
        <v>003</v>
      </c>
      <c r="I392" s="3" t="str">
        <f t="shared" si="41"/>
        <v>00</v>
      </c>
      <c r="L392" s="3" t="s">
        <v>3309</v>
      </c>
      <c r="R392" s="3" t="s">
        <v>4330</v>
      </c>
      <c r="S392" s="15">
        <v>1</v>
      </c>
    </row>
    <row r="393" spans="1:19" x14ac:dyDescent="0.25">
      <c r="A393" s="4" t="s">
        <v>4331</v>
      </c>
      <c r="B393" s="4" t="s">
        <v>17</v>
      </c>
      <c r="C393" s="4" t="s">
        <v>4332</v>
      </c>
      <c r="D393" s="3" t="str">
        <f t="shared" si="36"/>
        <v>EFM</v>
      </c>
      <c r="E393" s="3" t="str">
        <f t="shared" si="37"/>
        <v>R</v>
      </c>
      <c r="F393" s="3" t="str">
        <f t="shared" si="38"/>
        <v>008</v>
      </c>
      <c r="G393" s="3" t="str">
        <f t="shared" si="39"/>
        <v>MI</v>
      </c>
      <c r="H393" s="3" t="str">
        <f t="shared" si="40"/>
        <v>003</v>
      </c>
      <c r="I393" s="3" t="str">
        <f t="shared" si="41"/>
        <v>00</v>
      </c>
      <c r="L393" s="3" t="s">
        <v>3309</v>
      </c>
      <c r="R393" s="3" t="s">
        <v>4332</v>
      </c>
      <c r="S393" s="15">
        <v>7</v>
      </c>
    </row>
    <row r="394" spans="1:19" x14ac:dyDescent="0.25">
      <c r="A394" s="4" t="s">
        <v>4333</v>
      </c>
      <c r="B394" s="4" t="s">
        <v>17</v>
      </c>
      <c r="C394" s="4" t="s">
        <v>4334</v>
      </c>
      <c r="D394" s="3" t="str">
        <f t="shared" si="36"/>
        <v>EFM</v>
      </c>
      <c r="E394" s="3" t="str">
        <f t="shared" si="37"/>
        <v>R</v>
      </c>
      <c r="F394" s="3" t="str">
        <f t="shared" si="38"/>
        <v>009</v>
      </c>
      <c r="G394" s="3" t="str">
        <f t="shared" si="39"/>
        <v>MI</v>
      </c>
      <c r="H394" s="3" t="str">
        <f t="shared" si="40"/>
        <v>003</v>
      </c>
      <c r="I394" s="3" t="str">
        <f t="shared" si="41"/>
        <v>00</v>
      </c>
      <c r="L394" s="3" t="s">
        <v>3309</v>
      </c>
      <c r="R394" s="3" t="s">
        <v>4334</v>
      </c>
      <c r="S394" s="15">
        <v>8</v>
      </c>
    </row>
    <row r="395" spans="1:19" x14ac:dyDescent="0.25">
      <c r="A395" s="4" t="s">
        <v>4335</v>
      </c>
      <c r="B395" s="4" t="s">
        <v>17</v>
      </c>
      <c r="C395" s="4" t="s">
        <v>4336</v>
      </c>
      <c r="D395" s="3" t="str">
        <f t="shared" si="36"/>
        <v>EFM</v>
      </c>
      <c r="E395" s="3" t="str">
        <f t="shared" si="37"/>
        <v>R</v>
      </c>
      <c r="F395" s="3" t="str">
        <f t="shared" si="38"/>
        <v>010</v>
      </c>
      <c r="G395" s="3" t="str">
        <f t="shared" si="39"/>
        <v>MI</v>
      </c>
      <c r="H395" s="3" t="str">
        <f t="shared" si="40"/>
        <v>003</v>
      </c>
      <c r="I395" s="3" t="str">
        <f t="shared" si="41"/>
        <v>00</v>
      </c>
      <c r="L395" s="3" t="s">
        <v>3309</v>
      </c>
      <c r="R395" s="3" t="s">
        <v>4336</v>
      </c>
      <c r="S395" s="15">
        <v>5</v>
      </c>
    </row>
    <row r="396" spans="1:19" x14ac:dyDescent="0.25">
      <c r="A396" s="4" t="s">
        <v>4337</v>
      </c>
      <c r="B396" s="4" t="s">
        <v>17</v>
      </c>
      <c r="C396" s="4" t="s">
        <v>4338</v>
      </c>
      <c r="D396" s="3" t="str">
        <f t="shared" si="36"/>
        <v>EFM</v>
      </c>
      <c r="E396" s="3" t="str">
        <f t="shared" si="37"/>
        <v>R</v>
      </c>
      <c r="F396" s="3" t="str">
        <f t="shared" si="38"/>
        <v>003</v>
      </c>
      <c r="G396" s="3" t="str">
        <f t="shared" si="39"/>
        <v>XT</v>
      </c>
      <c r="H396" s="3" t="str">
        <f t="shared" si="40"/>
        <v>003</v>
      </c>
      <c r="I396" s="3" t="str">
        <f t="shared" si="41"/>
        <v>00</v>
      </c>
      <c r="L396" s="3" t="s">
        <v>3309</v>
      </c>
      <c r="R396" s="3" t="s">
        <v>4339</v>
      </c>
      <c r="S396" s="15">
        <v>1</v>
      </c>
    </row>
    <row r="397" spans="1:19" x14ac:dyDescent="0.25">
      <c r="A397" s="4" t="s">
        <v>4340</v>
      </c>
      <c r="B397" s="4" t="s">
        <v>17</v>
      </c>
      <c r="C397" s="4" t="s">
        <v>4341</v>
      </c>
      <c r="D397" s="3" t="str">
        <f t="shared" si="36"/>
        <v>EFM</v>
      </c>
      <c r="E397" s="3" t="str">
        <f t="shared" si="37"/>
        <v>R</v>
      </c>
      <c r="F397" s="3" t="str">
        <f t="shared" si="38"/>
        <v>004</v>
      </c>
      <c r="G397" s="3" t="str">
        <f t="shared" si="39"/>
        <v>XT</v>
      </c>
      <c r="H397" s="3" t="str">
        <f t="shared" si="40"/>
        <v>003</v>
      </c>
      <c r="I397" s="3" t="str">
        <f t="shared" si="41"/>
        <v>00</v>
      </c>
      <c r="L397" s="3" t="s">
        <v>3309</v>
      </c>
      <c r="R397" s="3" t="s">
        <v>4342</v>
      </c>
      <c r="S397" s="15">
        <v>1</v>
      </c>
    </row>
    <row r="398" spans="1:19" x14ac:dyDescent="0.25">
      <c r="A398" s="4" t="s">
        <v>4343</v>
      </c>
      <c r="B398" s="4" t="s">
        <v>17</v>
      </c>
      <c r="C398" s="4" t="s">
        <v>4344</v>
      </c>
      <c r="D398" s="3" t="str">
        <f t="shared" si="36"/>
        <v>EFM</v>
      </c>
      <c r="E398" s="3" t="str">
        <f t="shared" si="37"/>
        <v>R</v>
      </c>
      <c r="F398" s="3" t="str">
        <f t="shared" si="38"/>
        <v>005</v>
      </c>
      <c r="G398" s="3" t="str">
        <f t="shared" si="39"/>
        <v>XT</v>
      </c>
      <c r="H398" s="3" t="str">
        <f t="shared" si="40"/>
        <v>003</v>
      </c>
      <c r="I398" s="3" t="str">
        <f t="shared" si="41"/>
        <v>00</v>
      </c>
      <c r="L398" s="3" t="s">
        <v>3309</v>
      </c>
      <c r="R398" s="3" t="s">
        <v>4345</v>
      </c>
      <c r="S398" s="15">
        <v>1</v>
      </c>
    </row>
    <row r="399" spans="1:19" x14ac:dyDescent="0.25">
      <c r="A399" s="4" t="s">
        <v>4346</v>
      </c>
      <c r="B399" s="4" t="s">
        <v>17</v>
      </c>
      <c r="C399" s="4" t="s">
        <v>4347</v>
      </c>
      <c r="D399" s="3" t="str">
        <f t="shared" si="36"/>
        <v>EFM</v>
      </c>
      <c r="E399" s="3" t="str">
        <f t="shared" si="37"/>
        <v>R</v>
      </c>
      <c r="F399" s="3" t="str">
        <f t="shared" si="38"/>
        <v>007</v>
      </c>
      <c r="G399" s="3" t="str">
        <f t="shared" si="39"/>
        <v>XT</v>
      </c>
      <c r="H399" s="3" t="str">
        <f t="shared" si="40"/>
        <v>003</v>
      </c>
      <c r="I399" s="3" t="str">
        <f t="shared" si="41"/>
        <v>00</v>
      </c>
      <c r="L399" s="3" t="s">
        <v>3309</v>
      </c>
      <c r="R399" s="3" t="s">
        <v>4348</v>
      </c>
      <c r="S399" s="15">
        <v>1</v>
      </c>
    </row>
    <row r="400" spans="1:19" x14ac:dyDescent="0.25">
      <c r="A400" s="4" t="s">
        <v>4349</v>
      </c>
      <c r="B400" s="4" t="s">
        <v>17</v>
      </c>
      <c r="C400" s="4" t="s">
        <v>4350</v>
      </c>
      <c r="D400" s="3" t="str">
        <f t="shared" si="36"/>
        <v>EFM</v>
      </c>
      <c r="E400" s="3" t="str">
        <f t="shared" si="37"/>
        <v>R</v>
      </c>
      <c r="F400" s="3" t="str">
        <f t="shared" si="38"/>
        <v>008</v>
      </c>
      <c r="G400" s="3" t="str">
        <f t="shared" si="39"/>
        <v>XT</v>
      </c>
      <c r="H400" s="3" t="str">
        <f t="shared" si="40"/>
        <v>003</v>
      </c>
      <c r="I400" s="3" t="str">
        <f t="shared" si="41"/>
        <v>00</v>
      </c>
      <c r="L400" s="3" t="s">
        <v>3309</v>
      </c>
      <c r="R400" s="3" t="s">
        <v>4351</v>
      </c>
      <c r="S400" s="15">
        <v>1</v>
      </c>
    </row>
    <row r="401" spans="1:19" x14ac:dyDescent="0.25">
      <c r="A401" s="4" t="s">
        <v>4352</v>
      </c>
      <c r="B401" s="4" t="s">
        <v>17</v>
      </c>
      <c r="C401" s="4" t="s">
        <v>4353</v>
      </c>
      <c r="D401" s="3" t="str">
        <f t="shared" si="36"/>
        <v>EFM</v>
      </c>
      <c r="E401" s="3" t="str">
        <f t="shared" si="37"/>
        <v>R</v>
      </c>
      <c r="F401" s="3" t="str">
        <f t="shared" si="38"/>
        <v>001</v>
      </c>
      <c r="G401" s="3" t="str">
        <f t="shared" si="39"/>
        <v>MI</v>
      </c>
      <c r="H401" s="3" t="str">
        <f t="shared" si="40"/>
        <v>003</v>
      </c>
      <c r="I401" s="3" t="str">
        <f t="shared" si="41"/>
        <v>00</v>
      </c>
      <c r="L401" s="3" t="s">
        <v>3309</v>
      </c>
      <c r="R401" s="3" t="s">
        <v>4353</v>
      </c>
      <c r="S401" s="15">
        <v>3</v>
      </c>
    </row>
    <row r="402" spans="1:19" x14ac:dyDescent="0.25">
      <c r="A402" s="4" t="s">
        <v>4354</v>
      </c>
      <c r="B402" s="4" t="s">
        <v>17</v>
      </c>
      <c r="C402" s="4" t="s">
        <v>4355</v>
      </c>
      <c r="D402" s="3" t="str">
        <f t="shared" si="36"/>
        <v>EFM</v>
      </c>
      <c r="E402" s="3" t="str">
        <f t="shared" si="37"/>
        <v>R</v>
      </c>
      <c r="F402" s="3" t="str">
        <f t="shared" si="38"/>
        <v>002</v>
      </c>
      <c r="G402" s="3" t="str">
        <f t="shared" si="39"/>
        <v>MI</v>
      </c>
      <c r="H402" s="3" t="str">
        <f t="shared" si="40"/>
        <v>003</v>
      </c>
      <c r="I402" s="3" t="str">
        <f t="shared" si="41"/>
        <v>00</v>
      </c>
      <c r="L402" s="3" t="s">
        <v>3309</v>
      </c>
      <c r="R402" s="3" t="s">
        <v>4355</v>
      </c>
      <c r="S402" s="15">
        <v>1</v>
      </c>
    </row>
    <row r="403" spans="1:19" x14ac:dyDescent="0.25">
      <c r="A403" s="4" t="s">
        <v>4356</v>
      </c>
      <c r="B403" s="4" t="s">
        <v>7</v>
      </c>
      <c r="C403" s="4" t="s">
        <v>4357</v>
      </c>
      <c r="D403" s="3" t="str">
        <f t="shared" si="36"/>
        <v>HMI</v>
      </c>
      <c r="E403" s="3" t="str">
        <f t="shared" si="37"/>
        <v>A</v>
      </c>
      <c r="F403" s="3" t="str">
        <f t="shared" si="38"/>
        <v>007</v>
      </c>
      <c r="G403" s="3" t="str">
        <f t="shared" si="39"/>
        <v>SC</v>
      </c>
      <c r="H403" s="3" t="str">
        <f t="shared" si="40"/>
        <v>001</v>
      </c>
      <c r="I403" s="3" t="str">
        <f t="shared" si="41"/>
        <v>03</v>
      </c>
      <c r="L403" s="3" t="s">
        <v>3245</v>
      </c>
      <c r="R403" s="3" t="s">
        <v>4358</v>
      </c>
      <c r="S403" s="15" t="s">
        <v>3247</v>
      </c>
    </row>
    <row r="404" spans="1:19" x14ac:dyDescent="0.25">
      <c r="A404" s="4" t="s">
        <v>4359</v>
      </c>
      <c r="B404" s="4" t="s">
        <v>7</v>
      </c>
      <c r="C404" s="4" t="s">
        <v>4360</v>
      </c>
      <c r="D404" s="3" t="str">
        <f t="shared" si="36"/>
        <v>HMI</v>
      </c>
      <c r="E404" s="3" t="str">
        <f t="shared" si="37"/>
        <v>A</v>
      </c>
      <c r="F404" s="3" t="str">
        <f t="shared" si="38"/>
        <v>007</v>
      </c>
      <c r="G404" s="3" t="str">
        <f t="shared" si="39"/>
        <v>RE</v>
      </c>
      <c r="H404" s="3" t="str">
        <f t="shared" si="40"/>
        <v>002</v>
      </c>
      <c r="I404" s="3" t="str">
        <f t="shared" si="41"/>
        <v>03</v>
      </c>
      <c r="L404" s="3" t="s">
        <v>3245</v>
      </c>
      <c r="R404" s="3" t="s">
        <v>2851</v>
      </c>
      <c r="S404" s="15" t="s">
        <v>3247</v>
      </c>
    </row>
    <row r="405" spans="1:19" x14ac:dyDescent="0.25">
      <c r="A405" s="4" t="s">
        <v>4361</v>
      </c>
      <c r="B405" s="4" t="s">
        <v>7</v>
      </c>
      <c r="C405" s="4" t="s">
        <v>4362</v>
      </c>
      <c r="D405" s="3" t="str">
        <f t="shared" si="36"/>
        <v>HMI</v>
      </c>
      <c r="E405" s="3" t="str">
        <f t="shared" si="37"/>
        <v>A</v>
      </c>
      <c r="F405" s="3" t="str">
        <f t="shared" si="38"/>
        <v>007</v>
      </c>
      <c r="G405" s="3" t="str">
        <f t="shared" si="39"/>
        <v>SC</v>
      </c>
      <c r="H405" s="3" t="str">
        <f t="shared" si="40"/>
        <v>001</v>
      </c>
      <c r="I405" s="3" t="str">
        <f t="shared" si="41"/>
        <v>02</v>
      </c>
      <c r="L405" s="3" t="s">
        <v>3309</v>
      </c>
      <c r="R405" s="3" t="s">
        <v>2850</v>
      </c>
      <c r="S405" s="15" t="s">
        <v>3247</v>
      </c>
    </row>
    <row r="406" spans="1:19" x14ac:dyDescent="0.25">
      <c r="A406" s="4" t="s">
        <v>4363</v>
      </c>
      <c r="B406" s="4" t="s">
        <v>7</v>
      </c>
      <c r="C406" s="4" t="s">
        <v>4364</v>
      </c>
      <c r="D406" s="3" t="str">
        <f t="shared" si="36"/>
        <v>HMI</v>
      </c>
      <c r="E406" s="3" t="str">
        <f t="shared" si="37"/>
        <v>A</v>
      </c>
      <c r="F406" s="3" t="str">
        <f t="shared" si="38"/>
        <v>007</v>
      </c>
      <c r="G406" s="3" t="str">
        <f t="shared" si="39"/>
        <v>MI</v>
      </c>
      <c r="H406" s="3" t="str">
        <f t="shared" si="40"/>
        <v>003</v>
      </c>
      <c r="I406" s="3" t="str">
        <f t="shared" si="41"/>
        <v>03</v>
      </c>
      <c r="L406" s="3" t="s">
        <v>3309</v>
      </c>
      <c r="R406" s="3" t="s">
        <v>4364</v>
      </c>
      <c r="S406" s="15">
        <v>1</v>
      </c>
    </row>
    <row r="407" spans="1:19" x14ac:dyDescent="0.25">
      <c r="A407" s="4" t="s">
        <v>4365</v>
      </c>
      <c r="B407" s="4" t="s">
        <v>7</v>
      </c>
      <c r="C407" s="4" t="s">
        <v>4366</v>
      </c>
      <c r="D407" s="3" t="str">
        <f t="shared" si="36"/>
        <v>HMI</v>
      </c>
      <c r="E407" s="3" t="str">
        <f t="shared" si="37"/>
        <v>A</v>
      </c>
      <c r="F407" s="3" t="str">
        <f t="shared" si="38"/>
        <v>007</v>
      </c>
      <c r="G407" s="3" t="str">
        <f t="shared" si="39"/>
        <v>UN</v>
      </c>
      <c r="H407" s="3" t="str">
        <f t="shared" si="40"/>
        <v>004</v>
      </c>
      <c r="I407" s="3" t="str">
        <f t="shared" si="41"/>
        <v>03</v>
      </c>
      <c r="L407" s="3" t="s">
        <v>3309</v>
      </c>
      <c r="R407" s="3" t="s">
        <v>4367</v>
      </c>
      <c r="S407" s="15" t="s">
        <v>3247</v>
      </c>
    </row>
    <row r="408" spans="1:19" x14ac:dyDescent="0.25">
      <c r="A408" s="4" t="s">
        <v>4368</v>
      </c>
      <c r="B408" s="4" t="s">
        <v>7</v>
      </c>
      <c r="C408" s="4" t="s">
        <v>4369</v>
      </c>
      <c r="D408" s="3" t="str">
        <f t="shared" si="36"/>
        <v>HMI</v>
      </c>
      <c r="E408" s="3" t="str">
        <f t="shared" si="37"/>
        <v>A</v>
      </c>
      <c r="F408" s="3" t="str">
        <f t="shared" si="38"/>
        <v>011</v>
      </c>
      <c r="G408" s="3" t="str">
        <f t="shared" si="39"/>
        <v>ST</v>
      </c>
      <c r="H408" s="3" t="str">
        <f t="shared" si="40"/>
        <v>000</v>
      </c>
      <c r="I408" s="3" t="str">
        <f t="shared" si="41"/>
        <v>04</v>
      </c>
      <c r="L408" s="3" t="s">
        <v>3309</v>
      </c>
      <c r="R408" s="3" t="s">
        <v>4370</v>
      </c>
      <c r="S408" s="15" t="s">
        <v>3247</v>
      </c>
    </row>
    <row r="409" spans="1:19" ht="30" x14ac:dyDescent="0.25">
      <c r="A409" s="4" t="s">
        <v>4371</v>
      </c>
      <c r="B409" s="4" t="s">
        <v>7</v>
      </c>
      <c r="C409" s="4" t="s">
        <v>4372</v>
      </c>
      <c r="D409" s="3" t="str">
        <f t="shared" si="36"/>
        <v>HMI</v>
      </c>
      <c r="E409" s="3" t="str">
        <f t="shared" si="37"/>
        <v>A</v>
      </c>
      <c r="F409" s="3" t="str">
        <f t="shared" si="38"/>
        <v>007</v>
      </c>
      <c r="G409" s="3" t="str">
        <f t="shared" si="39"/>
        <v>CI</v>
      </c>
      <c r="H409" s="3" t="str">
        <f t="shared" si="40"/>
        <v>005</v>
      </c>
      <c r="I409" s="3" t="str">
        <f t="shared" si="41"/>
        <v>03</v>
      </c>
      <c r="L409" s="3" t="s">
        <v>3309</v>
      </c>
      <c r="R409" s="3" t="s">
        <v>4373</v>
      </c>
      <c r="S409" s="15" t="s">
        <v>3247</v>
      </c>
    </row>
    <row r="410" spans="1:19" x14ac:dyDescent="0.25">
      <c r="A410" s="4" t="s">
        <v>4374</v>
      </c>
      <c r="B410" s="4" t="s">
        <v>7</v>
      </c>
      <c r="C410" s="4" t="s">
        <v>4375</v>
      </c>
      <c r="D410" s="3" t="str">
        <f t="shared" si="36"/>
        <v>HMI</v>
      </c>
      <c r="E410" s="3" t="str">
        <f t="shared" si="37"/>
        <v>A</v>
      </c>
      <c r="F410" s="3" t="str">
        <f t="shared" si="38"/>
        <v>007</v>
      </c>
      <c r="G410" s="3" t="str">
        <f t="shared" si="39"/>
        <v>RE</v>
      </c>
      <c r="H410" s="3" t="str">
        <f t="shared" si="40"/>
        <v>002</v>
      </c>
      <c r="I410" s="3" t="str">
        <f t="shared" si="41"/>
        <v>02</v>
      </c>
      <c r="L410" s="3" t="s">
        <v>3309</v>
      </c>
      <c r="R410" s="3" t="s">
        <v>2855</v>
      </c>
      <c r="S410" s="15" t="s">
        <v>3247</v>
      </c>
    </row>
    <row r="411" spans="1:19" x14ac:dyDescent="0.25">
      <c r="A411" s="4" t="s">
        <v>4376</v>
      </c>
      <c r="B411" s="4" t="s">
        <v>7</v>
      </c>
      <c r="C411" s="4" t="s">
        <v>4377</v>
      </c>
      <c r="D411" s="3" t="str">
        <f t="shared" si="36"/>
        <v>HMI</v>
      </c>
      <c r="E411" s="3" t="str">
        <f t="shared" si="37"/>
        <v>A</v>
      </c>
      <c r="F411" s="3" t="str">
        <f t="shared" si="38"/>
        <v>010</v>
      </c>
      <c r="G411" s="3" t="str">
        <f t="shared" si="39"/>
        <v>UN</v>
      </c>
      <c r="H411" s="3" t="str">
        <f t="shared" si="40"/>
        <v>000</v>
      </c>
      <c r="I411" s="3" t="str">
        <f t="shared" si="41"/>
        <v>03</v>
      </c>
      <c r="L411" s="3" t="s">
        <v>3309</v>
      </c>
      <c r="R411" s="3" t="s">
        <v>4378</v>
      </c>
      <c r="S411" s="15" t="s">
        <v>3247</v>
      </c>
    </row>
    <row r="412" spans="1:19" x14ac:dyDescent="0.25">
      <c r="A412" s="4" t="s">
        <v>4379</v>
      </c>
      <c r="B412" s="4" t="s">
        <v>7</v>
      </c>
      <c r="C412" s="4" t="s">
        <v>4380</v>
      </c>
      <c r="D412" s="3" t="str">
        <f t="shared" si="36"/>
        <v>HMI</v>
      </c>
      <c r="E412" s="3" t="str">
        <f t="shared" si="37"/>
        <v>0</v>
      </c>
      <c r="F412" s="3" t="str">
        <f t="shared" si="38"/>
        <v>10R</v>
      </c>
      <c r="G412" s="3" t="str">
        <f t="shared" si="39"/>
        <v>E0</v>
      </c>
      <c r="H412" s="3" t="str">
        <f t="shared" si="40"/>
        <v>080</v>
      </c>
      <c r="I412" s="3" t="str">
        <f t="shared" si="41"/>
        <v>3</v>
      </c>
      <c r="L412" s="3" t="s">
        <v>3309</v>
      </c>
      <c r="R412" s="3" t="s">
        <v>2857</v>
      </c>
      <c r="S412" s="15">
        <v>8</v>
      </c>
    </row>
    <row r="413" spans="1:19" x14ac:dyDescent="0.25">
      <c r="A413" s="4" t="s">
        <v>4381</v>
      </c>
      <c r="B413" s="4" t="s">
        <v>7</v>
      </c>
      <c r="C413" s="4" t="s">
        <v>4382</v>
      </c>
      <c r="D413" s="3" t="str">
        <f t="shared" si="36"/>
        <v>HMI</v>
      </c>
      <c r="E413" s="3" t="str">
        <f t="shared" si="37"/>
        <v>A</v>
      </c>
      <c r="F413" s="3" t="str">
        <f t="shared" si="38"/>
        <v>012</v>
      </c>
      <c r="G413" s="3" t="str">
        <f t="shared" si="39"/>
        <v>SC</v>
      </c>
      <c r="H413" s="3" t="str">
        <f t="shared" si="40"/>
        <v>009</v>
      </c>
      <c r="I413" s="3" t="str">
        <f t="shared" si="41"/>
        <v>05</v>
      </c>
      <c r="L413" s="3" t="s">
        <v>3608</v>
      </c>
      <c r="R413" s="3" t="s">
        <v>4383</v>
      </c>
      <c r="S413" s="15" t="s">
        <v>3247</v>
      </c>
    </row>
    <row r="414" spans="1:19" x14ac:dyDescent="0.25">
      <c r="A414" s="4" t="s">
        <v>4384</v>
      </c>
      <c r="B414" s="4" t="s">
        <v>7</v>
      </c>
      <c r="C414" s="4" t="s">
        <v>4385</v>
      </c>
      <c r="D414" s="3" t="str">
        <f t="shared" si="36"/>
        <v>HMI</v>
      </c>
      <c r="E414" s="3" t="str">
        <f t="shared" si="37"/>
        <v>A</v>
      </c>
      <c r="F414" s="3" t="str">
        <f t="shared" si="38"/>
        <v>007</v>
      </c>
      <c r="G414" s="3" t="str">
        <f t="shared" si="39"/>
        <v>SC</v>
      </c>
      <c r="H414" s="3" t="str">
        <f t="shared" si="40"/>
        <v>010</v>
      </c>
      <c r="I414" s="3" t="str">
        <f t="shared" si="41"/>
        <v>05</v>
      </c>
      <c r="L414" s="3" t="s">
        <v>3608</v>
      </c>
      <c r="R414" s="3" t="s">
        <v>4386</v>
      </c>
      <c r="S414" s="15" t="s">
        <v>3247</v>
      </c>
    </row>
    <row r="415" spans="1:19" ht="30" x14ac:dyDescent="0.25">
      <c r="A415" s="4" t="s">
        <v>4387</v>
      </c>
      <c r="B415" s="4" t="s">
        <v>7</v>
      </c>
      <c r="C415" s="4" t="s">
        <v>4388</v>
      </c>
      <c r="D415" s="3" t="str">
        <f t="shared" si="36"/>
        <v>HMI</v>
      </c>
      <c r="E415" s="3" t="str">
        <f t="shared" si="37"/>
        <v>A</v>
      </c>
      <c r="F415" s="3" t="str">
        <f t="shared" si="38"/>
        <v>010</v>
      </c>
      <c r="G415" s="3" t="str">
        <f t="shared" si="39"/>
        <v>SC</v>
      </c>
      <c r="H415" s="3" t="str">
        <f t="shared" si="40"/>
        <v>011</v>
      </c>
      <c r="I415" s="3" t="str">
        <f t="shared" si="41"/>
        <v>00</v>
      </c>
      <c r="L415" s="3" t="s">
        <v>3309</v>
      </c>
      <c r="R415" s="3" t="s">
        <v>4389</v>
      </c>
      <c r="S415" s="15" t="s">
        <v>3247</v>
      </c>
    </row>
    <row r="416" spans="1:19" x14ac:dyDescent="0.25">
      <c r="A416" s="4" t="s">
        <v>4390</v>
      </c>
      <c r="B416" s="4" t="s">
        <v>7</v>
      </c>
      <c r="C416" s="4" t="s">
        <v>4391</v>
      </c>
      <c r="D416" s="3" t="str">
        <f t="shared" si="36"/>
        <v>HMI</v>
      </c>
      <c r="E416" s="3" t="str">
        <f t="shared" si="37"/>
        <v>A</v>
      </c>
      <c r="F416" s="3" t="str">
        <f t="shared" si="38"/>
        <v>007</v>
      </c>
      <c r="G416" s="3" t="str">
        <f t="shared" si="39"/>
        <v>KN</v>
      </c>
      <c r="H416" s="3" t="str">
        <f t="shared" si="40"/>
        <v>007</v>
      </c>
      <c r="I416" s="3" t="str">
        <f t="shared" si="41"/>
        <v>03</v>
      </c>
      <c r="L416" s="3" t="s">
        <v>3309</v>
      </c>
      <c r="R416" s="3" t="s">
        <v>4391</v>
      </c>
      <c r="S416" s="15">
        <v>558</v>
      </c>
    </row>
    <row r="417" spans="1:19" x14ac:dyDescent="0.25">
      <c r="A417" s="4" t="s">
        <v>4392</v>
      </c>
      <c r="B417" s="4" t="s">
        <v>7</v>
      </c>
      <c r="C417" s="4" t="s">
        <v>4393</v>
      </c>
      <c r="D417" s="3" t="str">
        <f t="shared" si="36"/>
        <v>HMI</v>
      </c>
      <c r="E417" s="3" t="str">
        <f t="shared" si="37"/>
        <v>A</v>
      </c>
      <c r="F417" s="3" t="str">
        <f t="shared" si="38"/>
        <v>012</v>
      </c>
      <c r="G417" s="3" t="str">
        <f t="shared" si="39"/>
        <v>NA</v>
      </c>
      <c r="H417" s="3" t="str">
        <f t="shared" si="40"/>
        <v>000</v>
      </c>
      <c r="I417" s="3" t="str">
        <f t="shared" si="41"/>
        <v>00</v>
      </c>
      <c r="L417" s="3" t="s">
        <v>3309</v>
      </c>
      <c r="R417" s="3" t="s">
        <v>4394</v>
      </c>
      <c r="S417" s="15">
        <v>5</v>
      </c>
    </row>
    <row r="418" spans="1:19" x14ac:dyDescent="0.25">
      <c r="A418" s="4" t="s">
        <v>4395</v>
      </c>
      <c r="B418" s="4" t="s">
        <v>2758</v>
      </c>
      <c r="C418" s="4" t="s">
        <v>4396</v>
      </c>
      <c r="D418" s="3" t="str">
        <f t="shared" si="36"/>
        <v>ITA</v>
      </c>
      <c r="E418" s="3" t="str">
        <f t="shared" si="37"/>
        <v>C</v>
      </c>
      <c r="F418" s="3" t="str">
        <f t="shared" si="38"/>
        <v>100</v>
      </c>
      <c r="G418" s="3" t="str">
        <f t="shared" si="39"/>
        <v>DL</v>
      </c>
      <c r="H418" s="3" t="str">
        <f t="shared" si="40"/>
        <v>001</v>
      </c>
      <c r="I418" s="3" t="str">
        <f t="shared" si="41"/>
        <v>00</v>
      </c>
      <c r="L418" s="3" t="s">
        <v>3245</v>
      </c>
      <c r="R418" s="3" t="s">
        <v>2951</v>
      </c>
      <c r="S418" s="15" t="s">
        <v>3247</v>
      </c>
    </row>
    <row r="419" spans="1:19" ht="30" x14ac:dyDescent="0.25">
      <c r="A419" s="4" t="s">
        <v>4397</v>
      </c>
      <c r="B419" s="4" t="s">
        <v>2758</v>
      </c>
      <c r="C419" s="4" t="s">
        <v>4398</v>
      </c>
      <c r="D419" s="3" t="str">
        <f t="shared" si="36"/>
        <v>ITA</v>
      </c>
      <c r="E419" s="3" t="str">
        <f t="shared" si="37"/>
        <v>C</v>
      </c>
      <c r="F419" s="3" t="str">
        <f t="shared" si="38"/>
        <v>101</v>
      </c>
      <c r="G419" s="3" t="str">
        <f t="shared" si="39"/>
        <v>PL</v>
      </c>
      <c r="H419" s="3" t="str">
        <f t="shared" si="40"/>
        <v>002</v>
      </c>
      <c r="I419" s="3" t="str">
        <f t="shared" si="41"/>
        <v>00</v>
      </c>
      <c r="L419" s="3" t="s">
        <v>3245</v>
      </c>
      <c r="R419" s="3" t="s">
        <v>2952</v>
      </c>
      <c r="S419" s="15" t="s">
        <v>3247</v>
      </c>
    </row>
    <row r="420" spans="1:19" x14ac:dyDescent="0.25">
      <c r="A420" s="4" t="s">
        <v>4399</v>
      </c>
      <c r="B420" s="4" t="s">
        <v>2758</v>
      </c>
      <c r="C420" s="4" t="s">
        <v>4400</v>
      </c>
      <c r="D420" s="3" t="str">
        <f t="shared" si="36"/>
        <v>ITA</v>
      </c>
      <c r="E420" s="3" t="str">
        <f t="shared" si="37"/>
        <v>A</v>
      </c>
      <c r="F420" s="3" t="str">
        <f t="shared" si="38"/>
        <v>100</v>
      </c>
      <c r="G420" s="3" t="str">
        <f t="shared" si="39"/>
        <v>PL</v>
      </c>
      <c r="H420" s="3" t="str">
        <f t="shared" si="40"/>
        <v>003</v>
      </c>
      <c r="I420" s="3" t="str">
        <f t="shared" si="41"/>
        <v>00</v>
      </c>
      <c r="L420" s="3" t="s">
        <v>3245</v>
      </c>
      <c r="R420" s="3" t="s">
        <v>2953</v>
      </c>
      <c r="S420" s="15" t="s">
        <v>3247</v>
      </c>
    </row>
    <row r="421" spans="1:19" x14ac:dyDescent="0.25">
      <c r="A421" s="4" t="s">
        <v>4401</v>
      </c>
      <c r="B421" s="4" t="s">
        <v>2758</v>
      </c>
      <c r="C421" s="4" t="s">
        <v>4402</v>
      </c>
      <c r="D421" s="3" t="str">
        <f t="shared" si="36"/>
        <v>ITA</v>
      </c>
      <c r="E421" s="3" t="str">
        <f t="shared" si="37"/>
        <v>B</v>
      </c>
      <c r="F421" s="3" t="str">
        <f t="shared" si="38"/>
        <v>002</v>
      </c>
      <c r="G421" s="3" t="str">
        <f t="shared" si="39"/>
        <v>DL</v>
      </c>
      <c r="H421" s="3" t="str">
        <f t="shared" si="40"/>
        <v>004</v>
      </c>
      <c r="I421" s="3" t="str">
        <f t="shared" si="41"/>
        <v>00</v>
      </c>
      <c r="L421" s="3" t="s">
        <v>3245</v>
      </c>
      <c r="R421" s="3" t="s">
        <v>2954</v>
      </c>
      <c r="S421" s="15" t="s">
        <v>3247</v>
      </c>
    </row>
    <row r="422" spans="1:19" x14ac:dyDescent="0.25">
      <c r="A422" s="4" t="s">
        <v>4403</v>
      </c>
      <c r="B422" s="4" t="s">
        <v>2758</v>
      </c>
      <c r="C422" s="4" t="s">
        <v>4404</v>
      </c>
      <c r="D422" s="3" t="str">
        <f t="shared" si="36"/>
        <v>ITA</v>
      </c>
      <c r="E422" s="3" t="str">
        <f t="shared" si="37"/>
        <v>A</v>
      </c>
      <c r="F422" s="3" t="str">
        <f t="shared" si="38"/>
        <v>011</v>
      </c>
      <c r="G422" s="3" t="str">
        <f t="shared" si="39"/>
        <v>DL</v>
      </c>
      <c r="H422" s="3" t="str">
        <f t="shared" si="40"/>
        <v>005</v>
      </c>
      <c r="I422" s="3" t="str">
        <f t="shared" si="41"/>
        <v>00</v>
      </c>
      <c r="L422" s="3" t="s">
        <v>3245</v>
      </c>
      <c r="R422" s="3" t="s">
        <v>2955</v>
      </c>
      <c r="S422" s="15" t="s">
        <v>3247</v>
      </c>
    </row>
    <row r="423" spans="1:19" x14ac:dyDescent="0.25">
      <c r="A423" s="4" t="s">
        <v>4405</v>
      </c>
      <c r="B423" s="4" t="s">
        <v>2758</v>
      </c>
      <c r="C423" s="4" t="s">
        <v>4406</v>
      </c>
      <c r="D423" s="3" t="str">
        <f t="shared" si="36"/>
        <v>ITA</v>
      </c>
      <c r="E423" s="3" t="str">
        <f t="shared" si="37"/>
        <v>A</v>
      </c>
      <c r="F423" s="3" t="str">
        <f t="shared" si="38"/>
        <v>021</v>
      </c>
      <c r="G423" s="3" t="str">
        <f t="shared" si="39"/>
        <v>DL</v>
      </c>
      <c r="H423" s="3" t="str">
        <f t="shared" si="40"/>
        <v>006</v>
      </c>
      <c r="I423" s="3" t="str">
        <f t="shared" si="41"/>
        <v>00</v>
      </c>
      <c r="L423" s="3" t="s">
        <v>3245</v>
      </c>
      <c r="R423" s="3" t="s">
        <v>2956</v>
      </c>
      <c r="S423" s="15" t="s">
        <v>3247</v>
      </c>
    </row>
    <row r="424" spans="1:19" x14ac:dyDescent="0.25">
      <c r="A424" s="4" t="s">
        <v>4407</v>
      </c>
      <c r="B424" s="4" t="s">
        <v>2758</v>
      </c>
      <c r="C424" s="4" t="s">
        <v>4408</v>
      </c>
      <c r="D424" s="3" t="str">
        <f t="shared" si="36"/>
        <v>ITA</v>
      </c>
      <c r="E424" s="3" t="str">
        <f t="shared" si="37"/>
        <v>A</v>
      </c>
      <c r="F424" s="3" t="str">
        <f t="shared" si="38"/>
        <v>031</v>
      </c>
      <c r="G424" s="3" t="str">
        <f t="shared" si="39"/>
        <v>DL</v>
      </c>
      <c r="H424" s="3" t="str">
        <f t="shared" si="40"/>
        <v>007</v>
      </c>
      <c r="I424" s="3" t="str">
        <f t="shared" si="41"/>
        <v>00</v>
      </c>
      <c r="L424" s="3" t="s">
        <v>3245</v>
      </c>
      <c r="R424" s="3" t="s">
        <v>2957</v>
      </c>
      <c r="S424" s="15" t="s">
        <v>3247</v>
      </c>
    </row>
    <row r="425" spans="1:19" x14ac:dyDescent="0.25">
      <c r="A425" s="4" t="s">
        <v>4409</v>
      </c>
      <c r="B425" s="4" t="s">
        <v>2758</v>
      </c>
      <c r="C425" s="4" t="s">
        <v>4410</v>
      </c>
      <c r="D425" s="3" t="str">
        <f t="shared" si="36"/>
        <v>ITA</v>
      </c>
      <c r="E425" s="3" t="str">
        <f t="shared" si="37"/>
        <v>D</v>
      </c>
      <c r="F425" s="3" t="str">
        <f t="shared" si="38"/>
        <v>041</v>
      </c>
      <c r="G425" s="3" t="str">
        <f t="shared" si="39"/>
        <v>RI</v>
      </c>
      <c r="H425" s="3" t="str">
        <f t="shared" si="40"/>
        <v>000</v>
      </c>
      <c r="I425" s="3" t="str">
        <f t="shared" si="41"/>
        <v>00</v>
      </c>
      <c r="L425" s="3" t="s">
        <v>3309</v>
      </c>
      <c r="R425" s="3" t="s">
        <v>4411</v>
      </c>
      <c r="S425" s="15" t="s">
        <v>3247</v>
      </c>
    </row>
    <row r="426" spans="1:19" x14ac:dyDescent="0.25">
      <c r="A426" s="4" t="s">
        <v>4412</v>
      </c>
      <c r="B426" s="4" t="s">
        <v>2758</v>
      </c>
      <c r="C426" s="4" t="s">
        <v>4413</v>
      </c>
      <c r="D426" s="3" t="str">
        <f t="shared" si="36"/>
        <v>ITS</v>
      </c>
      <c r="E426" s="3" t="str">
        <f t="shared" si="37"/>
        <v>O</v>
      </c>
      <c r="F426" s="3" t="str">
        <f t="shared" si="38"/>
        <v>001</v>
      </c>
      <c r="G426" s="3" t="str">
        <f t="shared" si="39"/>
        <v>01</v>
      </c>
      <c r="H426" s="3" t="str">
        <f t="shared" si="40"/>
        <v>001</v>
      </c>
      <c r="I426" s="3" t="str">
        <f t="shared" si="41"/>
        <v>00</v>
      </c>
      <c r="L426" s="3" t="s">
        <v>3309</v>
      </c>
      <c r="R426" s="3" t="s">
        <v>4414</v>
      </c>
      <c r="S426" s="15" t="s">
        <v>3247</v>
      </c>
    </row>
    <row r="427" spans="1:19" x14ac:dyDescent="0.25">
      <c r="A427" s="4" t="s">
        <v>4415</v>
      </c>
      <c r="B427" s="4" t="s">
        <v>2758</v>
      </c>
      <c r="C427" s="4" t="s">
        <v>4416</v>
      </c>
      <c r="D427" s="3" t="str">
        <f t="shared" si="36"/>
        <v>ITA</v>
      </c>
      <c r="E427" s="3" t="str">
        <f t="shared" si="37"/>
        <v>E</v>
      </c>
      <c r="F427" s="3" t="str">
        <f t="shared" si="38"/>
        <v>001</v>
      </c>
      <c r="G427" s="3" t="str">
        <f t="shared" si="39"/>
        <v>ST</v>
      </c>
      <c r="H427" s="3" t="str">
        <f t="shared" si="40"/>
        <v>000</v>
      </c>
      <c r="I427" s="3" t="str">
        <f t="shared" si="41"/>
        <v>00</v>
      </c>
      <c r="L427" s="3" t="s">
        <v>3309</v>
      </c>
      <c r="R427" s="3" t="s">
        <v>4417</v>
      </c>
      <c r="S427" s="15" t="s">
        <v>3247</v>
      </c>
    </row>
    <row r="428" spans="1:19" ht="30" x14ac:dyDescent="0.25">
      <c r="A428" s="4" t="s">
        <v>4418</v>
      </c>
      <c r="B428" s="4" t="s">
        <v>2758</v>
      </c>
      <c r="C428" s="4" t="s">
        <v>4419</v>
      </c>
      <c r="D428" s="3" t="str">
        <f t="shared" si="36"/>
        <v>ITA</v>
      </c>
      <c r="E428" s="3" t="str">
        <f t="shared" si="37"/>
        <v>D</v>
      </c>
      <c r="F428" s="3" t="str">
        <f t="shared" si="38"/>
        <v>002</v>
      </c>
      <c r="G428" s="3" t="str">
        <f t="shared" si="39"/>
        <v>HP</v>
      </c>
      <c r="H428" s="3" t="str">
        <f t="shared" si="40"/>
        <v>008</v>
      </c>
      <c r="I428" s="3" t="str">
        <f t="shared" si="41"/>
        <v>00</v>
      </c>
      <c r="L428" s="3" t="s">
        <v>3245</v>
      </c>
      <c r="R428" s="3" t="s">
        <v>2958</v>
      </c>
      <c r="S428" s="15" t="s">
        <v>3247</v>
      </c>
    </row>
    <row r="429" spans="1:19" ht="30" x14ac:dyDescent="0.25">
      <c r="A429" s="4" t="s">
        <v>4420</v>
      </c>
      <c r="B429" s="4" t="s">
        <v>2758</v>
      </c>
      <c r="C429" s="4" t="s">
        <v>4421</v>
      </c>
      <c r="D429" s="3" t="str">
        <f t="shared" si="36"/>
        <v>ITA</v>
      </c>
      <c r="E429" s="3" t="str">
        <f t="shared" si="37"/>
        <v>C</v>
      </c>
      <c r="F429" s="3" t="str">
        <f t="shared" si="38"/>
        <v>001</v>
      </c>
      <c r="G429" s="3" t="str">
        <f t="shared" si="39"/>
        <v>PL</v>
      </c>
      <c r="H429" s="3" t="str">
        <f t="shared" si="40"/>
        <v>009</v>
      </c>
      <c r="I429" s="3" t="str">
        <f t="shared" si="41"/>
        <v>00</v>
      </c>
      <c r="L429" s="3" t="s">
        <v>3309</v>
      </c>
      <c r="R429" s="3" t="s">
        <v>2959</v>
      </c>
      <c r="S429" s="15" t="s">
        <v>3247</v>
      </c>
    </row>
    <row r="430" spans="1:19" x14ac:dyDescent="0.25">
      <c r="A430" s="4" t="s">
        <v>4422</v>
      </c>
      <c r="B430" s="4" t="s">
        <v>2758</v>
      </c>
      <c r="C430" s="4" t="s">
        <v>4423</v>
      </c>
      <c r="D430" s="3" t="str">
        <f t="shared" si="36"/>
        <v>ITA</v>
      </c>
      <c r="E430" s="3" t="str">
        <f t="shared" si="37"/>
        <v>A</v>
      </c>
      <c r="F430" s="3" t="str">
        <f t="shared" si="38"/>
        <v>100</v>
      </c>
      <c r="G430" s="3" t="str">
        <f t="shared" si="39"/>
        <v>PL</v>
      </c>
      <c r="H430" s="3" t="str">
        <f t="shared" si="40"/>
        <v>010</v>
      </c>
      <c r="I430" s="3" t="str">
        <f t="shared" si="41"/>
        <v>00</v>
      </c>
      <c r="L430" s="3" t="s">
        <v>3309</v>
      </c>
      <c r="R430" s="3" t="s">
        <v>4424</v>
      </c>
      <c r="S430" s="15" t="s">
        <v>3247</v>
      </c>
    </row>
    <row r="431" spans="1:19" x14ac:dyDescent="0.25">
      <c r="A431" s="4" t="s">
        <v>4425</v>
      </c>
      <c r="B431" s="4" t="s">
        <v>2758</v>
      </c>
      <c r="C431" s="4" t="s">
        <v>4426</v>
      </c>
      <c r="D431" s="3" t="str">
        <f t="shared" si="36"/>
        <v>ITA</v>
      </c>
      <c r="E431" s="3" t="str">
        <f t="shared" si="37"/>
        <v>A</v>
      </c>
      <c r="F431" s="3" t="str">
        <f t="shared" si="38"/>
        <v>100</v>
      </c>
      <c r="G431" s="3" t="str">
        <f t="shared" si="39"/>
        <v>PL</v>
      </c>
      <c r="H431" s="3" t="str">
        <f t="shared" si="40"/>
        <v>010</v>
      </c>
      <c r="I431" s="3" t="str">
        <f t="shared" si="41"/>
        <v>01</v>
      </c>
      <c r="L431" s="3" t="s">
        <v>3309</v>
      </c>
      <c r="R431" s="3" t="s">
        <v>4427</v>
      </c>
      <c r="S431" s="15" t="s">
        <v>3247</v>
      </c>
    </row>
    <row r="432" spans="1:19" x14ac:dyDescent="0.25">
      <c r="A432" s="4" t="s">
        <v>4428</v>
      </c>
      <c r="B432" s="4" t="s">
        <v>2758</v>
      </c>
      <c r="C432" s="4" t="s">
        <v>4429</v>
      </c>
      <c r="D432" s="3" t="str">
        <f t="shared" si="36"/>
        <v>ITS</v>
      </c>
      <c r="E432" s="3" t="str">
        <f t="shared" si="37"/>
        <v>O</v>
      </c>
      <c r="F432" s="3" t="str">
        <f t="shared" si="38"/>
        <v>002</v>
      </c>
      <c r="G432" s="3" t="str">
        <f t="shared" si="39"/>
        <v>01</v>
      </c>
      <c r="H432" s="3" t="str">
        <f t="shared" si="40"/>
        <v>000</v>
      </c>
      <c r="I432" s="3" t="str">
        <f t="shared" si="41"/>
        <v>00</v>
      </c>
      <c r="L432" s="3" t="s">
        <v>3245</v>
      </c>
      <c r="R432" s="3" t="s">
        <v>4430</v>
      </c>
      <c r="S432" s="15" t="s">
        <v>3247</v>
      </c>
    </row>
    <row r="433" spans="1:20" x14ac:dyDescent="0.25">
      <c r="A433" s="4" t="s">
        <v>4431</v>
      </c>
      <c r="B433" s="4" t="s">
        <v>2758</v>
      </c>
      <c r="C433" s="4" t="s">
        <v>4432</v>
      </c>
      <c r="D433" s="3" t="str">
        <f t="shared" si="36"/>
        <v>ITS</v>
      </c>
      <c r="E433" s="3" t="str">
        <f t="shared" si="37"/>
        <v>O</v>
      </c>
      <c r="F433" s="3" t="str">
        <f t="shared" si="38"/>
        <v>002</v>
      </c>
      <c r="G433" s="3" t="str">
        <f t="shared" si="39"/>
        <v>01</v>
      </c>
      <c r="H433" s="3" t="str">
        <f t="shared" si="40"/>
        <v>000</v>
      </c>
      <c r="I433" s="3" t="str">
        <f t="shared" si="41"/>
        <v>01</v>
      </c>
      <c r="L433" s="3" t="s">
        <v>3245</v>
      </c>
      <c r="R433" s="3" t="s">
        <v>4433</v>
      </c>
      <c r="S433" s="15" t="s">
        <v>3247</v>
      </c>
    </row>
    <row r="434" spans="1:20" ht="30" x14ac:dyDescent="0.25">
      <c r="A434" s="4" t="s">
        <v>4434</v>
      </c>
      <c r="B434" s="4" t="s">
        <v>2758</v>
      </c>
      <c r="C434" s="4" t="s">
        <v>4435</v>
      </c>
      <c r="D434" s="3" t="str">
        <f t="shared" si="36"/>
        <v>ITA</v>
      </c>
      <c r="E434" s="3" t="str">
        <f t="shared" si="37"/>
        <v>D</v>
      </c>
      <c r="F434" s="3" t="str">
        <f t="shared" si="38"/>
        <v>003</v>
      </c>
      <c r="G434" s="3" t="str">
        <f t="shared" si="39"/>
        <v>HP</v>
      </c>
      <c r="H434" s="3" t="str">
        <f t="shared" si="40"/>
        <v>011</v>
      </c>
      <c r="I434" s="3" t="str">
        <f t="shared" si="41"/>
        <v>00</v>
      </c>
      <c r="L434" s="3" t="s">
        <v>3309</v>
      </c>
      <c r="R434" s="3" t="s">
        <v>4436</v>
      </c>
      <c r="S434" s="15" t="s">
        <v>3247</v>
      </c>
    </row>
    <row r="435" spans="1:20" x14ac:dyDescent="0.25">
      <c r="A435" s="4" t="s">
        <v>4437</v>
      </c>
      <c r="B435" s="4" t="s">
        <v>2758</v>
      </c>
      <c r="C435" s="4" t="s">
        <v>4438</v>
      </c>
      <c r="D435" s="3" t="str">
        <f t="shared" si="36"/>
        <v>ITA</v>
      </c>
      <c r="E435" s="3" t="str">
        <f t="shared" si="37"/>
        <v>P</v>
      </c>
      <c r="F435" s="3" t="str">
        <f t="shared" si="38"/>
        <v>001</v>
      </c>
      <c r="G435" s="3" t="str">
        <f t="shared" si="39"/>
        <v>HP</v>
      </c>
      <c r="H435" s="3" t="str">
        <f t="shared" si="40"/>
        <v>012</v>
      </c>
      <c r="I435" s="3" t="str">
        <f t="shared" si="41"/>
        <v>00</v>
      </c>
      <c r="L435" s="3" t="s">
        <v>3245</v>
      </c>
      <c r="R435" s="3" t="s">
        <v>4439</v>
      </c>
      <c r="S435" s="15" t="s">
        <v>3247</v>
      </c>
    </row>
    <row r="436" spans="1:20" x14ac:dyDescent="0.25">
      <c r="A436" s="4" t="s">
        <v>4440</v>
      </c>
      <c r="B436" s="4" t="s">
        <v>2758</v>
      </c>
      <c r="C436" s="4" t="s">
        <v>4441</v>
      </c>
      <c r="D436" s="3" t="str">
        <f t="shared" si="36"/>
        <v>ITA</v>
      </c>
      <c r="E436" s="3" t="str">
        <f t="shared" si="37"/>
        <v>B</v>
      </c>
      <c r="F436" s="3" t="str">
        <f t="shared" si="38"/>
        <v>045</v>
      </c>
      <c r="G436" s="3" t="str">
        <f t="shared" si="39"/>
        <v>TL</v>
      </c>
      <c r="H436" s="3" t="str">
        <f t="shared" si="40"/>
        <v>000</v>
      </c>
      <c r="I436" s="3" t="str">
        <f t="shared" si="41"/>
        <v>00</v>
      </c>
      <c r="L436" s="3" t="s">
        <v>3309</v>
      </c>
      <c r="R436" s="3" t="s">
        <v>2962</v>
      </c>
      <c r="S436" s="15" t="s">
        <v>3247</v>
      </c>
    </row>
    <row r="437" spans="1:20" x14ac:dyDescent="0.25">
      <c r="A437" s="4" t="s">
        <v>4442</v>
      </c>
      <c r="B437" s="4" t="s">
        <v>2758</v>
      </c>
      <c r="C437" s="4" t="s">
        <v>4443</v>
      </c>
      <c r="D437" s="3" t="str">
        <f t="shared" si="36"/>
        <v>ITA</v>
      </c>
      <c r="E437" s="3" t="str">
        <f t="shared" si="37"/>
        <v>B</v>
      </c>
      <c r="F437" s="3" t="str">
        <f t="shared" si="38"/>
        <v>042</v>
      </c>
      <c r="G437" s="3" t="str">
        <f t="shared" si="39"/>
        <v>TL</v>
      </c>
      <c r="H437" s="3" t="str">
        <f t="shared" si="40"/>
        <v>000</v>
      </c>
      <c r="I437" s="3" t="str">
        <f t="shared" si="41"/>
        <v>00</v>
      </c>
      <c r="L437" s="3" t="s">
        <v>3309</v>
      </c>
      <c r="R437" s="3" t="s">
        <v>4444</v>
      </c>
      <c r="S437" s="15" t="s">
        <v>3247</v>
      </c>
    </row>
    <row r="438" spans="1:20" x14ac:dyDescent="0.25">
      <c r="A438" s="4" t="s">
        <v>4445</v>
      </c>
      <c r="B438" s="4" t="s">
        <v>2758</v>
      </c>
      <c r="C438" s="4" t="s">
        <v>4446</v>
      </c>
      <c r="D438" s="3" t="str">
        <f t="shared" si="36"/>
        <v>ITA</v>
      </c>
      <c r="E438" s="3" t="str">
        <f t="shared" si="37"/>
        <v>V</v>
      </c>
      <c r="F438" s="3" t="str">
        <f t="shared" si="38"/>
        <v>002</v>
      </c>
      <c r="G438" s="3" t="str">
        <f t="shared" si="39"/>
        <v>HP</v>
      </c>
      <c r="H438" s="3" t="str">
        <f t="shared" si="40"/>
        <v>015</v>
      </c>
      <c r="I438" s="3" t="str">
        <f t="shared" si="41"/>
        <v>00</v>
      </c>
      <c r="L438" s="3" t="s">
        <v>3309</v>
      </c>
      <c r="R438" s="3" t="s">
        <v>4447</v>
      </c>
      <c r="S438" s="15" t="s">
        <v>3247</v>
      </c>
    </row>
    <row r="439" spans="1:20" x14ac:dyDescent="0.25">
      <c r="A439" s="4" t="s">
        <v>4448</v>
      </c>
      <c r="B439" s="4" t="s">
        <v>2758</v>
      </c>
      <c r="C439" s="4" t="s">
        <v>4449</v>
      </c>
      <c r="D439" s="3" t="str">
        <f t="shared" si="36"/>
        <v>ITA</v>
      </c>
      <c r="E439" s="3" t="str">
        <f t="shared" si="37"/>
        <v>B</v>
      </c>
      <c r="F439" s="3" t="str">
        <f t="shared" si="38"/>
        <v>103</v>
      </c>
      <c r="G439" s="3" t="str">
        <f t="shared" si="39"/>
        <v>DL</v>
      </c>
      <c r="H439" s="3" t="str">
        <f t="shared" si="40"/>
        <v>016</v>
      </c>
      <c r="I439" s="3" t="str">
        <f t="shared" si="41"/>
        <v>00</v>
      </c>
      <c r="L439" s="3" t="s">
        <v>3309</v>
      </c>
      <c r="R439" s="3" t="s">
        <v>4450</v>
      </c>
      <c r="S439" s="15" t="s">
        <v>3247</v>
      </c>
    </row>
    <row r="440" spans="1:20" x14ac:dyDescent="0.25">
      <c r="A440" s="4" t="s">
        <v>4451</v>
      </c>
      <c r="B440" s="4" t="s">
        <v>2758</v>
      </c>
      <c r="C440" s="4" t="s">
        <v>4452</v>
      </c>
      <c r="D440" s="3" t="str">
        <f t="shared" si="36"/>
        <v>ITA</v>
      </c>
      <c r="E440" s="3" t="str">
        <f t="shared" si="37"/>
        <v>S</v>
      </c>
      <c r="F440" s="3" t="str">
        <f t="shared" si="38"/>
        <v>005</v>
      </c>
      <c r="G440" s="3" t="str">
        <f t="shared" si="39"/>
        <v>FI</v>
      </c>
      <c r="H440" s="3" t="str">
        <f t="shared" si="40"/>
        <v>000</v>
      </c>
      <c r="I440" s="3" t="str">
        <f t="shared" si="41"/>
        <v>00</v>
      </c>
      <c r="L440" s="3" t="s">
        <v>3309</v>
      </c>
      <c r="R440" s="3" t="s">
        <v>4453</v>
      </c>
      <c r="S440" s="15" t="s">
        <v>3247</v>
      </c>
    </row>
    <row r="441" spans="1:20" x14ac:dyDescent="0.25">
      <c r="A441" s="4" t="s">
        <v>4454</v>
      </c>
      <c r="B441" s="4" t="s">
        <v>2758</v>
      </c>
      <c r="C441" s="4" t="s">
        <v>4455</v>
      </c>
      <c r="D441" s="3" t="str">
        <f t="shared" si="36"/>
        <v>ITA</v>
      </c>
      <c r="E441" s="3" t="str">
        <f t="shared" si="37"/>
        <v>P</v>
      </c>
      <c r="F441" s="3" t="str">
        <f t="shared" si="38"/>
        <v>006</v>
      </c>
      <c r="G441" s="3" t="str">
        <f t="shared" si="39"/>
        <v>IN</v>
      </c>
      <c r="H441" s="3" t="str">
        <f t="shared" si="40"/>
        <v>000</v>
      </c>
      <c r="I441" s="3" t="str">
        <f t="shared" si="41"/>
        <v>00</v>
      </c>
      <c r="L441" s="3" t="s">
        <v>3309</v>
      </c>
      <c r="R441" s="3" t="s">
        <v>4456</v>
      </c>
      <c r="S441" s="15" t="s">
        <v>3247</v>
      </c>
    </row>
    <row r="442" spans="1:20" x14ac:dyDescent="0.25">
      <c r="A442" s="4" t="s">
        <v>4457</v>
      </c>
      <c r="B442" s="4" t="s">
        <v>2758</v>
      </c>
      <c r="C442" s="4" t="s">
        <v>4458</v>
      </c>
      <c r="D442" s="3" t="str">
        <f t="shared" si="36"/>
        <v>ITA</v>
      </c>
      <c r="E442" s="3" t="str">
        <f t="shared" si="37"/>
        <v>T</v>
      </c>
      <c r="F442" s="3" t="str">
        <f t="shared" si="38"/>
        <v>007</v>
      </c>
      <c r="G442" s="3" t="str">
        <f t="shared" si="39"/>
        <v>ST</v>
      </c>
      <c r="H442" s="3" t="str">
        <f t="shared" si="40"/>
        <v>000</v>
      </c>
      <c r="I442" s="3" t="str">
        <f t="shared" si="41"/>
        <v>00</v>
      </c>
      <c r="L442" s="3" t="s">
        <v>3309</v>
      </c>
      <c r="R442" s="3" t="s">
        <v>4459</v>
      </c>
      <c r="S442" s="15" t="s">
        <v>3247</v>
      </c>
    </row>
    <row r="443" spans="1:20" x14ac:dyDescent="0.25">
      <c r="A443" s="4" t="s">
        <v>4460</v>
      </c>
      <c r="B443" s="4" t="s">
        <v>2758</v>
      </c>
      <c r="C443" s="4" t="s">
        <v>4461</v>
      </c>
      <c r="D443" s="3" t="str">
        <f t="shared" si="36"/>
        <v>ITA</v>
      </c>
      <c r="E443" s="3" t="str">
        <f t="shared" si="37"/>
        <v>T</v>
      </c>
      <c r="F443" s="3" t="str">
        <f t="shared" si="38"/>
        <v>008</v>
      </c>
      <c r="G443" s="3" t="str">
        <f t="shared" si="39"/>
        <v>ST</v>
      </c>
      <c r="H443" s="3" t="str">
        <f t="shared" si="40"/>
        <v>000</v>
      </c>
      <c r="I443" s="3" t="str">
        <f t="shared" si="41"/>
        <v>00</v>
      </c>
      <c r="L443" s="3" t="s">
        <v>3309</v>
      </c>
      <c r="R443" s="3" t="s">
        <v>4462</v>
      </c>
      <c r="S443" s="15" t="s">
        <v>3247</v>
      </c>
    </row>
    <row r="444" spans="1:20" x14ac:dyDescent="0.25">
      <c r="A444" s="4" t="s">
        <v>4463</v>
      </c>
      <c r="B444" s="4" t="s">
        <v>2758</v>
      </c>
      <c r="C444" s="4" t="s">
        <v>4464</v>
      </c>
      <c r="D444" s="3" t="str">
        <f t="shared" si="36"/>
        <v>ITS</v>
      </c>
      <c r="E444" s="3" t="str">
        <f t="shared" si="37"/>
        <v>O</v>
      </c>
      <c r="F444" s="3" t="str">
        <f t="shared" si="38"/>
        <v>004</v>
      </c>
      <c r="G444" s="3" t="str">
        <f t="shared" si="39"/>
        <v>02</v>
      </c>
      <c r="H444" s="3" t="str">
        <f t="shared" si="40"/>
        <v>000</v>
      </c>
      <c r="I444" s="3" t="str">
        <f t="shared" si="41"/>
        <v>00</v>
      </c>
      <c r="L444" s="3" t="s">
        <v>3309</v>
      </c>
      <c r="R444" s="3" t="s">
        <v>4465</v>
      </c>
      <c r="S444" s="15" t="s">
        <v>3247</v>
      </c>
    </row>
    <row r="445" spans="1:20" ht="30" x14ac:dyDescent="0.25">
      <c r="A445" s="4" t="s">
        <v>4466</v>
      </c>
      <c r="B445" s="4" t="s">
        <v>2758</v>
      </c>
      <c r="C445" s="4" t="s">
        <v>4467</v>
      </c>
      <c r="D445" s="3" t="str">
        <f t="shared" si="36"/>
        <v>ITS</v>
      </c>
      <c r="E445" s="3" t="str">
        <f t="shared" si="37"/>
        <v>O</v>
      </c>
      <c r="F445" s="3" t="str">
        <f t="shared" si="38"/>
        <v>005</v>
      </c>
      <c r="G445" s="3" t="str">
        <f t="shared" si="39"/>
        <v>02</v>
      </c>
      <c r="H445" s="3" t="str">
        <f t="shared" si="40"/>
        <v>000</v>
      </c>
      <c r="I445" s="3" t="str">
        <f t="shared" si="41"/>
        <v>00</v>
      </c>
      <c r="L445" s="3" t="s">
        <v>3309</v>
      </c>
      <c r="R445" s="3" t="s">
        <v>4468</v>
      </c>
      <c r="S445" s="15" t="s">
        <v>3247</v>
      </c>
    </row>
    <row r="446" spans="1:20" x14ac:dyDescent="0.25">
      <c r="A446" s="4" t="s">
        <v>4469</v>
      </c>
      <c r="B446" s="4" t="s">
        <v>2758</v>
      </c>
      <c r="C446" s="4" t="s">
        <v>4470</v>
      </c>
      <c r="D446" s="3" t="str">
        <f t="shared" si="36"/>
        <v>ITA</v>
      </c>
      <c r="E446" s="3" t="str">
        <f t="shared" si="37"/>
        <v>P</v>
      </c>
      <c r="F446" s="3" t="str">
        <f t="shared" si="38"/>
        <v>002</v>
      </c>
      <c r="G446" s="3" t="str">
        <f t="shared" si="39"/>
        <v>BR</v>
      </c>
      <c r="H446" s="3" t="str">
        <f t="shared" si="40"/>
        <v>021</v>
      </c>
      <c r="I446" s="3" t="str">
        <f t="shared" si="41"/>
        <v>00</v>
      </c>
      <c r="L446" s="3" t="s">
        <v>3309</v>
      </c>
      <c r="R446" s="3" t="s">
        <v>4471</v>
      </c>
      <c r="S446" s="15" t="s">
        <v>3247</v>
      </c>
    </row>
    <row r="447" spans="1:20" ht="30" x14ac:dyDescent="0.25">
      <c r="A447" s="4" t="s">
        <v>4472</v>
      </c>
      <c r="B447" s="4" t="s">
        <v>2758</v>
      </c>
      <c r="C447" s="4" t="s">
        <v>4473</v>
      </c>
      <c r="D447" s="3" t="str">
        <f t="shared" si="36"/>
        <v>ITA</v>
      </c>
      <c r="E447" s="3" t="str">
        <f t="shared" si="37"/>
        <v>P</v>
      </c>
      <c r="F447" s="3" t="str">
        <f t="shared" si="38"/>
        <v>003</v>
      </c>
      <c r="G447" s="3" t="str">
        <f t="shared" si="39"/>
        <v>BR</v>
      </c>
      <c r="H447" s="3" t="str">
        <f t="shared" si="40"/>
        <v>022</v>
      </c>
      <c r="I447" s="3" t="str">
        <f t="shared" si="41"/>
        <v>00</v>
      </c>
      <c r="L447" s="3" t="s">
        <v>3309</v>
      </c>
      <c r="R447" s="3" t="s">
        <v>4474</v>
      </c>
      <c r="S447" s="15" t="s">
        <v>3247</v>
      </c>
      <c r="T447" s="3" t="str">
        <f>VLOOKUP(A447,'[1]MASTER SHEET'!$B$256:$F$1424,5,0)</f>
        <v>BRONAER DCP-B7535 DW</v>
      </c>
    </row>
    <row r="448" spans="1:20" x14ac:dyDescent="0.25">
      <c r="A448" s="4" t="s">
        <v>4475</v>
      </c>
      <c r="B448" s="4" t="s">
        <v>2758</v>
      </c>
      <c r="C448" s="4" t="s">
        <v>4476</v>
      </c>
      <c r="D448" s="3" t="str">
        <f t="shared" si="36"/>
        <v>ITA</v>
      </c>
      <c r="E448" s="3" t="str">
        <f t="shared" si="37"/>
        <v>Z</v>
      </c>
      <c r="F448" s="3" t="str">
        <f t="shared" si="38"/>
        <v>001</v>
      </c>
      <c r="G448" s="3" t="str">
        <f t="shared" si="39"/>
        <v>HI</v>
      </c>
      <c r="H448" s="3" t="str">
        <f t="shared" si="40"/>
        <v>000</v>
      </c>
      <c r="I448" s="3" t="str">
        <f t="shared" si="41"/>
        <v>00</v>
      </c>
      <c r="L448" s="3" t="s">
        <v>3309</v>
      </c>
      <c r="R448" s="3" t="s">
        <v>4477</v>
      </c>
      <c r="S448" s="15" t="s">
        <v>3247</v>
      </c>
    </row>
    <row r="449" spans="1:19" x14ac:dyDescent="0.25">
      <c r="A449" s="4" t="s">
        <v>4478</v>
      </c>
      <c r="B449" s="4" t="s">
        <v>2758</v>
      </c>
      <c r="C449" s="4" t="s">
        <v>4479</v>
      </c>
      <c r="D449" s="3" t="str">
        <f t="shared" si="36"/>
        <v>ITA</v>
      </c>
      <c r="E449" s="3" t="str">
        <f t="shared" si="37"/>
        <v>Z</v>
      </c>
      <c r="F449" s="3" t="str">
        <f t="shared" si="38"/>
        <v>002</v>
      </c>
      <c r="G449" s="3" t="str">
        <f t="shared" si="39"/>
        <v>HI</v>
      </c>
      <c r="H449" s="3" t="str">
        <f t="shared" si="40"/>
        <v>000</v>
      </c>
      <c r="I449" s="3" t="str">
        <f t="shared" si="41"/>
        <v>00</v>
      </c>
      <c r="L449" s="3" t="s">
        <v>3309</v>
      </c>
      <c r="R449" s="3" t="s">
        <v>4480</v>
      </c>
      <c r="S449" s="15" t="s">
        <v>3247</v>
      </c>
    </row>
    <row r="450" spans="1:19" x14ac:dyDescent="0.25">
      <c r="A450" s="4" t="s">
        <v>4481</v>
      </c>
      <c r="B450" s="4" t="s">
        <v>2758</v>
      </c>
      <c r="C450" s="4" t="s">
        <v>861</v>
      </c>
      <c r="D450" s="3" t="str">
        <f t="shared" ref="D450:D513" si="42">LEFT(A450,3)</f>
        <v>ITA</v>
      </c>
      <c r="E450" s="3" t="str">
        <f t="shared" ref="E450:E513" si="43">MID(A450,4,1)</f>
        <v>Z</v>
      </c>
      <c r="F450" s="3" t="str">
        <f t="shared" ref="F450:F513" si="44">MID(A450,5,3)</f>
        <v>101</v>
      </c>
      <c r="G450" s="3" t="str">
        <f t="shared" ref="G450:G513" si="45">MID(A450,8,2)</f>
        <v>HI</v>
      </c>
      <c r="H450" s="3" t="str">
        <f t="shared" ref="H450:H513" si="46">MID(A450,10,3)</f>
        <v>000</v>
      </c>
      <c r="I450" s="3" t="str">
        <f t="shared" ref="I450:I513" si="47">MID(A450,13,2)</f>
        <v>00</v>
      </c>
      <c r="L450" s="3" t="s">
        <v>3309</v>
      </c>
      <c r="R450" s="3" t="s">
        <v>4482</v>
      </c>
      <c r="S450" s="15" t="s">
        <v>3247</v>
      </c>
    </row>
    <row r="451" spans="1:19" x14ac:dyDescent="0.25">
      <c r="A451" s="4" t="s">
        <v>4483</v>
      </c>
      <c r="B451" s="4" t="s">
        <v>2758</v>
      </c>
      <c r="C451" s="4" t="s">
        <v>4484</v>
      </c>
      <c r="D451" s="3" t="str">
        <f t="shared" si="42"/>
        <v>ITA</v>
      </c>
      <c r="E451" s="3" t="str">
        <f t="shared" si="43"/>
        <v>Z</v>
      </c>
      <c r="F451" s="3" t="str">
        <f t="shared" si="44"/>
        <v>201</v>
      </c>
      <c r="G451" s="3" t="str">
        <f t="shared" si="45"/>
        <v>ST</v>
      </c>
      <c r="H451" s="3" t="str">
        <f t="shared" si="46"/>
        <v>000</v>
      </c>
      <c r="I451" s="3" t="str">
        <f t="shared" si="47"/>
        <v>00</v>
      </c>
      <c r="L451" s="3" t="s">
        <v>3309</v>
      </c>
      <c r="R451" s="3" t="s">
        <v>4485</v>
      </c>
      <c r="S451" s="15" t="s">
        <v>3247</v>
      </c>
    </row>
    <row r="452" spans="1:19" x14ac:dyDescent="0.25">
      <c r="A452" s="4" t="s">
        <v>4486</v>
      </c>
      <c r="B452" s="4" t="s">
        <v>2758</v>
      </c>
      <c r="C452" s="4" t="s">
        <v>4487</v>
      </c>
      <c r="D452" s="3" t="str">
        <f t="shared" si="42"/>
        <v>ITA</v>
      </c>
      <c r="E452" s="3" t="str">
        <f t="shared" si="43"/>
        <v>Z</v>
      </c>
      <c r="F452" s="3" t="str">
        <f t="shared" si="44"/>
        <v>301</v>
      </c>
      <c r="G452" s="3" t="str">
        <f t="shared" si="45"/>
        <v>ST</v>
      </c>
      <c r="H452" s="3" t="str">
        <f t="shared" si="46"/>
        <v>000</v>
      </c>
      <c r="I452" s="3" t="str">
        <f t="shared" si="47"/>
        <v>00</v>
      </c>
      <c r="L452" s="3" t="s">
        <v>3309</v>
      </c>
      <c r="R452" s="3" t="s">
        <v>4488</v>
      </c>
      <c r="S452" s="15" t="s">
        <v>3247</v>
      </c>
    </row>
    <row r="453" spans="1:19" x14ac:dyDescent="0.25">
      <c r="A453" s="4" t="s">
        <v>4489</v>
      </c>
      <c r="B453" s="4" t="s">
        <v>2758</v>
      </c>
      <c r="C453" s="4" t="s">
        <v>4490</v>
      </c>
      <c r="D453" s="3" t="str">
        <f t="shared" si="42"/>
        <v>ITA</v>
      </c>
      <c r="E453" s="3" t="str">
        <f t="shared" si="43"/>
        <v>B</v>
      </c>
      <c r="F453" s="3" t="str">
        <f t="shared" si="44"/>
        <v>003</v>
      </c>
      <c r="G453" s="3" t="str">
        <f t="shared" si="45"/>
        <v>DL</v>
      </c>
      <c r="H453" s="3" t="str">
        <f t="shared" si="46"/>
        <v>000</v>
      </c>
      <c r="I453" s="3" t="str">
        <f t="shared" si="47"/>
        <v>00</v>
      </c>
      <c r="L453" s="3" t="s">
        <v>3309</v>
      </c>
      <c r="R453" s="3" t="s">
        <v>4491</v>
      </c>
      <c r="S453" s="15" t="s">
        <v>3247</v>
      </c>
    </row>
    <row r="454" spans="1:19" x14ac:dyDescent="0.25">
      <c r="A454" s="4" t="s">
        <v>4492</v>
      </c>
      <c r="B454" s="4" t="s">
        <v>2758</v>
      </c>
      <c r="C454" s="4" t="s">
        <v>779</v>
      </c>
      <c r="D454" s="3" t="str">
        <f t="shared" si="42"/>
        <v>ITA</v>
      </c>
      <c r="E454" s="3" t="str">
        <f t="shared" si="43"/>
        <v>B</v>
      </c>
      <c r="F454" s="3" t="str">
        <f t="shared" si="44"/>
        <v>004</v>
      </c>
      <c r="G454" s="3" t="str">
        <f t="shared" si="45"/>
        <v>DL</v>
      </c>
      <c r="H454" s="3" t="str">
        <f t="shared" si="46"/>
        <v>000</v>
      </c>
      <c r="I454" s="3" t="str">
        <f t="shared" si="47"/>
        <v>00</v>
      </c>
      <c r="L454" s="3" t="s">
        <v>3309</v>
      </c>
      <c r="R454" s="3" t="s">
        <v>4493</v>
      </c>
      <c r="S454" s="15" t="s">
        <v>3247</v>
      </c>
    </row>
    <row r="455" spans="1:19" x14ac:dyDescent="0.25">
      <c r="A455" s="4" t="s">
        <v>4494</v>
      </c>
      <c r="B455" s="4" t="s">
        <v>2758</v>
      </c>
      <c r="C455" s="4" t="s">
        <v>4495</v>
      </c>
      <c r="D455" s="3" t="str">
        <f t="shared" si="42"/>
        <v>ITA</v>
      </c>
      <c r="E455" s="3" t="str">
        <f t="shared" si="43"/>
        <v>Z</v>
      </c>
      <c r="F455" s="3" t="str">
        <f t="shared" si="44"/>
        <v>004</v>
      </c>
      <c r="G455" s="3" t="str">
        <f t="shared" si="45"/>
        <v>ST</v>
      </c>
      <c r="H455" s="3" t="str">
        <f t="shared" si="46"/>
        <v>000</v>
      </c>
      <c r="I455" s="3" t="str">
        <f t="shared" si="47"/>
        <v>00</v>
      </c>
      <c r="L455" s="3" t="s">
        <v>3309</v>
      </c>
      <c r="R455" s="3" t="s">
        <v>4496</v>
      </c>
      <c r="S455" s="15" t="s">
        <v>3247</v>
      </c>
    </row>
    <row r="456" spans="1:19" x14ac:dyDescent="0.25">
      <c r="A456" s="4" t="s">
        <v>4497</v>
      </c>
      <c r="B456" s="4" t="s">
        <v>2758</v>
      </c>
      <c r="C456" s="4" t="s">
        <v>4498</v>
      </c>
      <c r="D456" s="3" t="str">
        <f t="shared" si="42"/>
        <v>ITA</v>
      </c>
      <c r="E456" s="3" t="str">
        <f t="shared" si="43"/>
        <v>Y</v>
      </c>
      <c r="F456" s="3" t="str">
        <f t="shared" si="44"/>
        <v>003</v>
      </c>
      <c r="G456" s="3" t="str">
        <f t="shared" si="45"/>
        <v>ST</v>
      </c>
      <c r="H456" s="3" t="str">
        <f t="shared" si="46"/>
        <v>000</v>
      </c>
      <c r="I456" s="3" t="str">
        <f t="shared" si="47"/>
        <v>00</v>
      </c>
      <c r="L456" s="3" t="s">
        <v>3309</v>
      </c>
      <c r="R456" s="3" t="s">
        <v>4499</v>
      </c>
      <c r="S456" s="15" t="s">
        <v>3247</v>
      </c>
    </row>
    <row r="457" spans="1:19" x14ac:dyDescent="0.25">
      <c r="A457" s="4" t="s">
        <v>4500</v>
      </c>
      <c r="B457" s="4" t="s">
        <v>2758</v>
      </c>
      <c r="C457" s="4" t="s">
        <v>4501</v>
      </c>
      <c r="D457" s="3" t="str">
        <f t="shared" si="42"/>
        <v>ITA</v>
      </c>
      <c r="E457" s="3" t="str">
        <f t="shared" si="43"/>
        <v>Z</v>
      </c>
      <c r="F457" s="3" t="str">
        <f t="shared" si="44"/>
        <v>202</v>
      </c>
      <c r="G457" s="3" t="str">
        <f t="shared" si="45"/>
        <v>ST</v>
      </c>
      <c r="H457" s="3" t="str">
        <f t="shared" si="46"/>
        <v>000</v>
      </c>
      <c r="I457" s="3" t="str">
        <f t="shared" si="47"/>
        <v>00</v>
      </c>
      <c r="L457" s="3" t="s">
        <v>3309</v>
      </c>
      <c r="R457" s="3" t="s">
        <v>4502</v>
      </c>
      <c r="S457" s="15" t="s">
        <v>3247</v>
      </c>
    </row>
    <row r="458" spans="1:19" x14ac:dyDescent="0.25">
      <c r="A458" s="4" t="s">
        <v>4503</v>
      </c>
      <c r="B458" s="4" t="s">
        <v>2758</v>
      </c>
      <c r="C458" s="4" t="s">
        <v>4504</v>
      </c>
      <c r="D458" s="3" t="str">
        <f t="shared" si="42"/>
        <v>ITA</v>
      </c>
      <c r="E458" s="3" t="str">
        <f t="shared" si="43"/>
        <v>Z</v>
      </c>
      <c r="F458" s="3" t="str">
        <f t="shared" si="44"/>
        <v>302</v>
      </c>
      <c r="G458" s="3" t="str">
        <f t="shared" si="45"/>
        <v>ST</v>
      </c>
      <c r="H458" s="3" t="str">
        <f t="shared" si="46"/>
        <v>000</v>
      </c>
      <c r="I458" s="3" t="str">
        <f t="shared" si="47"/>
        <v>00</v>
      </c>
      <c r="L458" s="3" t="s">
        <v>3309</v>
      </c>
      <c r="R458" s="3" t="s">
        <v>4505</v>
      </c>
      <c r="S458" s="15" t="s">
        <v>3247</v>
      </c>
    </row>
    <row r="459" spans="1:19" x14ac:dyDescent="0.25">
      <c r="A459" s="4" t="s">
        <v>4506</v>
      </c>
      <c r="B459" s="4" t="s">
        <v>2758</v>
      </c>
      <c r="C459" s="4" t="s">
        <v>4507</v>
      </c>
      <c r="D459" s="3" t="str">
        <f t="shared" si="42"/>
        <v>ITA</v>
      </c>
      <c r="E459" s="3" t="str">
        <f t="shared" si="43"/>
        <v>Y</v>
      </c>
      <c r="F459" s="3" t="str">
        <f t="shared" si="44"/>
        <v>004</v>
      </c>
      <c r="G459" s="3" t="str">
        <f t="shared" si="45"/>
        <v>CP</v>
      </c>
      <c r="H459" s="3" t="str">
        <f t="shared" si="46"/>
        <v>000</v>
      </c>
      <c r="I459" s="3" t="str">
        <f t="shared" si="47"/>
        <v>00</v>
      </c>
      <c r="L459" s="3" t="s">
        <v>3309</v>
      </c>
      <c r="R459" s="3" t="s">
        <v>4508</v>
      </c>
      <c r="S459" s="15" t="s">
        <v>3247</v>
      </c>
    </row>
    <row r="460" spans="1:19" x14ac:dyDescent="0.25">
      <c r="A460" s="4" t="s">
        <v>4509</v>
      </c>
      <c r="B460" s="4" t="s">
        <v>2758</v>
      </c>
      <c r="C460" s="4" t="s">
        <v>4510</v>
      </c>
      <c r="D460" s="3" t="str">
        <f t="shared" si="42"/>
        <v>ITA</v>
      </c>
      <c r="E460" s="3" t="str">
        <f t="shared" si="43"/>
        <v>Z</v>
      </c>
      <c r="F460" s="3" t="str">
        <f t="shared" si="44"/>
        <v>401</v>
      </c>
      <c r="G460" s="3" t="str">
        <f t="shared" si="45"/>
        <v>ST</v>
      </c>
      <c r="H460" s="3" t="str">
        <f t="shared" si="46"/>
        <v>000</v>
      </c>
      <c r="I460" s="3" t="str">
        <f t="shared" si="47"/>
        <v>00</v>
      </c>
      <c r="L460" s="3" t="s">
        <v>3309</v>
      </c>
      <c r="R460" s="3" t="s">
        <v>4511</v>
      </c>
      <c r="S460" s="15" t="s">
        <v>3247</v>
      </c>
    </row>
    <row r="461" spans="1:19" x14ac:dyDescent="0.25">
      <c r="A461" s="4" t="s">
        <v>4512</v>
      </c>
      <c r="B461" s="4" t="s">
        <v>2758</v>
      </c>
      <c r="C461" s="4" t="s">
        <v>4513</v>
      </c>
      <c r="D461" s="3" t="str">
        <f t="shared" si="42"/>
        <v>ITA</v>
      </c>
      <c r="E461" s="3" t="str">
        <f t="shared" si="43"/>
        <v>D</v>
      </c>
      <c r="F461" s="3" t="str">
        <f t="shared" si="44"/>
        <v>007</v>
      </c>
      <c r="G461" s="3" t="str">
        <f t="shared" si="45"/>
        <v>HP</v>
      </c>
      <c r="H461" s="3" t="str">
        <f t="shared" si="46"/>
        <v>023</v>
      </c>
      <c r="I461" s="3" t="str">
        <f t="shared" si="47"/>
        <v>00</v>
      </c>
      <c r="L461" s="3" t="s">
        <v>3309</v>
      </c>
      <c r="R461" s="3" t="s">
        <v>4514</v>
      </c>
      <c r="S461" s="15" t="s">
        <v>3247</v>
      </c>
    </row>
    <row r="462" spans="1:19" x14ac:dyDescent="0.25">
      <c r="A462" s="4" t="s">
        <v>4515</v>
      </c>
      <c r="B462" s="4" t="s">
        <v>2758</v>
      </c>
      <c r="C462" s="4" t="s">
        <v>4516</v>
      </c>
      <c r="D462" s="3" t="str">
        <f t="shared" si="42"/>
        <v>ITA</v>
      </c>
      <c r="E462" s="3" t="str">
        <f t="shared" si="43"/>
        <v>X</v>
      </c>
      <c r="F462" s="3" t="str">
        <f t="shared" si="44"/>
        <v>001</v>
      </c>
      <c r="G462" s="3" t="str">
        <f t="shared" si="45"/>
        <v>DG</v>
      </c>
      <c r="H462" s="3" t="str">
        <f t="shared" si="46"/>
        <v>000</v>
      </c>
      <c r="I462" s="3" t="str">
        <f t="shared" si="47"/>
        <v>00</v>
      </c>
      <c r="L462" s="3" t="s">
        <v>3309</v>
      </c>
      <c r="R462" s="3" t="s">
        <v>4517</v>
      </c>
      <c r="S462" s="15" t="s">
        <v>3247</v>
      </c>
    </row>
    <row r="463" spans="1:19" x14ac:dyDescent="0.25">
      <c r="A463" s="4" t="s">
        <v>4518</v>
      </c>
      <c r="B463" s="4" t="s">
        <v>2758</v>
      </c>
      <c r="C463" s="4" t="s">
        <v>4519</v>
      </c>
      <c r="D463" s="3" t="str">
        <f t="shared" si="42"/>
        <v>ITA</v>
      </c>
      <c r="E463" s="3" t="str">
        <f t="shared" si="43"/>
        <v>P</v>
      </c>
      <c r="F463" s="3" t="str">
        <f t="shared" si="44"/>
        <v>004</v>
      </c>
      <c r="G463" s="3" t="str">
        <f t="shared" si="45"/>
        <v>HP</v>
      </c>
      <c r="H463" s="3" t="str">
        <f t="shared" si="46"/>
        <v>023</v>
      </c>
      <c r="I463" s="3" t="str">
        <f t="shared" si="47"/>
        <v>00</v>
      </c>
      <c r="L463" s="3" t="s">
        <v>3309</v>
      </c>
      <c r="R463" s="3" t="s">
        <v>4520</v>
      </c>
      <c r="S463" s="15" t="s">
        <v>3247</v>
      </c>
    </row>
    <row r="464" spans="1:19" x14ac:dyDescent="0.25">
      <c r="A464" s="4" t="s">
        <v>4521</v>
      </c>
      <c r="B464" s="4" t="s">
        <v>2758</v>
      </c>
      <c r="C464" s="4" t="s">
        <v>4522</v>
      </c>
      <c r="D464" s="3" t="str">
        <f t="shared" si="42"/>
        <v>ITA</v>
      </c>
      <c r="E464" s="3" t="str">
        <f t="shared" si="43"/>
        <v>G</v>
      </c>
      <c r="F464" s="3" t="str">
        <f t="shared" si="44"/>
        <v>004</v>
      </c>
      <c r="G464" s="3" t="str">
        <f t="shared" si="45"/>
        <v>AO</v>
      </c>
      <c r="H464" s="3" t="str">
        <f t="shared" si="46"/>
        <v>000</v>
      </c>
      <c r="I464" s="3" t="str">
        <f t="shared" si="47"/>
        <v>00</v>
      </c>
      <c r="L464" s="3" t="s">
        <v>3309</v>
      </c>
      <c r="R464" s="3" t="s">
        <v>4523</v>
      </c>
      <c r="S464" s="15" t="s">
        <v>3247</v>
      </c>
    </row>
    <row r="465" spans="1:19" x14ac:dyDescent="0.25">
      <c r="A465" s="4" t="s">
        <v>4524</v>
      </c>
      <c r="B465" s="4" t="s">
        <v>2758</v>
      </c>
      <c r="C465" s="4" t="s">
        <v>4525</v>
      </c>
      <c r="D465" s="3" t="str">
        <f t="shared" si="42"/>
        <v>ITS</v>
      </c>
      <c r="E465" s="3" t="str">
        <f t="shared" si="43"/>
        <v>O</v>
      </c>
      <c r="F465" s="3" t="str">
        <f t="shared" si="44"/>
        <v>006</v>
      </c>
      <c r="G465" s="3" t="str">
        <f t="shared" si="45"/>
        <v>03</v>
      </c>
      <c r="H465" s="3" t="str">
        <f t="shared" si="46"/>
        <v>000</v>
      </c>
      <c r="I465" s="3" t="str">
        <f t="shared" si="47"/>
        <v>00</v>
      </c>
      <c r="L465" s="3" t="s">
        <v>3309</v>
      </c>
      <c r="R465" s="3" t="s">
        <v>4526</v>
      </c>
      <c r="S465" s="15" t="s">
        <v>3247</v>
      </c>
    </row>
    <row r="466" spans="1:19" x14ac:dyDescent="0.25">
      <c r="A466" s="4" t="s">
        <v>4527</v>
      </c>
      <c r="B466" s="4" t="s">
        <v>2758</v>
      </c>
      <c r="C466" s="4" t="s">
        <v>4528</v>
      </c>
      <c r="D466" s="3" t="str">
        <f t="shared" si="42"/>
        <v>ITA</v>
      </c>
      <c r="E466" s="3" t="str">
        <f t="shared" si="43"/>
        <v>R</v>
      </c>
      <c r="F466" s="3" t="str">
        <f t="shared" si="44"/>
        <v>001</v>
      </c>
      <c r="G466" s="3" t="str">
        <f t="shared" si="45"/>
        <v>DL</v>
      </c>
      <c r="H466" s="3" t="str">
        <f t="shared" si="46"/>
        <v>026</v>
      </c>
      <c r="I466" s="3" t="str">
        <f t="shared" si="47"/>
        <v>00</v>
      </c>
      <c r="L466" s="3" t="s">
        <v>3309</v>
      </c>
      <c r="R466" s="3" t="s">
        <v>4529</v>
      </c>
      <c r="S466" s="15" t="s">
        <v>3247</v>
      </c>
    </row>
    <row r="467" spans="1:19" x14ac:dyDescent="0.25">
      <c r="A467" s="4" t="s">
        <v>4530</v>
      </c>
      <c r="B467" s="4" t="s">
        <v>2758</v>
      </c>
      <c r="C467" s="4" t="s">
        <v>4531</v>
      </c>
      <c r="D467" s="3" t="str">
        <f t="shared" si="42"/>
        <v>ITA</v>
      </c>
      <c r="E467" s="3" t="str">
        <f t="shared" si="43"/>
        <v>H</v>
      </c>
      <c r="F467" s="3" t="str">
        <f t="shared" si="44"/>
        <v>008</v>
      </c>
      <c r="G467" s="3" t="str">
        <f t="shared" si="45"/>
        <v>HP</v>
      </c>
      <c r="H467" s="3" t="str">
        <f t="shared" si="46"/>
        <v>027</v>
      </c>
      <c r="I467" s="3" t="str">
        <f t="shared" si="47"/>
        <v>00</v>
      </c>
      <c r="L467" s="3" t="s">
        <v>3309</v>
      </c>
      <c r="R467" s="3" t="s">
        <v>4532</v>
      </c>
      <c r="S467" s="15" t="s">
        <v>3247</v>
      </c>
    </row>
    <row r="468" spans="1:19" ht="30" x14ac:dyDescent="0.25">
      <c r="A468" s="4" t="s">
        <v>4533</v>
      </c>
      <c r="B468" s="4" t="s">
        <v>2758</v>
      </c>
      <c r="C468" s="4" t="s">
        <v>4534</v>
      </c>
      <c r="D468" s="3" t="str">
        <f t="shared" si="42"/>
        <v>ITA</v>
      </c>
      <c r="E468" s="3" t="str">
        <f t="shared" si="43"/>
        <v>D</v>
      </c>
      <c r="F468" s="3" t="str">
        <f t="shared" si="44"/>
        <v>009</v>
      </c>
      <c r="G468" s="3" t="str">
        <f t="shared" si="45"/>
        <v>HP</v>
      </c>
      <c r="H468" s="3" t="str">
        <f t="shared" si="46"/>
        <v>028</v>
      </c>
      <c r="I468" s="3" t="str">
        <f t="shared" si="47"/>
        <v>00</v>
      </c>
      <c r="L468" s="3" t="s">
        <v>3309</v>
      </c>
      <c r="R468" s="3" t="s">
        <v>4535</v>
      </c>
      <c r="S468" s="15" t="s">
        <v>3247</v>
      </c>
    </row>
    <row r="469" spans="1:19" x14ac:dyDescent="0.25">
      <c r="A469" s="4" t="s">
        <v>4536</v>
      </c>
      <c r="B469" s="4" t="s">
        <v>2758</v>
      </c>
      <c r="C469" s="4" t="s">
        <v>4537</v>
      </c>
      <c r="D469" s="3" t="str">
        <f t="shared" si="42"/>
        <v>ITA</v>
      </c>
      <c r="E469" s="3" t="str">
        <f t="shared" si="43"/>
        <v>Y</v>
      </c>
      <c r="F469" s="3" t="str">
        <f t="shared" si="44"/>
        <v>006</v>
      </c>
      <c r="G469" s="3" t="str">
        <f t="shared" si="45"/>
        <v>SM</v>
      </c>
      <c r="H469" s="3" t="str">
        <f t="shared" si="46"/>
        <v>000</v>
      </c>
      <c r="I469" s="3" t="str">
        <f t="shared" si="47"/>
        <v>00</v>
      </c>
      <c r="L469" s="3" t="s">
        <v>3309</v>
      </c>
      <c r="R469" s="3" t="s">
        <v>4538</v>
      </c>
      <c r="S469" s="15" t="s">
        <v>3247</v>
      </c>
    </row>
    <row r="470" spans="1:19" x14ac:dyDescent="0.25">
      <c r="A470" s="4" t="s">
        <v>4539</v>
      </c>
      <c r="B470" s="4" t="s">
        <v>2758</v>
      </c>
      <c r="C470" s="4" t="s">
        <v>4540</v>
      </c>
      <c r="D470" s="3" t="str">
        <f t="shared" si="42"/>
        <v>ITA</v>
      </c>
      <c r="E470" s="3" t="str">
        <f t="shared" si="43"/>
        <v>P</v>
      </c>
      <c r="F470" s="3" t="str">
        <f t="shared" si="44"/>
        <v>005</v>
      </c>
      <c r="G470" s="3" t="str">
        <f t="shared" si="45"/>
        <v>HP</v>
      </c>
      <c r="H470" s="3" t="str">
        <f t="shared" si="46"/>
        <v>000</v>
      </c>
      <c r="I470" s="3" t="str">
        <f t="shared" si="47"/>
        <v>00</v>
      </c>
      <c r="L470" s="3" t="s">
        <v>3309</v>
      </c>
      <c r="R470" s="3" t="s">
        <v>4541</v>
      </c>
      <c r="S470" s="15" t="s">
        <v>3247</v>
      </c>
    </row>
    <row r="471" spans="1:19" x14ac:dyDescent="0.25">
      <c r="A471" s="4" t="s">
        <v>4542</v>
      </c>
      <c r="B471" s="4" t="s">
        <v>2758</v>
      </c>
      <c r="C471" s="4" t="s">
        <v>2638</v>
      </c>
      <c r="D471" s="3" t="str">
        <f t="shared" si="42"/>
        <v>ITA</v>
      </c>
      <c r="E471" s="3" t="str">
        <f t="shared" si="43"/>
        <v>I</v>
      </c>
      <c r="F471" s="3" t="str">
        <f t="shared" si="44"/>
        <v>001</v>
      </c>
      <c r="G471" s="3" t="str">
        <f t="shared" si="45"/>
        <v>AT</v>
      </c>
      <c r="H471" s="3" t="str">
        <f t="shared" si="46"/>
        <v>000</v>
      </c>
      <c r="I471" s="3" t="str">
        <f t="shared" si="47"/>
        <v>00</v>
      </c>
      <c r="L471" s="3" t="s">
        <v>3309</v>
      </c>
      <c r="R471" s="3" t="s">
        <v>4543</v>
      </c>
      <c r="S471" s="15" t="s">
        <v>3247</v>
      </c>
    </row>
    <row r="472" spans="1:19" x14ac:dyDescent="0.25">
      <c r="A472" s="4" t="s">
        <v>4544</v>
      </c>
      <c r="B472" s="4" t="s">
        <v>2758</v>
      </c>
      <c r="C472" s="4" t="s">
        <v>4545</v>
      </c>
      <c r="D472" s="3" t="str">
        <f t="shared" si="42"/>
        <v>ITA</v>
      </c>
      <c r="E472" s="3" t="str">
        <f t="shared" si="43"/>
        <v>Z</v>
      </c>
      <c r="F472" s="3" t="str">
        <f t="shared" si="44"/>
        <v>303</v>
      </c>
      <c r="G472" s="3" t="str">
        <f t="shared" si="45"/>
        <v>ST</v>
      </c>
      <c r="H472" s="3" t="str">
        <f t="shared" si="46"/>
        <v>000</v>
      </c>
      <c r="I472" s="3" t="str">
        <f t="shared" si="47"/>
        <v>00</v>
      </c>
      <c r="L472" s="3" t="s">
        <v>3309</v>
      </c>
      <c r="R472" s="3" t="s">
        <v>4546</v>
      </c>
      <c r="S472" s="15" t="s">
        <v>3247</v>
      </c>
    </row>
    <row r="473" spans="1:19" x14ac:dyDescent="0.25">
      <c r="A473" s="4" t="s">
        <v>4547</v>
      </c>
      <c r="B473" s="4" t="s">
        <v>2758</v>
      </c>
      <c r="C473" s="4" t="s">
        <v>4548</v>
      </c>
      <c r="D473" s="3" t="str">
        <f t="shared" si="42"/>
        <v>ITA</v>
      </c>
      <c r="E473" s="3" t="str">
        <f t="shared" si="43"/>
        <v>Z</v>
      </c>
      <c r="F473" s="3" t="str">
        <f t="shared" si="44"/>
        <v>304</v>
      </c>
      <c r="G473" s="3" t="str">
        <f t="shared" si="45"/>
        <v>ST</v>
      </c>
      <c r="H473" s="3" t="str">
        <f t="shared" si="46"/>
        <v>000</v>
      </c>
      <c r="I473" s="3" t="str">
        <f t="shared" si="47"/>
        <v>00</v>
      </c>
      <c r="L473" s="3" t="s">
        <v>3309</v>
      </c>
      <c r="R473" s="3" t="s">
        <v>4549</v>
      </c>
      <c r="S473" s="15" t="s">
        <v>3247</v>
      </c>
    </row>
    <row r="474" spans="1:19" x14ac:dyDescent="0.25">
      <c r="A474" s="4" t="s">
        <v>4550</v>
      </c>
      <c r="B474" s="4" t="s">
        <v>2758</v>
      </c>
      <c r="C474" s="4" t="s">
        <v>4551</v>
      </c>
      <c r="D474" s="3" t="str">
        <f t="shared" si="42"/>
        <v>ITA</v>
      </c>
      <c r="E474" s="3" t="str">
        <f t="shared" si="43"/>
        <v>Z</v>
      </c>
      <c r="F474" s="3" t="str">
        <f t="shared" si="44"/>
        <v>402</v>
      </c>
      <c r="G474" s="3" t="str">
        <f t="shared" si="45"/>
        <v>ST</v>
      </c>
      <c r="H474" s="3" t="str">
        <f t="shared" si="46"/>
        <v>000</v>
      </c>
      <c r="I474" s="3" t="str">
        <f t="shared" si="47"/>
        <v>00</v>
      </c>
      <c r="L474" s="3" t="s">
        <v>3309</v>
      </c>
      <c r="R474" s="3" t="s">
        <v>4552</v>
      </c>
      <c r="S474" s="15" t="s">
        <v>3247</v>
      </c>
    </row>
    <row r="475" spans="1:19" x14ac:dyDescent="0.25">
      <c r="A475" s="4" t="s">
        <v>4553</v>
      </c>
      <c r="B475" s="4" t="s">
        <v>2758</v>
      </c>
      <c r="C475" s="4" t="s">
        <v>4554</v>
      </c>
      <c r="D475" s="3" t="str">
        <f t="shared" si="42"/>
        <v>ITA</v>
      </c>
      <c r="E475" s="3" t="str">
        <f t="shared" si="43"/>
        <v>V</v>
      </c>
      <c r="F475" s="3" t="str">
        <f t="shared" si="44"/>
        <v>001</v>
      </c>
      <c r="G475" s="3" t="str">
        <f t="shared" si="45"/>
        <v>ST</v>
      </c>
      <c r="H475" s="3" t="str">
        <f t="shared" si="46"/>
        <v>000</v>
      </c>
      <c r="I475" s="3" t="str">
        <f t="shared" si="47"/>
        <v>00</v>
      </c>
      <c r="L475" s="3" t="s">
        <v>3309</v>
      </c>
      <c r="R475" s="3" t="s">
        <v>4555</v>
      </c>
      <c r="S475" s="15" t="s">
        <v>3247</v>
      </c>
    </row>
    <row r="476" spans="1:19" x14ac:dyDescent="0.25">
      <c r="A476" s="4" t="s">
        <v>4556</v>
      </c>
      <c r="B476" s="4" t="s">
        <v>2758</v>
      </c>
      <c r="C476" s="4" t="s">
        <v>4557</v>
      </c>
      <c r="D476" s="3" t="str">
        <f t="shared" si="42"/>
        <v>ITA</v>
      </c>
      <c r="E476" s="3" t="str">
        <f t="shared" si="43"/>
        <v>F</v>
      </c>
      <c r="F476" s="3" t="str">
        <f t="shared" si="44"/>
        <v>001</v>
      </c>
      <c r="G476" s="3" t="str">
        <f t="shared" si="45"/>
        <v>DE</v>
      </c>
      <c r="H476" s="3" t="str">
        <f t="shared" si="46"/>
        <v>030</v>
      </c>
      <c r="I476" s="3" t="str">
        <f t="shared" si="47"/>
        <v>00</v>
      </c>
      <c r="L476" s="3" t="s">
        <v>3309</v>
      </c>
      <c r="R476" s="3" t="s">
        <v>4558</v>
      </c>
      <c r="S476" s="15" t="s">
        <v>3247</v>
      </c>
    </row>
    <row r="477" spans="1:19" x14ac:dyDescent="0.25">
      <c r="A477" s="4" t="s">
        <v>4559</v>
      </c>
      <c r="B477" s="4" t="s">
        <v>2758</v>
      </c>
      <c r="C477" s="4" t="s">
        <v>825</v>
      </c>
      <c r="D477" s="3" t="str">
        <f t="shared" si="42"/>
        <v>ITA</v>
      </c>
      <c r="E477" s="3" t="str">
        <f t="shared" si="43"/>
        <v>R</v>
      </c>
      <c r="F477" s="3" t="str">
        <f t="shared" si="44"/>
        <v>002</v>
      </c>
      <c r="G477" s="3" t="str">
        <f t="shared" si="45"/>
        <v>SO</v>
      </c>
      <c r="H477" s="3" t="str">
        <f t="shared" si="46"/>
        <v>031</v>
      </c>
      <c r="I477" s="3" t="str">
        <f t="shared" si="47"/>
        <v>00</v>
      </c>
      <c r="L477" s="3" t="s">
        <v>3309</v>
      </c>
      <c r="R477" s="3" t="s">
        <v>4560</v>
      </c>
      <c r="S477" s="15" t="s">
        <v>3247</v>
      </c>
    </row>
    <row r="478" spans="1:19" ht="30" x14ac:dyDescent="0.25">
      <c r="A478" s="4" t="s">
        <v>4561</v>
      </c>
      <c r="B478" s="4" t="s">
        <v>2758</v>
      </c>
      <c r="C478" s="4" t="s">
        <v>4562</v>
      </c>
      <c r="D478" s="3" t="str">
        <f t="shared" si="42"/>
        <v>ITA</v>
      </c>
      <c r="E478" s="3" t="str">
        <f t="shared" si="43"/>
        <v>R</v>
      </c>
      <c r="F478" s="3" t="str">
        <f t="shared" si="44"/>
        <v>003</v>
      </c>
      <c r="G478" s="3" t="str">
        <f t="shared" si="45"/>
        <v>SO</v>
      </c>
      <c r="H478" s="3" t="str">
        <f t="shared" si="46"/>
        <v>031</v>
      </c>
      <c r="I478" s="3" t="str">
        <f t="shared" si="47"/>
        <v>00</v>
      </c>
      <c r="L478" s="3" t="s">
        <v>3309</v>
      </c>
      <c r="R478" s="3" t="s">
        <v>4563</v>
      </c>
      <c r="S478" s="15" t="s">
        <v>3247</v>
      </c>
    </row>
    <row r="479" spans="1:19" x14ac:dyDescent="0.25">
      <c r="A479" s="4" t="s">
        <v>4564</v>
      </c>
      <c r="B479" s="4" t="s">
        <v>2758</v>
      </c>
      <c r="C479" s="4" t="s">
        <v>827</v>
      </c>
      <c r="D479" s="3" t="str">
        <f t="shared" si="42"/>
        <v>ITA</v>
      </c>
      <c r="E479" s="3" t="str">
        <f t="shared" si="43"/>
        <v>R</v>
      </c>
      <c r="F479" s="3" t="str">
        <f t="shared" si="44"/>
        <v>004</v>
      </c>
      <c r="G479" s="3" t="str">
        <f t="shared" si="45"/>
        <v>SO</v>
      </c>
      <c r="H479" s="3" t="str">
        <f t="shared" si="46"/>
        <v>031</v>
      </c>
      <c r="I479" s="3" t="str">
        <f t="shared" si="47"/>
        <v>00</v>
      </c>
      <c r="L479" s="3" t="s">
        <v>3309</v>
      </c>
      <c r="R479" s="3" t="s">
        <v>4565</v>
      </c>
      <c r="S479" s="15" t="s">
        <v>3247</v>
      </c>
    </row>
    <row r="480" spans="1:19" ht="30" x14ac:dyDescent="0.25">
      <c r="A480" s="4" t="s">
        <v>4566</v>
      </c>
      <c r="B480" s="4" t="s">
        <v>2758</v>
      </c>
      <c r="C480" s="4" t="s">
        <v>4567</v>
      </c>
      <c r="D480" s="3" t="str">
        <f t="shared" si="42"/>
        <v>ITA</v>
      </c>
      <c r="E480" s="3" t="str">
        <f t="shared" si="43"/>
        <v>R</v>
      </c>
      <c r="F480" s="3" t="str">
        <f t="shared" si="44"/>
        <v>005</v>
      </c>
      <c r="G480" s="3" t="str">
        <f t="shared" si="45"/>
        <v>SO</v>
      </c>
      <c r="H480" s="3" t="str">
        <f t="shared" si="46"/>
        <v>031</v>
      </c>
      <c r="I480" s="3" t="str">
        <f t="shared" si="47"/>
        <v>00</v>
      </c>
      <c r="L480" s="3" t="s">
        <v>3309</v>
      </c>
      <c r="R480" s="3" t="s">
        <v>4568</v>
      </c>
      <c r="S480" s="15" t="s">
        <v>3247</v>
      </c>
    </row>
    <row r="481" spans="1:19" x14ac:dyDescent="0.25">
      <c r="A481" s="4" t="s">
        <v>4569</v>
      </c>
      <c r="B481" s="4" t="s">
        <v>2758</v>
      </c>
      <c r="C481" s="4" t="s">
        <v>4570</v>
      </c>
      <c r="D481" s="3" t="str">
        <f t="shared" si="42"/>
        <v>ITA</v>
      </c>
      <c r="E481" s="3" t="str">
        <f t="shared" si="43"/>
        <v>X</v>
      </c>
      <c r="F481" s="3" t="str">
        <f t="shared" si="44"/>
        <v>002</v>
      </c>
      <c r="G481" s="3" t="str">
        <f t="shared" si="45"/>
        <v>SA</v>
      </c>
      <c r="H481" s="3" t="str">
        <f t="shared" si="46"/>
        <v>000</v>
      </c>
      <c r="I481" s="3" t="str">
        <f t="shared" si="47"/>
        <v>00</v>
      </c>
      <c r="L481" s="3" t="s">
        <v>3309</v>
      </c>
      <c r="R481" s="3" t="s">
        <v>4571</v>
      </c>
      <c r="S481" s="15" t="s">
        <v>3247</v>
      </c>
    </row>
    <row r="482" spans="1:19" ht="30" x14ac:dyDescent="0.25">
      <c r="A482" s="4" t="s">
        <v>4572</v>
      </c>
      <c r="B482" s="4" t="s">
        <v>2758</v>
      </c>
      <c r="C482" s="4" t="s">
        <v>4573</v>
      </c>
      <c r="D482" s="3" t="str">
        <f t="shared" si="42"/>
        <v>ITA</v>
      </c>
      <c r="E482" s="3" t="str">
        <f t="shared" si="43"/>
        <v>P</v>
      </c>
      <c r="F482" s="3" t="str">
        <f t="shared" si="44"/>
        <v>007</v>
      </c>
      <c r="G482" s="3" t="str">
        <f t="shared" si="45"/>
        <v>BR</v>
      </c>
      <c r="H482" s="3" t="str">
        <f t="shared" si="46"/>
        <v>033</v>
      </c>
      <c r="I482" s="3" t="str">
        <f t="shared" si="47"/>
        <v>00</v>
      </c>
      <c r="L482" s="3" t="s">
        <v>3309</v>
      </c>
      <c r="R482" s="3" t="s">
        <v>4574</v>
      </c>
      <c r="S482" s="15" t="s">
        <v>3247</v>
      </c>
    </row>
    <row r="483" spans="1:19" x14ac:dyDescent="0.25">
      <c r="A483" s="4" t="s">
        <v>4575</v>
      </c>
      <c r="B483" s="4" t="s">
        <v>2758</v>
      </c>
      <c r="C483" s="4" t="s">
        <v>4576</v>
      </c>
      <c r="D483" s="3" t="str">
        <f t="shared" si="42"/>
        <v>ITA</v>
      </c>
      <c r="E483" s="3" t="str">
        <f t="shared" si="43"/>
        <v>Z</v>
      </c>
      <c r="F483" s="3" t="str">
        <f t="shared" si="44"/>
        <v>103</v>
      </c>
      <c r="G483" s="3" t="str">
        <f t="shared" si="45"/>
        <v>HI</v>
      </c>
      <c r="H483" s="3" t="str">
        <f t="shared" si="46"/>
        <v>034</v>
      </c>
      <c r="I483" s="3" t="str">
        <f t="shared" si="47"/>
        <v>00</v>
      </c>
      <c r="L483" s="3" t="s">
        <v>3309</v>
      </c>
      <c r="R483" s="3" t="s">
        <v>4577</v>
      </c>
      <c r="S483" s="15" t="s">
        <v>3247</v>
      </c>
    </row>
    <row r="484" spans="1:19" ht="30" x14ac:dyDescent="0.25">
      <c r="A484" s="4" t="s">
        <v>4578</v>
      </c>
      <c r="B484" s="4" t="s">
        <v>2758</v>
      </c>
      <c r="C484" s="4" t="s">
        <v>4579</v>
      </c>
      <c r="D484" s="3" t="str">
        <f t="shared" si="42"/>
        <v>ITA</v>
      </c>
      <c r="E484" s="3" t="str">
        <f t="shared" si="43"/>
        <v>D</v>
      </c>
      <c r="F484" s="3" t="str">
        <f t="shared" si="44"/>
        <v>010</v>
      </c>
      <c r="G484" s="3" t="str">
        <f t="shared" si="45"/>
        <v>HP</v>
      </c>
      <c r="H484" s="3" t="str">
        <f t="shared" si="46"/>
        <v>035</v>
      </c>
      <c r="I484" s="3" t="str">
        <f t="shared" si="47"/>
        <v>00</v>
      </c>
      <c r="L484" s="3" t="s">
        <v>3309</v>
      </c>
      <c r="R484" s="3" t="s">
        <v>4580</v>
      </c>
      <c r="S484" s="15" t="s">
        <v>3247</v>
      </c>
    </row>
    <row r="485" spans="1:19" x14ac:dyDescent="0.25">
      <c r="A485" s="4" t="s">
        <v>4581</v>
      </c>
      <c r="B485" s="4" t="s">
        <v>2758</v>
      </c>
      <c r="C485" s="4" t="s">
        <v>4582</v>
      </c>
      <c r="D485" s="3" t="str">
        <f t="shared" si="42"/>
        <v>ITA</v>
      </c>
      <c r="E485" s="3" t="str">
        <f t="shared" si="43"/>
        <v>Y</v>
      </c>
      <c r="F485" s="3" t="str">
        <f t="shared" si="44"/>
        <v>001</v>
      </c>
      <c r="G485" s="3" t="str">
        <f t="shared" si="45"/>
        <v>HP</v>
      </c>
      <c r="H485" s="3" t="str">
        <f t="shared" si="46"/>
        <v>000</v>
      </c>
      <c r="I485" s="3" t="str">
        <f t="shared" si="47"/>
        <v>00</v>
      </c>
      <c r="L485" s="3" t="s">
        <v>3309</v>
      </c>
      <c r="R485" s="3" t="s">
        <v>4583</v>
      </c>
      <c r="S485" s="15" t="s">
        <v>3247</v>
      </c>
    </row>
    <row r="486" spans="1:19" x14ac:dyDescent="0.25">
      <c r="A486" s="4" t="s">
        <v>4584</v>
      </c>
      <c r="B486" s="4" t="s">
        <v>2758</v>
      </c>
      <c r="C486" s="4" t="s">
        <v>4585</v>
      </c>
      <c r="D486" s="3" t="str">
        <f t="shared" si="42"/>
        <v>ITA</v>
      </c>
      <c r="E486" s="3" t="str">
        <f t="shared" si="43"/>
        <v>Y</v>
      </c>
      <c r="F486" s="3" t="str">
        <f t="shared" si="44"/>
        <v>007</v>
      </c>
      <c r="G486" s="3" t="str">
        <f t="shared" si="45"/>
        <v>DE</v>
      </c>
      <c r="H486" s="3" t="str">
        <f t="shared" si="46"/>
        <v>036</v>
      </c>
      <c r="I486" s="3" t="str">
        <f t="shared" si="47"/>
        <v>00</v>
      </c>
      <c r="L486" s="3" t="s">
        <v>3309</v>
      </c>
      <c r="R486" s="3" t="s">
        <v>4586</v>
      </c>
      <c r="S486" s="15" t="s">
        <v>3247</v>
      </c>
    </row>
    <row r="487" spans="1:19" x14ac:dyDescent="0.25">
      <c r="A487" s="4" t="s">
        <v>4587</v>
      </c>
      <c r="B487" s="4" t="s">
        <v>2758</v>
      </c>
      <c r="C487" s="4" t="s">
        <v>4588</v>
      </c>
      <c r="D487" s="3" t="str">
        <f t="shared" si="42"/>
        <v>ITA</v>
      </c>
      <c r="E487" s="3" t="str">
        <f t="shared" si="43"/>
        <v>Y</v>
      </c>
      <c r="F487" s="3" t="str">
        <f t="shared" si="44"/>
        <v>008</v>
      </c>
      <c r="G487" s="3" t="str">
        <f t="shared" si="45"/>
        <v>SM</v>
      </c>
      <c r="H487" s="3" t="str">
        <f t="shared" si="46"/>
        <v>037</v>
      </c>
      <c r="I487" s="3" t="str">
        <f t="shared" si="47"/>
        <v>00</v>
      </c>
      <c r="L487" s="3" t="s">
        <v>3309</v>
      </c>
      <c r="R487" s="3" t="s">
        <v>4589</v>
      </c>
      <c r="S487" s="15" t="s">
        <v>3247</v>
      </c>
    </row>
    <row r="488" spans="1:19" x14ac:dyDescent="0.25">
      <c r="A488" s="4" t="s">
        <v>4590</v>
      </c>
      <c r="B488" s="4" t="s">
        <v>2758</v>
      </c>
      <c r="C488" s="4" t="s">
        <v>4591</v>
      </c>
      <c r="D488" s="3" t="str">
        <f t="shared" si="42"/>
        <v>ITA</v>
      </c>
      <c r="E488" s="3" t="str">
        <f t="shared" si="43"/>
        <v>R</v>
      </c>
      <c r="F488" s="3" t="str">
        <f t="shared" si="44"/>
        <v>006</v>
      </c>
      <c r="G488" s="3" t="str">
        <f t="shared" si="45"/>
        <v>DL</v>
      </c>
      <c r="H488" s="3" t="str">
        <f t="shared" si="46"/>
        <v>038</v>
      </c>
      <c r="I488" s="3" t="str">
        <f t="shared" si="47"/>
        <v>00</v>
      </c>
      <c r="L488" s="3" t="s">
        <v>3309</v>
      </c>
      <c r="R488" s="3" t="s">
        <v>4592</v>
      </c>
      <c r="S488" s="15" t="s">
        <v>3247</v>
      </c>
    </row>
    <row r="489" spans="1:19" x14ac:dyDescent="0.25">
      <c r="A489" s="4" t="s">
        <v>4593</v>
      </c>
      <c r="B489" s="4" t="s">
        <v>2758</v>
      </c>
      <c r="C489" s="4" t="s">
        <v>4594</v>
      </c>
      <c r="D489" s="3" t="str">
        <f t="shared" si="42"/>
        <v>ITA</v>
      </c>
      <c r="E489" s="3" t="str">
        <f t="shared" si="43"/>
        <v>R</v>
      </c>
      <c r="F489" s="3" t="str">
        <f t="shared" si="44"/>
        <v>007</v>
      </c>
      <c r="G489" s="3" t="str">
        <f t="shared" si="45"/>
        <v>SB</v>
      </c>
      <c r="H489" s="3" t="str">
        <f t="shared" si="46"/>
        <v>037</v>
      </c>
      <c r="I489" s="3" t="str">
        <f t="shared" si="47"/>
        <v>00</v>
      </c>
      <c r="L489" s="3" t="s">
        <v>3309</v>
      </c>
      <c r="R489" s="3" t="s">
        <v>4595</v>
      </c>
      <c r="S489" s="15" t="s">
        <v>3247</v>
      </c>
    </row>
    <row r="490" spans="1:19" x14ac:dyDescent="0.25">
      <c r="A490" s="4" t="s">
        <v>4596</v>
      </c>
      <c r="B490" s="4" t="s">
        <v>2758</v>
      </c>
      <c r="C490" s="4" t="s">
        <v>4597</v>
      </c>
      <c r="D490" s="3" t="str">
        <f t="shared" si="42"/>
        <v>ITA</v>
      </c>
      <c r="E490" s="3" t="str">
        <f t="shared" si="43"/>
        <v>D</v>
      </c>
      <c r="F490" s="3" t="str">
        <f t="shared" si="44"/>
        <v>011</v>
      </c>
      <c r="G490" s="3" t="str">
        <f t="shared" si="45"/>
        <v>DE</v>
      </c>
      <c r="H490" s="3" t="str">
        <f t="shared" si="46"/>
        <v>040</v>
      </c>
      <c r="I490" s="3" t="str">
        <f t="shared" si="47"/>
        <v>00</v>
      </c>
      <c r="L490" s="3" t="s">
        <v>3309</v>
      </c>
      <c r="R490" s="3" t="s">
        <v>4598</v>
      </c>
      <c r="S490" s="15" t="s">
        <v>3247</v>
      </c>
    </row>
    <row r="491" spans="1:19" ht="60" x14ac:dyDescent="0.25">
      <c r="A491" s="4" t="s">
        <v>4599</v>
      </c>
      <c r="B491" s="4" t="s">
        <v>2758</v>
      </c>
      <c r="C491" s="4" t="s">
        <v>4600</v>
      </c>
      <c r="D491" s="3" t="str">
        <f t="shared" si="42"/>
        <v>ITA</v>
      </c>
      <c r="E491" s="3" t="str">
        <f t="shared" si="43"/>
        <v>H</v>
      </c>
      <c r="F491" s="3" t="str">
        <f t="shared" si="44"/>
        <v>001</v>
      </c>
      <c r="G491" s="3" t="str">
        <f t="shared" si="45"/>
        <v>DE</v>
      </c>
      <c r="H491" s="3" t="str">
        <f t="shared" si="46"/>
        <v>041</v>
      </c>
      <c r="I491" s="3" t="str">
        <f t="shared" si="47"/>
        <v>00</v>
      </c>
      <c r="L491" s="3" t="s">
        <v>3309</v>
      </c>
      <c r="R491" s="3" t="s">
        <v>4601</v>
      </c>
      <c r="S491" s="15" t="s">
        <v>3247</v>
      </c>
    </row>
    <row r="492" spans="1:19" x14ac:dyDescent="0.25">
      <c r="A492" s="4" t="s">
        <v>4602</v>
      </c>
      <c r="B492" s="4" t="s">
        <v>2758</v>
      </c>
      <c r="C492" s="4" t="s">
        <v>886</v>
      </c>
      <c r="D492" s="3" t="str">
        <f t="shared" si="42"/>
        <v>ITA</v>
      </c>
      <c r="E492" s="3" t="str">
        <f t="shared" si="43"/>
        <v>X</v>
      </c>
      <c r="F492" s="3" t="str">
        <f t="shared" si="44"/>
        <v>003</v>
      </c>
      <c r="G492" s="3" t="str">
        <f t="shared" si="45"/>
        <v>ST</v>
      </c>
      <c r="H492" s="3" t="str">
        <f t="shared" si="46"/>
        <v>000</v>
      </c>
      <c r="I492" s="3" t="str">
        <f t="shared" si="47"/>
        <v>00</v>
      </c>
      <c r="L492" s="3" t="s">
        <v>3309</v>
      </c>
      <c r="R492" s="3" t="s">
        <v>4603</v>
      </c>
      <c r="S492" s="15" t="s">
        <v>3247</v>
      </c>
    </row>
    <row r="493" spans="1:19" x14ac:dyDescent="0.25">
      <c r="A493" s="4" t="s">
        <v>4604</v>
      </c>
      <c r="B493" s="4" t="s">
        <v>2758</v>
      </c>
      <c r="C493" s="4" t="s">
        <v>4605</v>
      </c>
      <c r="D493" s="3" t="str">
        <f t="shared" si="42"/>
        <v>ITA</v>
      </c>
      <c r="E493" s="3" t="str">
        <f t="shared" si="43"/>
        <v>P</v>
      </c>
      <c r="F493" s="3" t="str">
        <f t="shared" si="44"/>
        <v>008</v>
      </c>
      <c r="G493" s="3" t="str">
        <f t="shared" si="45"/>
        <v>HP</v>
      </c>
      <c r="H493" s="3" t="str">
        <f t="shared" si="46"/>
        <v>042</v>
      </c>
      <c r="I493" s="3" t="str">
        <f t="shared" si="47"/>
        <v>00</v>
      </c>
      <c r="L493" s="3" t="s">
        <v>3309</v>
      </c>
      <c r="R493" s="3" t="s">
        <v>4606</v>
      </c>
      <c r="S493" s="15" t="s">
        <v>3247</v>
      </c>
    </row>
    <row r="494" spans="1:19" x14ac:dyDescent="0.25">
      <c r="A494" s="4" t="s">
        <v>4607</v>
      </c>
      <c r="B494" s="4" t="s">
        <v>2758</v>
      </c>
      <c r="C494" s="4" t="s">
        <v>4608</v>
      </c>
      <c r="D494" s="3" t="str">
        <f t="shared" si="42"/>
        <v>ITA</v>
      </c>
      <c r="E494" s="3" t="str">
        <f t="shared" si="43"/>
        <v>Z</v>
      </c>
      <c r="F494" s="3" t="str">
        <f t="shared" si="44"/>
        <v>501</v>
      </c>
      <c r="G494" s="3" t="str">
        <f t="shared" si="45"/>
        <v>HI</v>
      </c>
      <c r="H494" s="3" t="str">
        <f t="shared" si="46"/>
        <v>043</v>
      </c>
      <c r="I494" s="3" t="str">
        <f t="shared" si="47"/>
        <v>00</v>
      </c>
      <c r="L494" s="3" t="s">
        <v>3309</v>
      </c>
      <c r="R494" s="3" t="s">
        <v>4609</v>
      </c>
      <c r="S494" s="15" t="s">
        <v>3247</v>
      </c>
    </row>
    <row r="495" spans="1:19" x14ac:dyDescent="0.25">
      <c r="A495" s="4" t="s">
        <v>4610</v>
      </c>
      <c r="B495" s="4" t="s">
        <v>2758</v>
      </c>
      <c r="C495" s="4" t="s">
        <v>4611</v>
      </c>
      <c r="D495" s="3" t="str">
        <f t="shared" si="42"/>
        <v>ITA</v>
      </c>
      <c r="E495" s="3" t="str">
        <f t="shared" si="43"/>
        <v>P</v>
      </c>
      <c r="F495" s="3" t="str">
        <f t="shared" si="44"/>
        <v>009</v>
      </c>
      <c r="G495" s="3" t="str">
        <f t="shared" si="45"/>
        <v>HP</v>
      </c>
      <c r="H495" s="3" t="str">
        <f t="shared" si="46"/>
        <v>044</v>
      </c>
      <c r="I495" s="3" t="str">
        <f t="shared" si="47"/>
        <v>00</v>
      </c>
      <c r="L495" s="3" t="s">
        <v>3309</v>
      </c>
      <c r="R495" s="3" t="s">
        <v>4612</v>
      </c>
      <c r="S495" s="15" t="s">
        <v>3247</v>
      </c>
    </row>
    <row r="496" spans="1:19" ht="30" x14ac:dyDescent="0.25">
      <c r="A496" s="4" t="s">
        <v>4613</v>
      </c>
      <c r="B496" s="4" t="s">
        <v>2758</v>
      </c>
      <c r="C496" s="4" t="s">
        <v>4614</v>
      </c>
      <c r="D496" s="3" t="str">
        <f t="shared" si="42"/>
        <v>ITA</v>
      </c>
      <c r="E496" s="3" t="str">
        <f t="shared" si="43"/>
        <v>D</v>
      </c>
      <c r="F496" s="3" t="str">
        <f t="shared" si="44"/>
        <v>012</v>
      </c>
      <c r="G496" s="3" t="str">
        <f t="shared" si="45"/>
        <v>HP</v>
      </c>
      <c r="H496" s="3" t="str">
        <f t="shared" si="46"/>
        <v>045</v>
      </c>
      <c r="I496" s="3" t="str">
        <f t="shared" si="47"/>
        <v>00</v>
      </c>
      <c r="L496" s="3" t="s">
        <v>3309</v>
      </c>
      <c r="R496" s="3" t="s">
        <v>4615</v>
      </c>
      <c r="S496" s="15" t="s">
        <v>3247</v>
      </c>
    </row>
    <row r="497" spans="1:19" x14ac:dyDescent="0.25">
      <c r="A497" s="4" t="s">
        <v>4616</v>
      </c>
      <c r="B497" s="4" t="s">
        <v>2758</v>
      </c>
      <c r="C497" s="4" t="s">
        <v>4617</v>
      </c>
      <c r="D497" s="3" t="str">
        <f t="shared" si="42"/>
        <v>ITA</v>
      </c>
      <c r="E497" s="3" t="str">
        <f t="shared" si="43"/>
        <v>B</v>
      </c>
      <c r="F497" s="3" t="str">
        <f t="shared" si="44"/>
        <v>105</v>
      </c>
      <c r="G497" s="3" t="str">
        <f t="shared" si="45"/>
        <v>DL</v>
      </c>
      <c r="H497" s="3" t="str">
        <f t="shared" si="46"/>
        <v>000</v>
      </c>
      <c r="I497" s="3" t="str">
        <f t="shared" si="47"/>
        <v>00</v>
      </c>
      <c r="L497" s="3" t="s">
        <v>3309</v>
      </c>
      <c r="R497" s="3" t="s">
        <v>4618</v>
      </c>
      <c r="S497" s="15" t="s">
        <v>3247</v>
      </c>
    </row>
    <row r="498" spans="1:19" x14ac:dyDescent="0.25">
      <c r="A498" s="4" t="s">
        <v>4619</v>
      </c>
      <c r="B498" s="4" t="s">
        <v>2758</v>
      </c>
      <c r="C498" s="4" t="s">
        <v>4620</v>
      </c>
      <c r="D498" s="3" t="str">
        <f t="shared" si="42"/>
        <v>ITA</v>
      </c>
      <c r="E498" s="3" t="str">
        <f t="shared" si="43"/>
        <v>Y</v>
      </c>
      <c r="F498" s="3" t="str">
        <f t="shared" si="44"/>
        <v>009</v>
      </c>
      <c r="G498" s="3" t="str">
        <f t="shared" si="45"/>
        <v>SM</v>
      </c>
      <c r="H498" s="3" t="str">
        <f t="shared" si="46"/>
        <v>000</v>
      </c>
      <c r="I498" s="3" t="str">
        <f t="shared" si="47"/>
        <v>00</v>
      </c>
      <c r="L498" s="3" t="s">
        <v>3309</v>
      </c>
      <c r="R498" s="3" t="s">
        <v>4621</v>
      </c>
      <c r="S498" s="15" t="s">
        <v>3247</v>
      </c>
    </row>
    <row r="499" spans="1:19" x14ac:dyDescent="0.25">
      <c r="A499" s="4" t="s">
        <v>4622</v>
      </c>
      <c r="B499" s="4" t="s">
        <v>2758</v>
      </c>
      <c r="C499" s="4" t="s">
        <v>4623</v>
      </c>
      <c r="D499" s="3" t="str">
        <f t="shared" si="42"/>
        <v>ITA</v>
      </c>
      <c r="E499" s="3" t="str">
        <f t="shared" si="43"/>
        <v>D</v>
      </c>
      <c r="F499" s="3" t="str">
        <f t="shared" si="44"/>
        <v>043</v>
      </c>
      <c r="G499" s="3" t="str">
        <f t="shared" si="45"/>
        <v>ST</v>
      </c>
      <c r="H499" s="3" t="str">
        <f t="shared" si="46"/>
        <v>000</v>
      </c>
      <c r="I499" s="3" t="str">
        <f t="shared" si="47"/>
        <v>00</v>
      </c>
      <c r="L499" s="3" t="s">
        <v>3309</v>
      </c>
      <c r="R499" s="3" t="s">
        <v>4624</v>
      </c>
      <c r="S499" s="15" t="s">
        <v>3247</v>
      </c>
    </row>
    <row r="500" spans="1:19" ht="120" x14ac:dyDescent="0.25">
      <c r="A500" s="4" t="s">
        <v>4625</v>
      </c>
      <c r="B500" s="4" t="s">
        <v>2758</v>
      </c>
      <c r="C500" s="4" t="s">
        <v>4626</v>
      </c>
      <c r="D500" s="3" t="str">
        <f t="shared" si="42"/>
        <v>ITA</v>
      </c>
      <c r="E500" s="3" t="str">
        <f t="shared" si="43"/>
        <v>H</v>
      </c>
      <c r="F500" s="3" t="str">
        <f t="shared" si="44"/>
        <v>002</v>
      </c>
      <c r="G500" s="3" t="str">
        <f t="shared" si="45"/>
        <v>DE</v>
      </c>
      <c r="H500" s="3" t="str">
        <f t="shared" si="46"/>
        <v>046</v>
      </c>
      <c r="I500" s="3" t="str">
        <f t="shared" si="47"/>
        <v>00</v>
      </c>
      <c r="L500" s="3" t="s">
        <v>3309</v>
      </c>
      <c r="R500" s="3" t="s">
        <v>4627</v>
      </c>
      <c r="S500" s="15" t="s">
        <v>3247</v>
      </c>
    </row>
    <row r="501" spans="1:19" x14ac:dyDescent="0.25">
      <c r="A501" s="16" t="s">
        <v>4628</v>
      </c>
      <c r="B501" s="4" t="s">
        <v>2758</v>
      </c>
      <c r="C501" s="4" t="s">
        <v>4629</v>
      </c>
      <c r="D501" s="3" t="str">
        <f t="shared" si="42"/>
        <v>ITA</v>
      </c>
      <c r="E501" s="3" t="str">
        <f t="shared" si="43"/>
        <v>Y</v>
      </c>
      <c r="F501" s="3" t="str">
        <f t="shared" si="44"/>
        <v>006</v>
      </c>
      <c r="G501" s="3" t="str">
        <f t="shared" si="45"/>
        <v>XI</v>
      </c>
      <c r="H501" s="3" t="str">
        <f t="shared" si="46"/>
        <v>000</v>
      </c>
      <c r="I501" s="3" t="str">
        <f t="shared" si="47"/>
        <v>00</v>
      </c>
      <c r="L501" s="3" t="s">
        <v>3309</v>
      </c>
      <c r="R501" s="3" t="s">
        <v>4630</v>
      </c>
      <c r="S501" s="15" t="s">
        <v>3247</v>
      </c>
    </row>
    <row r="502" spans="1:19" x14ac:dyDescent="0.25">
      <c r="A502" s="4" t="s">
        <v>4631</v>
      </c>
      <c r="B502" s="4" t="s">
        <v>2758</v>
      </c>
      <c r="C502" s="4" t="s">
        <v>4632</v>
      </c>
      <c r="D502" s="3" t="str">
        <f t="shared" si="42"/>
        <v>ITA</v>
      </c>
      <c r="E502" s="3" t="str">
        <f t="shared" si="43"/>
        <v>Z</v>
      </c>
      <c r="F502" s="3" t="str">
        <f t="shared" si="44"/>
        <v>502</v>
      </c>
      <c r="G502" s="3" t="str">
        <f t="shared" si="45"/>
        <v>HI</v>
      </c>
      <c r="H502" s="3" t="str">
        <f t="shared" si="46"/>
        <v>000</v>
      </c>
      <c r="I502" s="3" t="str">
        <f t="shared" si="47"/>
        <v>00</v>
      </c>
      <c r="L502" s="3" t="s">
        <v>3309</v>
      </c>
      <c r="R502" s="3" t="s">
        <v>4633</v>
      </c>
      <c r="S502" s="15" t="s">
        <v>3247</v>
      </c>
    </row>
    <row r="503" spans="1:19" x14ac:dyDescent="0.25">
      <c r="A503" s="4" t="s">
        <v>4634</v>
      </c>
      <c r="B503" s="4" t="s">
        <v>2758</v>
      </c>
      <c r="C503" s="4" t="s">
        <v>860</v>
      </c>
      <c r="D503" s="3" t="str">
        <f t="shared" si="42"/>
        <v>ITA</v>
      </c>
      <c r="E503" s="3" t="str">
        <f t="shared" si="43"/>
        <v>Z</v>
      </c>
      <c r="F503" s="3" t="str">
        <f t="shared" si="44"/>
        <v>005</v>
      </c>
      <c r="G503" s="3" t="str">
        <f t="shared" si="45"/>
        <v>ST</v>
      </c>
      <c r="H503" s="3" t="str">
        <f t="shared" si="46"/>
        <v>000</v>
      </c>
      <c r="I503" s="3" t="str">
        <f t="shared" si="47"/>
        <v>00</v>
      </c>
      <c r="L503" s="3" t="s">
        <v>3309</v>
      </c>
      <c r="R503" s="3" t="s">
        <v>4635</v>
      </c>
      <c r="S503" s="15" t="s">
        <v>3247</v>
      </c>
    </row>
    <row r="504" spans="1:19" x14ac:dyDescent="0.25">
      <c r="A504" s="4" t="s">
        <v>4636</v>
      </c>
      <c r="B504" s="4" t="s">
        <v>2758</v>
      </c>
      <c r="C504" s="4" t="s">
        <v>4637</v>
      </c>
      <c r="D504" s="3" t="str">
        <f t="shared" si="42"/>
        <v>ITA</v>
      </c>
      <c r="E504" s="3" t="str">
        <f t="shared" si="43"/>
        <v>A</v>
      </c>
      <c r="F504" s="3" t="str">
        <f t="shared" si="44"/>
        <v>100</v>
      </c>
      <c r="G504" s="3" t="str">
        <f t="shared" si="45"/>
        <v>DL</v>
      </c>
      <c r="H504" s="3" t="str">
        <f t="shared" si="46"/>
        <v>003</v>
      </c>
      <c r="I504" s="3" t="str">
        <f t="shared" si="47"/>
        <v>00</v>
      </c>
      <c r="L504" s="3" t="s">
        <v>3309</v>
      </c>
      <c r="R504" s="3" t="s">
        <v>4638</v>
      </c>
      <c r="S504" s="15" t="s">
        <v>3247</v>
      </c>
    </row>
    <row r="505" spans="1:19" x14ac:dyDescent="0.25">
      <c r="A505" s="4" t="s">
        <v>4639</v>
      </c>
      <c r="B505" s="4" t="s">
        <v>2758</v>
      </c>
      <c r="C505" s="4" t="s">
        <v>4640</v>
      </c>
      <c r="D505" s="3" t="str">
        <f t="shared" si="42"/>
        <v>ITA</v>
      </c>
      <c r="E505" s="3" t="str">
        <f t="shared" si="43"/>
        <v>A</v>
      </c>
      <c r="F505" s="3" t="str">
        <f t="shared" si="44"/>
        <v>041</v>
      </c>
      <c r="G505" s="3" t="str">
        <f t="shared" si="45"/>
        <v>DL</v>
      </c>
      <c r="H505" s="3" t="str">
        <f t="shared" si="46"/>
        <v>000</v>
      </c>
      <c r="I505" s="3" t="str">
        <f t="shared" si="47"/>
        <v>00</v>
      </c>
      <c r="L505" s="3" t="s">
        <v>3309</v>
      </c>
      <c r="R505" s="3" t="s">
        <v>4641</v>
      </c>
      <c r="S505" s="15" t="s">
        <v>3247</v>
      </c>
    </row>
    <row r="506" spans="1:19" x14ac:dyDescent="0.25">
      <c r="A506" s="4" t="s">
        <v>4642</v>
      </c>
      <c r="B506" s="4" t="s">
        <v>2758</v>
      </c>
      <c r="C506" s="4" t="s">
        <v>4643</v>
      </c>
      <c r="D506" s="3" t="str">
        <f t="shared" si="42"/>
        <v>ITA</v>
      </c>
      <c r="E506" s="3" t="str">
        <f t="shared" si="43"/>
        <v>W</v>
      </c>
      <c r="F506" s="3" t="str">
        <f t="shared" si="44"/>
        <v>004</v>
      </c>
      <c r="G506" s="3" t="str">
        <f t="shared" si="45"/>
        <v>ST</v>
      </c>
      <c r="H506" s="3" t="str">
        <f t="shared" si="46"/>
        <v>000</v>
      </c>
      <c r="I506" s="3" t="str">
        <f t="shared" si="47"/>
        <v>00</v>
      </c>
      <c r="L506" s="3" t="s">
        <v>3309</v>
      </c>
      <c r="R506" s="3" t="s">
        <v>4644</v>
      </c>
      <c r="S506" s="15" t="s">
        <v>3247</v>
      </c>
    </row>
    <row r="507" spans="1:19" x14ac:dyDescent="0.25">
      <c r="A507" s="4" t="s">
        <v>4645</v>
      </c>
      <c r="B507" s="4" t="s">
        <v>2758</v>
      </c>
      <c r="C507" s="4" t="s">
        <v>4646</v>
      </c>
      <c r="D507" s="3" t="str">
        <f t="shared" si="42"/>
        <v>ITS</v>
      </c>
      <c r="E507" s="3" t="str">
        <f t="shared" si="43"/>
        <v>A</v>
      </c>
      <c r="F507" s="3" t="str">
        <f t="shared" si="44"/>
        <v>001</v>
      </c>
      <c r="G507" s="3" t="str">
        <f t="shared" si="45"/>
        <v>01</v>
      </c>
      <c r="H507" s="3" t="str">
        <f t="shared" si="46"/>
        <v>002</v>
      </c>
      <c r="I507" s="3" t="str">
        <f t="shared" si="47"/>
        <v>02</v>
      </c>
      <c r="L507" s="3" t="s">
        <v>3309</v>
      </c>
      <c r="R507" s="3" t="s">
        <v>4647</v>
      </c>
      <c r="S507" s="15" t="s">
        <v>3247</v>
      </c>
    </row>
    <row r="508" spans="1:19" x14ac:dyDescent="0.25">
      <c r="A508" s="4" t="s">
        <v>4648</v>
      </c>
      <c r="B508" s="4" t="s">
        <v>2758</v>
      </c>
      <c r="C508" s="4" t="s">
        <v>4649</v>
      </c>
      <c r="D508" s="3" t="str">
        <f t="shared" si="42"/>
        <v>ITS</v>
      </c>
      <c r="E508" s="3" t="str">
        <f t="shared" si="43"/>
        <v>A</v>
      </c>
      <c r="F508" s="3" t="str">
        <f t="shared" si="44"/>
        <v>008</v>
      </c>
      <c r="G508" s="3" t="str">
        <f t="shared" si="45"/>
        <v>01</v>
      </c>
      <c r="H508" s="3" t="str">
        <f t="shared" si="46"/>
        <v>002</v>
      </c>
      <c r="I508" s="3" t="str">
        <f t="shared" si="47"/>
        <v>02</v>
      </c>
      <c r="L508" s="3" t="s">
        <v>3309</v>
      </c>
      <c r="R508" s="3" t="s">
        <v>4650</v>
      </c>
      <c r="S508" s="15" t="s">
        <v>3247</v>
      </c>
    </row>
    <row r="509" spans="1:19" x14ac:dyDescent="0.25">
      <c r="A509" s="4" t="s">
        <v>4651</v>
      </c>
      <c r="B509" s="4" t="s">
        <v>2758</v>
      </c>
      <c r="C509" s="4" t="s">
        <v>4652</v>
      </c>
      <c r="D509" s="3" t="str">
        <f t="shared" si="42"/>
        <v>ITS</v>
      </c>
      <c r="E509" s="3" t="str">
        <f t="shared" si="43"/>
        <v>C</v>
      </c>
      <c r="F509" s="3" t="str">
        <f t="shared" si="44"/>
        <v>009</v>
      </c>
      <c r="G509" s="3" t="str">
        <f t="shared" si="45"/>
        <v>04</v>
      </c>
      <c r="H509" s="3" t="str">
        <f t="shared" si="46"/>
        <v>000</v>
      </c>
      <c r="I509" s="3" t="str">
        <f t="shared" si="47"/>
        <v>00</v>
      </c>
      <c r="L509" s="3" t="s">
        <v>3309</v>
      </c>
      <c r="R509" s="3" t="s">
        <v>4653</v>
      </c>
      <c r="S509" s="15" t="s">
        <v>3247</v>
      </c>
    </row>
    <row r="510" spans="1:19" ht="30" x14ac:dyDescent="0.25">
      <c r="A510" s="4" t="s">
        <v>4654</v>
      </c>
      <c r="B510" s="4" t="s">
        <v>2758</v>
      </c>
      <c r="C510" s="4" t="s">
        <v>4655</v>
      </c>
      <c r="D510" s="3" t="str">
        <f t="shared" si="42"/>
        <v>ITA</v>
      </c>
      <c r="E510" s="3" t="str">
        <f t="shared" si="43"/>
        <v>H</v>
      </c>
      <c r="F510" s="3" t="str">
        <f t="shared" si="44"/>
        <v>003</v>
      </c>
      <c r="G510" s="3" t="str">
        <f t="shared" si="45"/>
        <v>IN</v>
      </c>
      <c r="H510" s="3" t="str">
        <f t="shared" si="46"/>
        <v>000</v>
      </c>
      <c r="I510" s="3" t="str">
        <f t="shared" si="47"/>
        <v>00</v>
      </c>
      <c r="L510" s="3" t="s">
        <v>3309</v>
      </c>
      <c r="R510" s="3" t="s">
        <v>4656</v>
      </c>
      <c r="S510" s="15" t="s">
        <v>3247</v>
      </c>
    </row>
    <row r="511" spans="1:19" x14ac:dyDescent="0.25">
      <c r="A511" s="4" t="s">
        <v>4657</v>
      </c>
      <c r="B511" s="4" t="s">
        <v>2758</v>
      </c>
      <c r="C511" s="4" t="s">
        <v>4658</v>
      </c>
      <c r="D511" s="3" t="str">
        <f t="shared" si="42"/>
        <v>ITS</v>
      </c>
      <c r="E511" s="3" t="str">
        <f t="shared" si="43"/>
        <v>A</v>
      </c>
      <c r="F511" s="3" t="str">
        <f t="shared" si="44"/>
        <v>100</v>
      </c>
      <c r="G511" s="3" t="str">
        <f t="shared" si="45"/>
        <v>10</v>
      </c>
      <c r="H511" s="3" t="str">
        <f t="shared" si="46"/>
        <v>000</v>
      </c>
      <c r="I511" s="3" t="str">
        <f t="shared" si="47"/>
        <v>0</v>
      </c>
      <c r="L511" s="3" t="s">
        <v>3309</v>
      </c>
      <c r="R511" s="3" t="s">
        <v>4659</v>
      </c>
      <c r="S511" s="15" t="s">
        <v>3247</v>
      </c>
    </row>
    <row r="512" spans="1:19" x14ac:dyDescent="0.25">
      <c r="A512" s="4" t="s">
        <v>4660</v>
      </c>
      <c r="B512" s="4" t="s">
        <v>2758</v>
      </c>
      <c r="C512" s="4" t="s">
        <v>4643</v>
      </c>
      <c r="D512" s="3" t="str">
        <f t="shared" si="42"/>
        <v>ITA</v>
      </c>
      <c r="E512" s="3" t="str">
        <f t="shared" si="43"/>
        <v>X</v>
      </c>
      <c r="F512" s="3" t="str">
        <f t="shared" si="44"/>
        <v>009</v>
      </c>
      <c r="G512" s="3" t="str">
        <f t="shared" si="45"/>
        <v>ST</v>
      </c>
      <c r="H512" s="3" t="str">
        <f t="shared" si="46"/>
        <v>000</v>
      </c>
      <c r="I512" s="3" t="str">
        <f t="shared" si="47"/>
        <v>00</v>
      </c>
      <c r="L512" s="3" t="s">
        <v>3309</v>
      </c>
      <c r="R512" s="3" t="s">
        <v>4661</v>
      </c>
      <c r="S512" s="15" t="s">
        <v>3247</v>
      </c>
    </row>
    <row r="513" spans="1:19" x14ac:dyDescent="0.25">
      <c r="A513" s="4" t="s">
        <v>4662</v>
      </c>
      <c r="B513" s="4" t="s">
        <v>2758</v>
      </c>
      <c r="C513" s="4" t="s">
        <v>4663</v>
      </c>
      <c r="D513" s="3" t="str">
        <f t="shared" si="42"/>
        <v>ITA</v>
      </c>
      <c r="E513" s="3" t="str">
        <f t="shared" si="43"/>
        <v>Z</v>
      </c>
      <c r="F513" s="3" t="str">
        <f t="shared" si="44"/>
        <v>601</v>
      </c>
      <c r="G513" s="3" t="str">
        <f t="shared" si="45"/>
        <v>ST</v>
      </c>
      <c r="H513" s="3" t="str">
        <f t="shared" si="46"/>
        <v>000</v>
      </c>
      <c r="I513" s="3" t="str">
        <f t="shared" si="47"/>
        <v>00</v>
      </c>
      <c r="L513" s="3" t="s">
        <v>3309</v>
      </c>
      <c r="R513" s="3" t="s">
        <v>4664</v>
      </c>
      <c r="S513" s="15" t="s">
        <v>3247</v>
      </c>
    </row>
    <row r="514" spans="1:19" x14ac:dyDescent="0.25">
      <c r="A514" s="4" t="s">
        <v>4665</v>
      </c>
      <c r="B514" s="4" t="s">
        <v>2758</v>
      </c>
      <c r="C514" s="4" t="s">
        <v>840</v>
      </c>
      <c r="D514" s="3" t="str">
        <f t="shared" ref="D514:D577" si="48">LEFT(A514,3)</f>
        <v>ITA</v>
      </c>
      <c r="E514" s="3" t="str">
        <f t="shared" ref="E514:E577" si="49">MID(A514,4,1)</f>
        <v>V</v>
      </c>
      <c r="F514" s="3" t="str">
        <f t="shared" ref="F514:F577" si="50">MID(A514,5,3)</f>
        <v>010</v>
      </c>
      <c r="G514" s="3" t="str">
        <f t="shared" ref="G514:G577" si="51">MID(A514,8,2)</f>
        <v>ST</v>
      </c>
      <c r="H514" s="3" t="str">
        <f t="shared" ref="H514:H577" si="52">MID(A514,10,3)</f>
        <v>000</v>
      </c>
      <c r="I514" s="3" t="str">
        <f t="shared" ref="I514:I577" si="53">MID(A514,13,2)</f>
        <v>00</v>
      </c>
      <c r="L514" s="3" t="s">
        <v>3309</v>
      </c>
      <c r="R514" s="3" t="s">
        <v>4666</v>
      </c>
      <c r="S514" s="15" t="s">
        <v>3247</v>
      </c>
    </row>
    <row r="515" spans="1:19" x14ac:dyDescent="0.25">
      <c r="A515" s="4" t="s">
        <v>4667</v>
      </c>
      <c r="B515" s="4" t="s">
        <v>2758</v>
      </c>
      <c r="C515" s="4" t="s">
        <v>4668</v>
      </c>
      <c r="D515" s="3" t="str">
        <f t="shared" si="48"/>
        <v>ITA</v>
      </c>
      <c r="E515" s="3" t="str">
        <f t="shared" si="49"/>
        <v>V</v>
      </c>
      <c r="F515" s="3" t="str">
        <f t="shared" si="50"/>
        <v>011</v>
      </c>
      <c r="G515" s="3" t="str">
        <f t="shared" si="51"/>
        <v>ST</v>
      </c>
      <c r="H515" s="3" t="str">
        <f t="shared" si="52"/>
        <v>000</v>
      </c>
      <c r="I515" s="3" t="str">
        <f t="shared" si="53"/>
        <v>00</v>
      </c>
      <c r="L515" s="3" t="s">
        <v>3309</v>
      </c>
      <c r="R515" s="3" t="s">
        <v>4669</v>
      </c>
      <c r="S515" s="15" t="s">
        <v>3247</v>
      </c>
    </row>
    <row r="516" spans="1:19" x14ac:dyDescent="0.25">
      <c r="A516" s="4" t="s">
        <v>4670</v>
      </c>
      <c r="B516" s="4" t="s">
        <v>2758</v>
      </c>
      <c r="C516" s="4" t="s">
        <v>4671</v>
      </c>
      <c r="D516" s="3" t="str">
        <f t="shared" si="48"/>
        <v>ITA</v>
      </c>
      <c r="E516" s="3" t="str">
        <f t="shared" si="49"/>
        <v>B</v>
      </c>
      <c r="F516" s="3" t="str">
        <f t="shared" si="50"/>
        <v>106</v>
      </c>
      <c r="G516" s="3" t="str">
        <f t="shared" si="51"/>
        <v>DL</v>
      </c>
      <c r="H516" s="3" t="str">
        <f t="shared" si="52"/>
        <v>000</v>
      </c>
      <c r="I516" s="3" t="str">
        <f t="shared" si="53"/>
        <v>00</v>
      </c>
      <c r="L516" s="3" t="s">
        <v>3309</v>
      </c>
      <c r="R516" s="3" t="s">
        <v>4672</v>
      </c>
      <c r="S516" s="15" t="s">
        <v>3247</v>
      </c>
    </row>
    <row r="517" spans="1:19" x14ac:dyDescent="0.25">
      <c r="A517" s="4" t="s">
        <v>4673</v>
      </c>
      <c r="B517" s="4" t="s">
        <v>2758</v>
      </c>
      <c r="C517" s="4" t="s">
        <v>842</v>
      </c>
      <c r="D517" s="3" t="str">
        <f t="shared" si="48"/>
        <v>ITA</v>
      </c>
      <c r="E517" s="3" t="str">
        <f t="shared" si="49"/>
        <v>V</v>
      </c>
      <c r="F517" s="3" t="str">
        <f t="shared" si="50"/>
        <v>012</v>
      </c>
      <c r="G517" s="3" t="str">
        <f t="shared" si="51"/>
        <v>ST</v>
      </c>
      <c r="H517" s="3" t="str">
        <f t="shared" si="52"/>
        <v>000</v>
      </c>
      <c r="I517" s="3" t="str">
        <f t="shared" si="53"/>
        <v>00</v>
      </c>
      <c r="L517" s="3" t="s">
        <v>3309</v>
      </c>
      <c r="R517" s="3" t="s">
        <v>4674</v>
      </c>
      <c r="S517" s="15" t="s">
        <v>3247</v>
      </c>
    </row>
    <row r="518" spans="1:19" x14ac:dyDescent="0.25">
      <c r="A518" s="4" t="s">
        <v>4675</v>
      </c>
      <c r="B518" s="4" t="s">
        <v>2758</v>
      </c>
      <c r="C518" s="4" t="s">
        <v>4676</v>
      </c>
      <c r="D518" s="3" t="str">
        <f t="shared" si="48"/>
        <v>ITA</v>
      </c>
      <c r="E518" s="3" t="str">
        <f t="shared" si="49"/>
        <v>C</v>
      </c>
      <c r="F518" s="3" t="str">
        <f t="shared" si="50"/>
        <v>044</v>
      </c>
      <c r="G518" s="3" t="str">
        <f t="shared" si="51"/>
        <v>XG</v>
      </c>
      <c r="H518" s="3" t="str">
        <f t="shared" si="52"/>
        <v>047</v>
      </c>
      <c r="I518" s="3" t="str">
        <f t="shared" si="53"/>
        <v>00</v>
      </c>
      <c r="L518" s="3" t="s">
        <v>3309</v>
      </c>
      <c r="R518" s="3" t="s">
        <v>4677</v>
      </c>
      <c r="S518" s="15" t="s">
        <v>3247</v>
      </c>
    </row>
    <row r="519" spans="1:19" x14ac:dyDescent="0.25">
      <c r="A519" s="4" t="s">
        <v>4678</v>
      </c>
      <c r="B519" s="4" t="s">
        <v>2758</v>
      </c>
      <c r="C519" s="4" t="s">
        <v>4679</v>
      </c>
      <c r="D519" s="3" t="str">
        <f t="shared" si="48"/>
        <v>ITA</v>
      </c>
      <c r="E519" s="3" t="str">
        <f t="shared" si="49"/>
        <v>B</v>
      </c>
      <c r="F519" s="3" t="str">
        <f t="shared" si="50"/>
        <v>001</v>
      </c>
      <c r="G519" s="3" t="str">
        <f t="shared" si="51"/>
        <v>DL</v>
      </c>
      <c r="H519" s="3" t="str">
        <f t="shared" si="52"/>
        <v>000</v>
      </c>
      <c r="I519" s="3" t="str">
        <f t="shared" si="53"/>
        <v>00</v>
      </c>
      <c r="L519" s="3" t="s">
        <v>3309</v>
      </c>
      <c r="R519" s="3" t="s">
        <v>4680</v>
      </c>
      <c r="S519" s="15" t="s">
        <v>3247</v>
      </c>
    </row>
    <row r="520" spans="1:19" x14ac:dyDescent="0.25">
      <c r="A520" s="4" t="s">
        <v>4681</v>
      </c>
      <c r="B520" s="4" t="s">
        <v>2758</v>
      </c>
      <c r="C520" s="4" t="s">
        <v>817</v>
      </c>
      <c r="D520" s="3" t="str">
        <f t="shared" si="48"/>
        <v>ITA</v>
      </c>
      <c r="E520" s="3" t="str">
        <f t="shared" si="49"/>
        <v>P</v>
      </c>
      <c r="F520" s="3" t="str">
        <f t="shared" si="50"/>
        <v>010</v>
      </c>
      <c r="G520" s="3" t="str">
        <f t="shared" si="51"/>
        <v>HP</v>
      </c>
      <c r="H520" s="3" t="str">
        <f t="shared" si="52"/>
        <v>000</v>
      </c>
      <c r="I520" s="3" t="str">
        <f t="shared" si="53"/>
        <v>00</v>
      </c>
      <c r="L520" s="3" t="s">
        <v>3309</v>
      </c>
      <c r="R520" s="3" t="s">
        <v>4682</v>
      </c>
      <c r="S520" s="15" t="s">
        <v>3247</v>
      </c>
    </row>
    <row r="521" spans="1:19" x14ac:dyDescent="0.25">
      <c r="A521" s="4" t="s">
        <v>4683</v>
      </c>
      <c r="B521" s="4" t="s">
        <v>2758</v>
      </c>
      <c r="C521" s="4" t="s">
        <v>876</v>
      </c>
      <c r="D521" s="3" t="str">
        <f t="shared" si="48"/>
        <v>ITA</v>
      </c>
      <c r="E521" s="3" t="str">
        <f t="shared" si="49"/>
        <v>Z</v>
      </c>
      <c r="F521" s="3" t="str">
        <f t="shared" si="50"/>
        <v>503</v>
      </c>
      <c r="G521" s="3" t="str">
        <f t="shared" si="51"/>
        <v>NA</v>
      </c>
      <c r="H521" s="3" t="str">
        <f t="shared" si="52"/>
        <v>000</v>
      </c>
      <c r="I521" s="3" t="str">
        <f t="shared" si="53"/>
        <v>00</v>
      </c>
      <c r="L521" s="3" t="s">
        <v>3309</v>
      </c>
      <c r="R521" s="3" t="s">
        <v>4684</v>
      </c>
      <c r="S521" s="15" t="s">
        <v>3247</v>
      </c>
    </row>
    <row r="522" spans="1:19" x14ac:dyDescent="0.25">
      <c r="A522" s="4" t="s">
        <v>4685</v>
      </c>
      <c r="B522" s="4" t="s">
        <v>2758</v>
      </c>
      <c r="C522" s="4" t="s">
        <v>877</v>
      </c>
      <c r="D522" s="3" t="str">
        <f t="shared" si="48"/>
        <v>ITA</v>
      </c>
      <c r="E522" s="3" t="str">
        <f t="shared" si="49"/>
        <v>Z</v>
      </c>
      <c r="F522" s="3" t="str">
        <f t="shared" si="50"/>
        <v>504</v>
      </c>
      <c r="G522" s="3" t="str">
        <f t="shared" si="51"/>
        <v>NA</v>
      </c>
      <c r="H522" s="3" t="str">
        <f t="shared" si="52"/>
        <v>000</v>
      </c>
      <c r="I522" s="3" t="str">
        <f t="shared" si="53"/>
        <v>00</v>
      </c>
      <c r="L522" s="3" t="s">
        <v>3309</v>
      </c>
      <c r="R522" s="3" t="s">
        <v>4686</v>
      </c>
      <c r="S522" s="15" t="s">
        <v>3247</v>
      </c>
    </row>
    <row r="523" spans="1:19" x14ac:dyDescent="0.25">
      <c r="A523" s="4" t="s">
        <v>4687</v>
      </c>
      <c r="B523" s="4" t="s">
        <v>2758</v>
      </c>
      <c r="C523" s="4" t="s">
        <v>879</v>
      </c>
      <c r="D523" s="3" t="str">
        <f t="shared" si="48"/>
        <v>ITA</v>
      </c>
      <c r="E523" s="3" t="str">
        <f t="shared" si="49"/>
        <v>Z</v>
      </c>
      <c r="F523" s="3" t="str">
        <f t="shared" si="50"/>
        <v>701</v>
      </c>
      <c r="G523" s="3" t="str">
        <f t="shared" si="51"/>
        <v>NA</v>
      </c>
      <c r="H523" s="3" t="str">
        <f t="shared" si="52"/>
        <v>000</v>
      </c>
      <c r="I523" s="3" t="str">
        <f t="shared" si="53"/>
        <v>00</v>
      </c>
      <c r="L523" s="3" t="s">
        <v>3309</v>
      </c>
      <c r="R523" s="3" t="s">
        <v>4688</v>
      </c>
      <c r="S523" s="15" t="s">
        <v>3247</v>
      </c>
    </row>
    <row r="524" spans="1:19" x14ac:dyDescent="0.25">
      <c r="A524" s="4" t="s">
        <v>4689</v>
      </c>
      <c r="B524" s="4" t="s">
        <v>2758</v>
      </c>
      <c r="C524" s="4" t="s">
        <v>880</v>
      </c>
      <c r="D524" s="3" t="str">
        <f t="shared" si="48"/>
        <v>ITA</v>
      </c>
      <c r="E524" s="3" t="str">
        <f t="shared" si="49"/>
        <v>Z</v>
      </c>
      <c r="F524" s="3" t="str">
        <f t="shared" si="50"/>
        <v>702</v>
      </c>
      <c r="G524" s="3" t="str">
        <f t="shared" si="51"/>
        <v>NA</v>
      </c>
      <c r="H524" s="3" t="str">
        <f t="shared" si="52"/>
        <v>000</v>
      </c>
      <c r="I524" s="3" t="str">
        <f t="shared" si="53"/>
        <v>01</v>
      </c>
      <c r="L524" s="3" t="s">
        <v>3309</v>
      </c>
      <c r="R524" s="3" t="s">
        <v>4690</v>
      </c>
      <c r="S524" s="15" t="s">
        <v>3247</v>
      </c>
    </row>
    <row r="525" spans="1:19" x14ac:dyDescent="0.25">
      <c r="A525" s="4" t="s">
        <v>4691</v>
      </c>
      <c r="B525" s="4" t="s">
        <v>2758</v>
      </c>
      <c r="C525" s="4" t="s">
        <v>881</v>
      </c>
      <c r="D525" s="3" t="str">
        <f t="shared" si="48"/>
        <v>ITA</v>
      </c>
      <c r="E525" s="3" t="str">
        <f t="shared" si="49"/>
        <v>Z</v>
      </c>
      <c r="F525" s="3" t="str">
        <f t="shared" si="50"/>
        <v>703</v>
      </c>
      <c r="G525" s="3" t="str">
        <f t="shared" si="51"/>
        <v>NA</v>
      </c>
      <c r="H525" s="3" t="str">
        <f t="shared" si="52"/>
        <v>000</v>
      </c>
      <c r="I525" s="3" t="str">
        <f t="shared" si="53"/>
        <v>02</v>
      </c>
      <c r="L525" s="3" t="s">
        <v>3309</v>
      </c>
      <c r="R525" s="3" t="s">
        <v>4692</v>
      </c>
      <c r="S525" s="15" t="s">
        <v>3247</v>
      </c>
    </row>
    <row r="526" spans="1:19" x14ac:dyDescent="0.25">
      <c r="A526" s="4" t="s">
        <v>4693</v>
      </c>
      <c r="B526" s="4" t="s">
        <v>2758</v>
      </c>
      <c r="C526" s="4" t="s">
        <v>882</v>
      </c>
      <c r="D526" s="3" t="str">
        <f t="shared" si="48"/>
        <v>ITA</v>
      </c>
      <c r="E526" s="3" t="str">
        <f t="shared" si="49"/>
        <v>Z</v>
      </c>
      <c r="F526" s="3" t="str">
        <f t="shared" si="50"/>
        <v>704</v>
      </c>
      <c r="G526" s="3" t="str">
        <f t="shared" si="51"/>
        <v>NA</v>
      </c>
      <c r="H526" s="3" t="str">
        <f t="shared" si="52"/>
        <v>000</v>
      </c>
      <c r="I526" s="3" t="str">
        <f t="shared" si="53"/>
        <v>03</v>
      </c>
      <c r="L526" s="3" t="s">
        <v>3309</v>
      </c>
      <c r="R526" s="3" t="s">
        <v>4694</v>
      </c>
      <c r="S526" s="15" t="s">
        <v>3247</v>
      </c>
    </row>
    <row r="527" spans="1:19" x14ac:dyDescent="0.25">
      <c r="A527" s="4" t="s">
        <v>4695</v>
      </c>
      <c r="B527" s="4" t="s">
        <v>2758</v>
      </c>
      <c r="C527" s="4" t="s">
        <v>883</v>
      </c>
      <c r="D527" s="3" t="str">
        <f t="shared" si="48"/>
        <v>ITA</v>
      </c>
      <c r="E527" s="3" t="str">
        <f t="shared" si="49"/>
        <v>Z</v>
      </c>
      <c r="F527" s="3" t="str">
        <f t="shared" si="50"/>
        <v>705</v>
      </c>
      <c r="G527" s="3" t="str">
        <f t="shared" si="51"/>
        <v>NA</v>
      </c>
      <c r="H527" s="3" t="str">
        <f t="shared" si="52"/>
        <v>000</v>
      </c>
      <c r="I527" s="3" t="str">
        <f t="shared" si="53"/>
        <v>04</v>
      </c>
      <c r="L527" s="3" t="s">
        <v>3309</v>
      </c>
      <c r="R527" s="3" t="s">
        <v>4696</v>
      </c>
      <c r="S527" s="15" t="s">
        <v>3247</v>
      </c>
    </row>
    <row r="528" spans="1:19" ht="45" x14ac:dyDescent="0.25">
      <c r="A528" s="4" t="s">
        <v>4697</v>
      </c>
      <c r="B528" s="4" t="s">
        <v>2758</v>
      </c>
      <c r="C528" s="4" t="s">
        <v>802</v>
      </c>
      <c r="D528" s="3" t="str">
        <f t="shared" si="48"/>
        <v>ITA</v>
      </c>
      <c r="E528" s="3" t="str">
        <f t="shared" si="49"/>
        <v>D</v>
      </c>
      <c r="F528" s="3" t="str">
        <f t="shared" si="50"/>
        <v>014</v>
      </c>
      <c r="G528" s="3" t="str">
        <f t="shared" si="51"/>
        <v>NA</v>
      </c>
      <c r="H528" s="3" t="str">
        <f t="shared" si="52"/>
        <v>000</v>
      </c>
      <c r="I528" s="3" t="str">
        <f t="shared" si="53"/>
        <v>00</v>
      </c>
      <c r="L528" s="3" t="s">
        <v>3309</v>
      </c>
      <c r="R528" s="3" t="s">
        <v>4698</v>
      </c>
      <c r="S528" s="15" t="s">
        <v>3247</v>
      </c>
    </row>
    <row r="529" spans="1:19" x14ac:dyDescent="0.25">
      <c r="A529" s="4" t="s">
        <v>4699</v>
      </c>
      <c r="B529" s="4" t="s">
        <v>2758</v>
      </c>
      <c r="C529" s="4" t="s">
        <v>2995</v>
      </c>
      <c r="D529" s="3" t="str">
        <f t="shared" si="48"/>
        <v>ITA</v>
      </c>
      <c r="E529" s="3" t="str">
        <f t="shared" si="49"/>
        <v>I</v>
      </c>
      <c r="F529" s="3" t="str">
        <f t="shared" si="50"/>
        <v>002</v>
      </c>
      <c r="G529" s="3" t="str">
        <f t="shared" si="51"/>
        <v>MX</v>
      </c>
      <c r="H529" s="3" t="str">
        <f t="shared" si="52"/>
        <v>048</v>
      </c>
      <c r="I529" s="3" t="str">
        <f t="shared" si="53"/>
        <v>00</v>
      </c>
      <c r="L529" s="3" t="s">
        <v>3309</v>
      </c>
      <c r="R529" s="3" t="s">
        <v>4700</v>
      </c>
      <c r="S529" s="15" t="s">
        <v>3247</v>
      </c>
    </row>
    <row r="530" spans="1:19" x14ac:dyDescent="0.25">
      <c r="A530" s="4" t="s">
        <v>4701</v>
      </c>
      <c r="B530" s="4" t="s">
        <v>2758</v>
      </c>
      <c r="C530" s="4" t="s">
        <v>4702</v>
      </c>
      <c r="D530" s="3" t="str">
        <f t="shared" si="48"/>
        <v>ITA</v>
      </c>
      <c r="E530" s="3" t="str">
        <f t="shared" si="49"/>
        <v>R</v>
      </c>
      <c r="F530" s="3" t="str">
        <f t="shared" si="50"/>
        <v>008</v>
      </c>
      <c r="G530" s="3" t="str">
        <f t="shared" si="51"/>
        <v>KI</v>
      </c>
      <c r="H530" s="3" t="str">
        <f t="shared" si="52"/>
        <v>000</v>
      </c>
      <c r="I530" s="3" t="str">
        <f t="shared" si="53"/>
        <v>00</v>
      </c>
      <c r="L530" s="3" t="s">
        <v>3309</v>
      </c>
      <c r="R530" s="3" t="s">
        <v>4703</v>
      </c>
      <c r="S530" s="15" t="s">
        <v>3247</v>
      </c>
    </row>
    <row r="531" spans="1:19" x14ac:dyDescent="0.25">
      <c r="A531" s="4" t="s">
        <v>4704</v>
      </c>
      <c r="B531" s="4" t="s">
        <v>2758</v>
      </c>
      <c r="C531" s="4" t="s">
        <v>4705</v>
      </c>
      <c r="D531" s="3" t="str">
        <f t="shared" si="48"/>
        <v>ITA</v>
      </c>
      <c r="E531" s="3" t="str">
        <f t="shared" si="49"/>
        <v>P</v>
      </c>
      <c r="F531" s="3" t="str">
        <f t="shared" si="50"/>
        <v>011</v>
      </c>
      <c r="G531" s="3" t="str">
        <f t="shared" si="51"/>
        <v>HP</v>
      </c>
      <c r="H531" s="3" t="str">
        <f t="shared" si="52"/>
        <v>000</v>
      </c>
      <c r="I531" s="3" t="str">
        <f t="shared" si="53"/>
        <v>00</v>
      </c>
      <c r="L531" s="3" t="s">
        <v>3309</v>
      </c>
      <c r="R531" s="3" t="s">
        <v>4706</v>
      </c>
      <c r="S531" s="15" t="s">
        <v>3247</v>
      </c>
    </row>
    <row r="532" spans="1:19" ht="60" x14ac:dyDescent="0.25">
      <c r="A532" s="4" t="s">
        <v>4707</v>
      </c>
      <c r="B532" s="4" t="s">
        <v>2758</v>
      </c>
      <c r="C532" s="4" t="s">
        <v>803</v>
      </c>
      <c r="D532" s="3" t="str">
        <f t="shared" si="48"/>
        <v>ITA</v>
      </c>
      <c r="E532" s="3" t="str">
        <f t="shared" si="49"/>
        <v>L</v>
      </c>
      <c r="F532" s="3" t="str">
        <f t="shared" si="50"/>
        <v>016</v>
      </c>
      <c r="G532" s="3" t="str">
        <f t="shared" si="51"/>
        <v>NA</v>
      </c>
      <c r="H532" s="3" t="str">
        <f t="shared" si="52"/>
        <v>000</v>
      </c>
      <c r="I532" s="3" t="str">
        <f t="shared" si="53"/>
        <v>00</v>
      </c>
      <c r="L532" s="3" t="s">
        <v>3309</v>
      </c>
      <c r="R532" s="3" t="s">
        <v>4708</v>
      </c>
      <c r="S532" s="15" t="s">
        <v>3247</v>
      </c>
    </row>
    <row r="533" spans="1:19" x14ac:dyDescent="0.25">
      <c r="A533" s="4" t="s">
        <v>4709</v>
      </c>
      <c r="B533" s="4" t="s">
        <v>2758</v>
      </c>
      <c r="C533" s="4" t="s">
        <v>4710</v>
      </c>
      <c r="D533" s="3" t="str">
        <f t="shared" si="48"/>
        <v>ITS</v>
      </c>
      <c r="E533" s="3" t="str">
        <f t="shared" si="49"/>
        <v>O</v>
      </c>
      <c r="F533" s="3" t="str">
        <f t="shared" si="50"/>
        <v>012</v>
      </c>
      <c r="G533" s="3" t="str">
        <f t="shared" si="51"/>
        <v>NA</v>
      </c>
      <c r="H533" s="3" t="str">
        <f t="shared" si="52"/>
        <v>000</v>
      </c>
      <c r="I533" s="3" t="str">
        <f t="shared" si="53"/>
        <v>00</v>
      </c>
      <c r="L533" s="3" t="s">
        <v>3309</v>
      </c>
      <c r="R533" s="3" t="s">
        <v>4711</v>
      </c>
      <c r="S533" s="15" t="s">
        <v>3247</v>
      </c>
    </row>
    <row r="534" spans="1:19" ht="45" x14ac:dyDescent="0.25">
      <c r="A534" s="4" t="s">
        <v>4712</v>
      </c>
      <c r="B534" s="4" t="s">
        <v>2758</v>
      </c>
      <c r="C534" s="4" t="s">
        <v>2038</v>
      </c>
      <c r="D534" s="3" t="str">
        <f t="shared" si="48"/>
        <v>ITA</v>
      </c>
      <c r="E534" s="3" t="str">
        <f t="shared" si="49"/>
        <v>H</v>
      </c>
      <c r="F534" s="3" t="str">
        <f t="shared" si="50"/>
        <v>004</v>
      </c>
      <c r="G534" s="3" t="str">
        <f t="shared" si="51"/>
        <v>NA</v>
      </c>
      <c r="H534" s="3" t="str">
        <f t="shared" si="52"/>
        <v>000</v>
      </c>
      <c r="I534" s="3" t="str">
        <f t="shared" si="53"/>
        <v>00</v>
      </c>
      <c r="L534" s="3" t="s">
        <v>3309</v>
      </c>
      <c r="R534" s="3" t="s">
        <v>4713</v>
      </c>
      <c r="S534" s="15" t="s">
        <v>3247</v>
      </c>
    </row>
    <row r="535" spans="1:19" ht="30" x14ac:dyDescent="0.25">
      <c r="A535" s="4" t="s">
        <v>4714</v>
      </c>
      <c r="B535" s="4" t="s">
        <v>2758</v>
      </c>
      <c r="C535" s="4" t="s">
        <v>4715</v>
      </c>
      <c r="D535" s="3" t="str">
        <f t="shared" si="48"/>
        <v>ITA</v>
      </c>
      <c r="E535" s="3" t="str">
        <f t="shared" si="49"/>
        <v>K</v>
      </c>
      <c r="F535" s="3" t="str">
        <f t="shared" si="50"/>
        <v>005</v>
      </c>
      <c r="G535" s="3" t="str">
        <f t="shared" si="51"/>
        <v>NA</v>
      </c>
      <c r="H535" s="3" t="str">
        <f t="shared" si="52"/>
        <v>000</v>
      </c>
      <c r="I535" s="3" t="str">
        <f t="shared" si="53"/>
        <v>00</v>
      </c>
      <c r="L535" s="3" t="s">
        <v>3309</v>
      </c>
      <c r="R535" s="3" t="s">
        <v>4716</v>
      </c>
      <c r="S535" s="15" t="s">
        <v>3247</v>
      </c>
    </row>
    <row r="536" spans="1:19" x14ac:dyDescent="0.25">
      <c r="A536" s="4" t="s">
        <v>4717</v>
      </c>
      <c r="B536" s="4" t="s">
        <v>2758</v>
      </c>
      <c r="C536" s="4" t="s">
        <v>4718</v>
      </c>
      <c r="D536" s="3" t="str">
        <f t="shared" si="48"/>
        <v>ITA</v>
      </c>
      <c r="E536" s="3" t="str">
        <f t="shared" si="49"/>
        <v>Y</v>
      </c>
      <c r="F536" s="3" t="str">
        <f t="shared" si="50"/>
        <v>001</v>
      </c>
      <c r="G536" s="3" t="str">
        <f t="shared" si="51"/>
        <v>NA</v>
      </c>
      <c r="H536" s="3" t="str">
        <f t="shared" si="52"/>
        <v>000</v>
      </c>
      <c r="I536" s="3" t="str">
        <f t="shared" si="53"/>
        <v>00</v>
      </c>
      <c r="L536" s="3" t="s">
        <v>3309</v>
      </c>
      <c r="R536" s="3" t="s">
        <v>4719</v>
      </c>
      <c r="S536" s="15" t="s">
        <v>3247</v>
      </c>
    </row>
    <row r="537" spans="1:19" x14ac:dyDescent="0.25">
      <c r="A537" s="4" t="s">
        <v>4720</v>
      </c>
      <c r="B537" s="4" t="s">
        <v>2758</v>
      </c>
      <c r="C537" s="4" t="s">
        <v>4721</v>
      </c>
      <c r="D537" s="3" t="str">
        <f t="shared" si="48"/>
        <v>ITA</v>
      </c>
      <c r="E537" s="3" t="str">
        <f t="shared" si="49"/>
        <v>Y</v>
      </c>
      <c r="F537" s="3" t="str">
        <f t="shared" si="50"/>
        <v>006</v>
      </c>
      <c r="G537" s="3" t="str">
        <f t="shared" si="51"/>
        <v>NA</v>
      </c>
      <c r="H537" s="3" t="str">
        <f t="shared" si="52"/>
        <v>000</v>
      </c>
      <c r="I537" s="3" t="str">
        <f t="shared" si="53"/>
        <v>00</v>
      </c>
      <c r="L537" s="3" t="s">
        <v>3309</v>
      </c>
      <c r="R537" s="3" t="s">
        <v>4722</v>
      </c>
      <c r="S537" s="15" t="s">
        <v>3247</v>
      </c>
    </row>
    <row r="538" spans="1:19" x14ac:dyDescent="0.25">
      <c r="A538" s="4" t="s">
        <v>4723</v>
      </c>
      <c r="B538" s="4" t="s">
        <v>2758</v>
      </c>
      <c r="C538" s="4" t="s">
        <v>4724</v>
      </c>
      <c r="D538" s="3" t="str">
        <f t="shared" si="48"/>
        <v>ITA</v>
      </c>
      <c r="E538" s="3" t="str">
        <f t="shared" si="49"/>
        <v>Y</v>
      </c>
      <c r="F538" s="3" t="str">
        <f t="shared" si="50"/>
        <v>008</v>
      </c>
      <c r="G538" s="3" t="str">
        <f t="shared" si="51"/>
        <v>NA</v>
      </c>
      <c r="H538" s="3" t="str">
        <f t="shared" si="52"/>
        <v>000</v>
      </c>
      <c r="I538" s="3" t="str">
        <f t="shared" si="53"/>
        <v>00</v>
      </c>
      <c r="L538" s="3" t="s">
        <v>3309</v>
      </c>
      <c r="R538" s="3" t="s">
        <v>4725</v>
      </c>
      <c r="S538" s="15" t="s">
        <v>3247</v>
      </c>
    </row>
    <row r="539" spans="1:19" ht="30" x14ac:dyDescent="0.25">
      <c r="A539" s="4" t="s">
        <v>4726</v>
      </c>
      <c r="B539" s="4" t="s">
        <v>2758</v>
      </c>
      <c r="C539" s="4" t="s">
        <v>4727</v>
      </c>
      <c r="D539" s="3" t="str">
        <f t="shared" si="48"/>
        <v>ITA</v>
      </c>
      <c r="E539" s="3" t="str">
        <f t="shared" si="49"/>
        <v>K</v>
      </c>
      <c r="F539" s="3" t="str">
        <f t="shared" si="50"/>
        <v>015</v>
      </c>
      <c r="G539" s="3" t="str">
        <f t="shared" si="51"/>
        <v>NA</v>
      </c>
      <c r="H539" s="3" t="str">
        <f t="shared" si="52"/>
        <v>000</v>
      </c>
      <c r="I539" s="3" t="str">
        <f t="shared" si="53"/>
        <v>00</v>
      </c>
      <c r="L539" s="3" t="s">
        <v>3309</v>
      </c>
      <c r="R539" s="3" t="s">
        <v>4728</v>
      </c>
      <c r="S539" s="15" t="s">
        <v>3247</v>
      </c>
    </row>
    <row r="540" spans="1:19" ht="30" x14ac:dyDescent="0.25">
      <c r="A540" s="4" t="s">
        <v>4729</v>
      </c>
      <c r="B540" s="4" t="s">
        <v>2758</v>
      </c>
      <c r="C540" s="4" t="s">
        <v>4730</v>
      </c>
      <c r="D540" s="3" t="str">
        <f t="shared" si="48"/>
        <v>ITA</v>
      </c>
      <c r="E540" s="3" t="str">
        <f t="shared" si="49"/>
        <v>Y</v>
      </c>
      <c r="F540" s="3" t="str">
        <f t="shared" si="50"/>
        <v>009</v>
      </c>
      <c r="G540" s="3" t="str">
        <f t="shared" si="51"/>
        <v>NA</v>
      </c>
      <c r="H540" s="3" t="str">
        <f t="shared" si="52"/>
        <v>000</v>
      </c>
      <c r="I540" s="3" t="str">
        <f t="shared" si="53"/>
        <v>00</v>
      </c>
      <c r="L540" s="3" t="s">
        <v>3309</v>
      </c>
      <c r="R540" s="3" t="s">
        <v>4731</v>
      </c>
      <c r="S540" s="15" t="s">
        <v>3247</v>
      </c>
    </row>
    <row r="541" spans="1:19" ht="45" x14ac:dyDescent="0.25">
      <c r="A541" s="4" t="s">
        <v>4732</v>
      </c>
      <c r="B541" s="4" t="s">
        <v>2758</v>
      </c>
      <c r="C541" s="4" t="s">
        <v>4733</v>
      </c>
      <c r="D541" s="3" t="str">
        <f t="shared" si="48"/>
        <v>ITA</v>
      </c>
      <c r="E541" s="3" t="str">
        <f t="shared" si="49"/>
        <v>K</v>
      </c>
      <c r="F541" s="3" t="str">
        <f t="shared" si="50"/>
        <v>013</v>
      </c>
      <c r="G541" s="3" t="str">
        <f t="shared" si="51"/>
        <v>NA</v>
      </c>
      <c r="H541" s="3" t="str">
        <f t="shared" si="52"/>
        <v>000</v>
      </c>
      <c r="I541" s="3" t="str">
        <f t="shared" si="53"/>
        <v>00</v>
      </c>
      <c r="L541" s="3" t="s">
        <v>3309</v>
      </c>
      <c r="R541" s="3" t="s">
        <v>4734</v>
      </c>
      <c r="S541" s="15">
        <v>8</v>
      </c>
    </row>
    <row r="542" spans="1:19" x14ac:dyDescent="0.25">
      <c r="A542" s="4" t="s">
        <v>4735</v>
      </c>
      <c r="B542" s="4" t="s">
        <v>2758</v>
      </c>
      <c r="C542" s="4" t="s">
        <v>4736</v>
      </c>
      <c r="D542" s="3" t="str">
        <f t="shared" si="48"/>
        <v>ITA</v>
      </c>
      <c r="E542" s="3" t="str">
        <f t="shared" si="49"/>
        <v>P</v>
      </c>
      <c r="F542" s="3" t="str">
        <f t="shared" si="50"/>
        <v>005</v>
      </c>
      <c r="G542" s="3" t="str">
        <f t="shared" si="51"/>
        <v>NA</v>
      </c>
      <c r="H542" s="3" t="str">
        <f t="shared" si="52"/>
        <v>000</v>
      </c>
      <c r="I542" s="3" t="str">
        <f t="shared" si="53"/>
        <v>00</v>
      </c>
      <c r="L542" s="3" t="s">
        <v>3309</v>
      </c>
      <c r="R542" s="3" t="s">
        <v>4737</v>
      </c>
      <c r="S542" s="15" t="s">
        <v>3247</v>
      </c>
    </row>
    <row r="543" spans="1:19" x14ac:dyDescent="0.25">
      <c r="A543" s="4" t="s">
        <v>4738</v>
      </c>
      <c r="B543" s="4" t="s">
        <v>2758</v>
      </c>
      <c r="C543" s="4" t="s">
        <v>4739</v>
      </c>
      <c r="D543" s="3" t="str">
        <f t="shared" si="48"/>
        <v>ITA</v>
      </c>
      <c r="E543" s="3" t="str">
        <f t="shared" si="49"/>
        <v>P</v>
      </c>
      <c r="F543" s="3" t="str">
        <f t="shared" si="50"/>
        <v>004</v>
      </c>
      <c r="G543" s="3" t="str">
        <f t="shared" si="51"/>
        <v>NA</v>
      </c>
      <c r="H543" s="3" t="str">
        <f t="shared" si="52"/>
        <v>000</v>
      </c>
      <c r="I543" s="3" t="str">
        <f t="shared" si="53"/>
        <v>00</v>
      </c>
      <c r="L543" s="3" t="s">
        <v>3309</v>
      </c>
      <c r="R543" s="3" t="s">
        <v>4740</v>
      </c>
      <c r="S543" s="15" t="s">
        <v>3247</v>
      </c>
    </row>
    <row r="544" spans="1:19" ht="30" x14ac:dyDescent="0.25">
      <c r="A544" s="4" t="s">
        <v>4741</v>
      </c>
      <c r="B544" s="4" t="s">
        <v>2758</v>
      </c>
      <c r="C544" s="4" t="s">
        <v>4742</v>
      </c>
      <c r="D544" s="3" t="str">
        <f t="shared" si="48"/>
        <v>ITA</v>
      </c>
      <c r="E544" s="3" t="str">
        <f t="shared" si="49"/>
        <v>Z</v>
      </c>
      <c r="F544" s="3" t="str">
        <f t="shared" si="50"/>
        <v>203</v>
      </c>
      <c r="G544" s="3" t="str">
        <f t="shared" si="51"/>
        <v>NA</v>
      </c>
      <c r="H544" s="3" t="str">
        <f t="shared" si="52"/>
        <v>000</v>
      </c>
      <c r="I544" s="3" t="str">
        <f t="shared" si="53"/>
        <v>00</v>
      </c>
      <c r="L544" s="3" t="s">
        <v>3309</v>
      </c>
      <c r="R544" s="3" t="s">
        <v>4743</v>
      </c>
      <c r="S544" s="15" t="s">
        <v>3247</v>
      </c>
    </row>
    <row r="545" spans="1:19" ht="30" x14ac:dyDescent="0.25">
      <c r="A545" s="4" t="s">
        <v>4744</v>
      </c>
      <c r="B545" s="4" t="s">
        <v>2758</v>
      </c>
      <c r="C545" s="4" t="s">
        <v>4745</v>
      </c>
      <c r="D545" s="3" t="str">
        <f t="shared" si="48"/>
        <v>ITA</v>
      </c>
      <c r="E545" s="3" t="str">
        <f t="shared" si="49"/>
        <v>Z</v>
      </c>
      <c r="F545" s="3" t="str">
        <f t="shared" si="50"/>
        <v>002</v>
      </c>
      <c r="G545" s="3" t="str">
        <f t="shared" si="51"/>
        <v>NA</v>
      </c>
      <c r="H545" s="3" t="str">
        <f t="shared" si="52"/>
        <v>000</v>
      </c>
      <c r="I545" s="3" t="str">
        <f t="shared" si="53"/>
        <v>00</v>
      </c>
      <c r="L545" s="3" t="s">
        <v>3309</v>
      </c>
      <c r="R545" s="3" t="s">
        <v>4746</v>
      </c>
      <c r="S545" s="15" t="s">
        <v>3247</v>
      </c>
    </row>
    <row r="546" spans="1:19" x14ac:dyDescent="0.25">
      <c r="A546" s="4" t="s">
        <v>4747</v>
      </c>
      <c r="B546" s="4" t="s">
        <v>2758</v>
      </c>
      <c r="C546" s="4" t="s">
        <v>4748</v>
      </c>
      <c r="D546" s="3" t="str">
        <f t="shared" si="48"/>
        <v>ITA</v>
      </c>
      <c r="E546" s="3" t="str">
        <f t="shared" si="49"/>
        <v>Z</v>
      </c>
      <c r="F546" s="3" t="str">
        <f t="shared" si="50"/>
        <v>502</v>
      </c>
      <c r="G546" s="3" t="str">
        <f t="shared" si="51"/>
        <v>NA</v>
      </c>
      <c r="H546" s="3" t="str">
        <f t="shared" si="52"/>
        <v>000</v>
      </c>
      <c r="I546" s="3" t="str">
        <f t="shared" si="53"/>
        <v>00</v>
      </c>
      <c r="L546" s="3" t="s">
        <v>3309</v>
      </c>
      <c r="R546" s="3" t="s">
        <v>4749</v>
      </c>
      <c r="S546" s="15" t="s">
        <v>3247</v>
      </c>
    </row>
    <row r="547" spans="1:19" x14ac:dyDescent="0.25">
      <c r="A547" s="4" t="s">
        <v>4750</v>
      </c>
      <c r="B547" s="4" t="s">
        <v>2758</v>
      </c>
      <c r="C547" s="4" t="s">
        <v>4751</v>
      </c>
      <c r="D547" s="3" t="str">
        <f t="shared" si="48"/>
        <v>ITS</v>
      </c>
      <c r="E547" s="3" t="str">
        <f t="shared" si="49"/>
        <v>C</v>
      </c>
      <c r="F547" s="3" t="str">
        <f t="shared" si="50"/>
        <v>013</v>
      </c>
      <c r="G547" s="3" t="str">
        <f t="shared" si="51"/>
        <v>05</v>
      </c>
      <c r="H547" s="3" t="str">
        <f t="shared" si="52"/>
        <v>000</v>
      </c>
      <c r="I547" s="3" t="str">
        <f t="shared" si="53"/>
        <v>00</v>
      </c>
      <c r="L547" s="3" t="s">
        <v>3309</v>
      </c>
      <c r="R547" s="3" t="s">
        <v>4752</v>
      </c>
      <c r="S547" s="15" t="s">
        <v>3247</v>
      </c>
    </row>
    <row r="548" spans="1:19" x14ac:dyDescent="0.25">
      <c r="A548" s="4" t="s">
        <v>4753</v>
      </c>
      <c r="B548" s="4" t="s">
        <v>2758</v>
      </c>
      <c r="C548" s="4" t="s">
        <v>4754</v>
      </c>
      <c r="D548" s="3" t="str">
        <f t="shared" si="48"/>
        <v>ITS</v>
      </c>
      <c r="E548" s="3" t="str">
        <f t="shared" si="49"/>
        <v>C</v>
      </c>
      <c r="F548" s="3" t="str">
        <f t="shared" si="50"/>
        <v>014</v>
      </c>
      <c r="G548" s="3" t="str">
        <f t="shared" si="51"/>
        <v>05</v>
      </c>
      <c r="H548" s="3" t="str">
        <f t="shared" si="52"/>
        <v>000</v>
      </c>
      <c r="I548" s="3" t="str">
        <f t="shared" si="53"/>
        <v>00</v>
      </c>
      <c r="L548" s="3" t="s">
        <v>3309</v>
      </c>
      <c r="R548" s="3" t="s">
        <v>4755</v>
      </c>
      <c r="S548" s="15" t="s">
        <v>3247</v>
      </c>
    </row>
    <row r="549" spans="1:19" x14ac:dyDescent="0.25">
      <c r="A549" s="4" t="s">
        <v>4756</v>
      </c>
      <c r="B549" s="4" t="s">
        <v>2758</v>
      </c>
      <c r="C549" s="4" t="s">
        <v>4757</v>
      </c>
      <c r="D549" s="3" t="str">
        <f t="shared" si="48"/>
        <v>ITA</v>
      </c>
      <c r="E549" s="3" t="str">
        <f t="shared" si="49"/>
        <v>B</v>
      </c>
      <c r="F549" s="3" t="str">
        <f t="shared" si="50"/>
        <v>104</v>
      </c>
      <c r="G549" s="3" t="str">
        <f t="shared" si="51"/>
        <v>ST</v>
      </c>
      <c r="H549" s="3" t="str">
        <f t="shared" si="52"/>
        <v>000</v>
      </c>
      <c r="I549" s="3" t="str">
        <f t="shared" si="53"/>
        <v>00</v>
      </c>
      <c r="L549" s="3" t="s">
        <v>3309</v>
      </c>
      <c r="R549" s="3" t="s">
        <v>4758</v>
      </c>
      <c r="S549" s="15" t="s">
        <v>3247</v>
      </c>
    </row>
    <row r="550" spans="1:19" x14ac:dyDescent="0.25">
      <c r="A550" s="4" t="s">
        <v>4759</v>
      </c>
      <c r="B550" s="4" t="s">
        <v>2758</v>
      </c>
      <c r="C550" s="4" t="s">
        <v>4760</v>
      </c>
      <c r="D550" s="3" t="str">
        <f t="shared" si="48"/>
        <v>ITA</v>
      </c>
      <c r="E550" s="3" t="str">
        <f t="shared" si="49"/>
        <v>B</v>
      </c>
      <c r="F550" s="3" t="str">
        <f t="shared" si="50"/>
        <v>005</v>
      </c>
      <c r="G550" s="3" t="str">
        <f t="shared" si="51"/>
        <v>ST</v>
      </c>
      <c r="H550" s="3" t="str">
        <f t="shared" si="52"/>
        <v>000</v>
      </c>
      <c r="I550" s="3" t="str">
        <f t="shared" si="53"/>
        <v>00</v>
      </c>
      <c r="L550" s="3" t="s">
        <v>3309</v>
      </c>
      <c r="R550" s="3" t="s">
        <v>4761</v>
      </c>
      <c r="S550" s="15" t="s">
        <v>3247</v>
      </c>
    </row>
    <row r="551" spans="1:19" x14ac:dyDescent="0.25">
      <c r="A551" s="4" t="s">
        <v>4762</v>
      </c>
      <c r="B551" s="4" t="s">
        <v>2758</v>
      </c>
      <c r="C551" s="4" t="s">
        <v>4763</v>
      </c>
      <c r="D551" s="3" t="str">
        <f t="shared" si="48"/>
        <v>ITA</v>
      </c>
      <c r="E551" s="3" t="str">
        <f t="shared" si="49"/>
        <v>I</v>
      </c>
      <c r="F551" s="3" t="str">
        <f t="shared" si="50"/>
        <v>003</v>
      </c>
      <c r="G551" s="3" t="str">
        <f t="shared" si="51"/>
        <v>CI</v>
      </c>
      <c r="H551" s="3" t="str">
        <f t="shared" si="52"/>
        <v>000</v>
      </c>
      <c r="I551" s="3" t="str">
        <f t="shared" si="53"/>
        <v>00</v>
      </c>
      <c r="L551" s="3" t="s">
        <v>3309</v>
      </c>
      <c r="R551" s="3" t="s">
        <v>4764</v>
      </c>
      <c r="S551" s="15" t="s">
        <v>3247</v>
      </c>
    </row>
    <row r="552" spans="1:19" x14ac:dyDescent="0.25">
      <c r="A552" s="4" t="s">
        <v>4765</v>
      </c>
      <c r="B552" s="4" t="s">
        <v>2758</v>
      </c>
      <c r="C552" s="4" t="s">
        <v>4766</v>
      </c>
      <c r="D552" s="3" t="str">
        <f t="shared" si="48"/>
        <v>ITS</v>
      </c>
      <c r="E552" s="3" t="str">
        <f t="shared" si="49"/>
        <v>C</v>
      </c>
      <c r="F552" s="3" t="str">
        <f t="shared" si="50"/>
        <v>014</v>
      </c>
      <c r="G552" s="3" t="str">
        <f t="shared" si="51"/>
        <v>06</v>
      </c>
      <c r="H552" s="3" t="str">
        <f t="shared" si="52"/>
        <v>000</v>
      </c>
      <c r="I552" s="3" t="str">
        <f t="shared" si="53"/>
        <v>00</v>
      </c>
      <c r="L552" s="3" t="s">
        <v>3309</v>
      </c>
      <c r="R552" s="3" t="s">
        <v>4767</v>
      </c>
      <c r="S552" s="15" t="s">
        <v>3247</v>
      </c>
    </row>
    <row r="553" spans="1:19" x14ac:dyDescent="0.25">
      <c r="A553" s="4" t="s">
        <v>4768</v>
      </c>
      <c r="B553" s="4" t="s">
        <v>2758</v>
      </c>
      <c r="C553" s="4" t="s">
        <v>4769</v>
      </c>
      <c r="D553" s="3" t="str">
        <f t="shared" si="48"/>
        <v>ITA</v>
      </c>
      <c r="E553" s="3" t="str">
        <f t="shared" si="49"/>
        <v>P</v>
      </c>
      <c r="F553" s="3" t="str">
        <f t="shared" si="50"/>
        <v>101</v>
      </c>
      <c r="G553" s="3" t="str">
        <f t="shared" si="51"/>
        <v>BR</v>
      </c>
      <c r="H553" s="3" t="str">
        <f t="shared" si="52"/>
        <v>050</v>
      </c>
      <c r="I553" s="3" t="str">
        <f t="shared" si="53"/>
        <v>00</v>
      </c>
      <c r="L553" s="3" t="s">
        <v>3309</v>
      </c>
      <c r="R553" s="3" t="s">
        <v>4770</v>
      </c>
      <c r="S553" s="15" t="s">
        <v>3247</v>
      </c>
    </row>
    <row r="554" spans="1:19" x14ac:dyDescent="0.25">
      <c r="A554" s="4" t="s">
        <v>4771</v>
      </c>
      <c r="B554" s="4" t="s">
        <v>2758</v>
      </c>
      <c r="C554" s="4" t="s">
        <v>4772</v>
      </c>
      <c r="D554" s="3" t="str">
        <f t="shared" si="48"/>
        <v>ITA</v>
      </c>
      <c r="E554" s="3" t="str">
        <f t="shared" si="49"/>
        <v>0</v>
      </c>
      <c r="F554" s="3" t="str">
        <f t="shared" si="50"/>
        <v>10X</v>
      </c>
      <c r="G554" s="3" t="str">
        <f t="shared" si="51"/>
        <v>I0</v>
      </c>
      <c r="H554" s="3" t="str">
        <f t="shared" si="52"/>
        <v>000</v>
      </c>
      <c r="I554" s="3" t="str">
        <f t="shared" si="53"/>
        <v>0</v>
      </c>
      <c r="L554" s="3" t="s">
        <v>3309</v>
      </c>
      <c r="R554" s="3" t="s">
        <v>4773</v>
      </c>
      <c r="S554" s="15" t="s">
        <v>3247</v>
      </c>
    </row>
    <row r="555" spans="1:19" ht="30" x14ac:dyDescent="0.25">
      <c r="A555" s="4" t="s">
        <v>4774</v>
      </c>
      <c r="B555" s="4" t="s">
        <v>2758</v>
      </c>
      <c r="C555" s="4" t="s">
        <v>4775</v>
      </c>
      <c r="D555" s="3" t="str">
        <f t="shared" si="48"/>
        <v>ITA</v>
      </c>
      <c r="E555" s="3" t="str">
        <f t="shared" si="49"/>
        <v>K</v>
      </c>
      <c r="F555" s="3" t="str">
        <f t="shared" si="50"/>
        <v>017</v>
      </c>
      <c r="G555" s="3" t="str">
        <f t="shared" si="51"/>
        <v>NA</v>
      </c>
      <c r="H555" s="3" t="str">
        <f t="shared" si="52"/>
        <v>000</v>
      </c>
      <c r="I555" s="3" t="str">
        <f t="shared" si="53"/>
        <v>00</v>
      </c>
      <c r="L555" s="3" t="s">
        <v>3309</v>
      </c>
      <c r="R555" s="3" t="s">
        <v>4776</v>
      </c>
      <c r="S555" s="15" t="s">
        <v>3247</v>
      </c>
    </row>
    <row r="556" spans="1:19" ht="75" x14ac:dyDescent="0.25">
      <c r="A556" s="4" t="s">
        <v>4777</v>
      </c>
      <c r="B556" s="4" t="s">
        <v>2758</v>
      </c>
      <c r="C556" s="4" t="s">
        <v>898</v>
      </c>
      <c r="D556" s="3" t="str">
        <f t="shared" si="48"/>
        <v>ITA</v>
      </c>
      <c r="E556" s="3" t="str">
        <f t="shared" si="49"/>
        <v>H</v>
      </c>
      <c r="F556" s="3" t="str">
        <f t="shared" si="50"/>
        <v>007</v>
      </c>
      <c r="G556" s="3" t="str">
        <f t="shared" si="51"/>
        <v>DE</v>
      </c>
      <c r="H556" s="3" t="str">
        <f t="shared" si="52"/>
        <v>000</v>
      </c>
      <c r="I556" s="3" t="str">
        <f t="shared" si="53"/>
        <v>00</v>
      </c>
      <c r="L556" s="3" t="s">
        <v>3309</v>
      </c>
      <c r="R556" s="3" t="s">
        <v>4778</v>
      </c>
      <c r="S556" s="15" t="s">
        <v>3247</v>
      </c>
    </row>
    <row r="557" spans="1:19" ht="30" x14ac:dyDescent="0.25">
      <c r="A557" s="4" t="s">
        <v>4779</v>
      </c>
      <c r="B557" s="4" t="s">
        <v>2758</v>
      </c>
      <c r="C557" s="4" t="s">
        <v>4780</v>
      </c>
      <c r="D557" s="3" t="str">
        <f t="shared" si="48"/>
        <v>ITA</v>
      </c>
      <c r="E557" s="3" t="str">
        <f t="shared" si="49"/>
        <v>F</v>
      </c>
      <c r="F557" s="3" t="str">
        <f t="shared" si="50"/>
        <v>002</v>
      </c>
      <c r="G557" s="3" t="str">
        <f t="shared" si="51"/>
        <v>ST</v>
      </c>
      <c r="H557" s="3" t="str">
        <f t="shared" si="52"/>
        <v>000</v>
      </c>
      <c r="I557" s="3" t="str">
        <f t="shared" si="53"/>
        <v>00</v>
      </c>
      <c r="L557" s="3" t="s">
        <v>3309</v>
      </c>
      <c r="R557" s="3" t="s">
        <v>4781</v>
      </c>
      <c r="S557" s="15" t="s">
        <v>3247</v>
      </c>
    </row>
    <row r="558" spans="1:19" x14ac:dyDescent="0.25">
      <c r="A558" s="4" t="s">
        <v>4782</v>
      </c>
      <c r="B558" s="4" t="s">
        <v>2758</v>
      </c>
      <c r="C558" s="4" t="s">
        <v>4783</v>
      </c>
      <c r="D558" s="3" t="str">
        <f t="shared" si="48"/>
        <v>ITS</v>
      </c>
      <c r="E558" s="3" t="str">
        <f t="shared" si="49"/>
        <v>A</v>
      </c>
      <c r="F558" s="3" t="str">
        <f t="shared" si="50"/>
        <v>015</v>
      </c>
      <c r="G558" s="3" t="str">
        <f t="shared" si="51"/>
        <v>01</v>
      </c>
      <c r="H558" s="3" t="str">
        <f t="shared" si="52"/>
        <v>000</v>
      </c>
      <c r="I558" s="3" t="str">
        <f t="shared" si="53"/>
        <v>00</v>
      </c>
      <c r="L558" s="3" t="s">
        <v>3309</v>
      </c>
      <c r="R558" s="3" t="s">
        <v>4784</v>
      </c>
      <c r="S558" s="15" t="s">
        <v>3247</v>
      </c>
    </row>
    <row r="559" spans="1:19" x14ac:dyDescent="0.25">
      <c r="A559" s="4" t="s">
        <v>4785</v>
      </c>
      <c r="B559" s="4" t="s">
        <v>2758</v>
      </c>
      <c r="C559" s="4" t="s">
        <v>4786</v>
      </c>
      <c r="D559" s="3" t="str">
        <f t="shared" si="48"/>
        <v>ITS</v>
      </c>
      <c r="E559" s="3" t="str">
        <f t="shared" si="49"/>
        <v>O</v>
      </c>
      <c r="F559" s="3" t="str">
        <f t="shared" si="50"/>
        <v>007</v>
      </c>
      <c r="G559" s="3" t="str">
        <f t="shared" si="51"/>
        <v>00</v>
      </c>
      <c r="H559" s="3" t="str">
        <f t="shared" si="52"/>
        <v>000</v>
      </c>
      <c r="I559" s="3" t="str">
        <f t="shared" si="53"/>
        <v>00</v>
      </c>
      <c r="L559" s="3" t="s">
        <v>3309</v>
      </c>
      <c r="R559" s="3" t="s">
        <v>4787</v>
      </c>
      <c r="S559" s="15" t="s">
        <v>3247</v>
      </c>
    </row>
    <row r="560" spans="1:19" x14ac:dyDescent="0.25">
      <c r="A560" s="4" t="s">
        <v>4788</v>
      </c>
      <c r="B560" s="4" t="s">
        <v>2758</v>
      </c>
      <c r="C560" s="4" t="s">
        <v>4789</v>
      </c>
      <c r="D560" s="3" t="str">
        <f t="shared" si="48"/>
        <v>ITS</v>
      </c>
      <c r="E560" s="3" t="str">
        <f t="shared" si="49"/>
        <v>A</v>
      </c>
      <c r="F560" s="3" t="str">
        <f t="shared" si="50"/>
        <v>016</v>
      </c>
      <c r="G560" s="3" t="str">
        <f t="shared" si="51"/>
        <v>01</v>
      </c>
      <c r="H560" s="3" t="str">
        <f t="shared" si="52"/>
        <v>000</v>
      </c>
      <c r="I560" s="3" t="str">
        <f t="shared" si="53"/>
        <v>00</v>
      </c>
      <c r="L560" s="3" t="s">
        <v>3309</v>
      </c>
      <c r="R560" s="3" t="s">
        <v>4790</v>
      </c>
      <c r="S560" s="15" t="s">
        <v>3247</v>
      </c>
    </row>
    <row r="561" spans="1:19" ht="45" x14ac:dyDescent="0.25">
      <c r="A561" s="4" t="s">
        <v>4791</v>
      </c>
      <c r="B561" s="4" t="s">
        <v>2758</v>
      </c>
      <c r="C561" s="4" t="s">
        <v>4792</v>
      </c>
      <c r="D561" s="3" t="str">
        <f t="shared" si="48"/>
        <v>ITA</v>
      </c>
      <c r="E561" s="3" t="str">
        <f t="shared" si="49"/>
        <v>D</v>
      </c>
      <c r="F561" s="3" t="str">
        <f t="shared" si="50"/>
        <v>012</v>
      </c>
      <c r="G561" s="3" t="str">
        <f t="shared" si="51"/>
        <v>NA</v>
      </c>
      <c r="H561" s="3" t="str">
        <f t="shared" si="52"/>
        <v>045</v>
      </c>
      <c r="I561" s="3" t="str">
        <f t="shared" si="53"/>
        <v>00</v>
      </c>
      <c r="L561" s="3" t="s">
        <v>3608</v>
      </c>
      <c r="R561" s="3" t="s">
        <v>4793</v>
      </c>
      <c r="S561" s="15" t="s">
        <v>3247</v>
      </c>
    </row>
    <row r="562" spans="1:19" ht="60" x14ac:dyDescent="0.25">
      <c r="A562" s="4" t="s">
        <v>4794</v>
      </c>
      <c r="B562" s="4" t="s">
        <v>2758</v>
      </c>
      <c r="C562" s="4" t="s">
        <v>4795</v>
      </c>
      <c r="D562" s="3" t="str">
        <f t="shared" si="48"/>
        <v>ITA</v>
      </c>
      <c r="E562" s="3" t="str">
        <f t="shared" si="49"/>
        <v>K</v>
      </c>
      <c r="F562" s="3" t="str">
        <f t="shared" si="50"/>
        <v>018</v>
      </c>
      <c r="G562" s="3" t="str">
        <f t="shared" si="51"/>
        <v>ST</v>
      </c>
      <c r="H562" s="3" t="str">
        <f t="shared" si="52"/>
        <v>000</v>
      </c>
      <c r="I562" s="3" t="str">
        <f t="shared" si="53"/>
        <v>00</v>
      </c>
      <c r="L562" s="3" t="s">
        <v>3309</v>
      </c>
      <c r="R562" s="3" t="s">
        <v>4796</v>
      </c>
      <c r="S562" s="15" t="s">
        <v>3247</v>
      </c>
    </row>
    <row r="563" spans="1:19" x14ac:dyDescent="0.25">
      <c r="A563" s="4" t="s">
        <v>4797</v>
      </c>
      <c r="B563" s="4" t="s">
        <v>2758</v>
      </c>
      <c r="C563" s="4" t="s">
        <v>4798</v>
      </c>
      <c r="D563" s="3" t="str">
        <f t="shared" si="48"/>
        <v>ITS</v>
      </c>
      <c r="E563" s="3" t="str">
        <f t="shared" si="49"/>
        <v>A</v>
      </c>
      <c r="F563" s="3" t="str">
        <f t="shared" si="50"/>
        <v>017</v>
      </c>
      <c r="G563" s="3" t="str">
        <f t="shared" si="51"/>
        <v>00</v>
      </c>
      <c r="H563" s="3" t="str">
        <f t="shared" si="52"/>
        <v>000</v>
      </c>
      <c r="I563" s="3" t="str">
        <f t="shared" si="53"/>
        <v>00</v>
      </c>
      <c r="L563" s="3" t="s">
        <v>3309</v>
      </c>
      <c r="R563" s="3" t="s">
        <v>4799</v>
      </c>
      <c r="S563" s="15" t="s">
        <v>3247</v>
      </c>
    </row>
    <row r="564" spans="1:19" x14ac:dyDescent="0.25">
      <c r="A564" s="4" t="s">
        <v>4800</v>
      </c>
      <c r="B564" s="4" t="s">
        <v>2758</v>
      </c>
      <c r="C564" s="4" t="s">
        <v>4801</v>
      </c>
      <c r="D564" s="3" t="str">
        <f t="shared" si="48"/>
        <v>ITA</v>
      </c>
      <c r="E564" s="3" t="str">
        <f t="shared" si="49"/>
        <v>F</v>
      </c>
      <c r="F564" s="3" t="str">
        <f t="shared" si="50"/>
        <v>004</v>
      </c>
      <c r="G564" s="3" t="str">
        <f t="shared" si="51"/>
        <v>HP</v>
      </c>
      <c r="H564" s="3" t="str">
        <f t="shared" si="52"/>
        <v>000</v>
      </c>
      <c r="I564" s="3" t="str">
        <f t="shared" si="53"/>
        <v>00</v>
      </c>
      <c r="L564" s="3" t="s">
        <v>3309</v>
      </c>
      <c r="R564" s="3" t="s">
        <v>4802</v>
      </c>
      <c r="S564" s="15" t="s">
        <v>3247</v>
      </c>
    </row>
    <row r="565" spans="1:19" x14ac:dyDescent="0.25">
      <c r="A565" s="4" t="s">
        <v>4803</v>
      </c>
      <c r="B565" s="4" t="s">
        <v>2758</v>
      </c>
      <c r="C565" s="4" t="s">
        <v>4804</v>
      </c>
      <c r="D565" s="3" t="str">
        <f t="shared" si="48"/>
        <v>ITA</v>
      </c>
      <c r="E565" s="3" t="str">
        <f t="shared" si="49"/>
        <v>B</v>
      </c>
      <c r="F565" s="3" t="str">
        <f t="shared" si="50"/>
        <v>002</v>
      </c>
      <c r="G565" s="3" t="str">
        <f t="shared" si="51"/>
        <v>DL</v>
      </c>
      <c r="H565" s="3" t="str">
        <f t="shared" si="52"/>
        <v>000</v>
      </c>
      <c r="I565" s="3" t="str">
        <f t="shared" si="53"/>
        <v>00</v>
      </c>
      <c r="L565" s="3" t="s">
        <v>3309</v>
      </c>
      <c r="R565" s="3" t="s">
        <v>4805</v>
      </c>
      <c r="S565" s="15" t="s">
        <v>3247</v>
      </c>
    </row>
    <row r="566" spans="1:19" x14ac:dyDescent="0.25">
      <c r="A566" s="4" t="s">
        <v>4806</v>
      </c>
      <c r="B566" s="4" t="s">
        <v>2758</v>
      </c>
      <c r="C566" s="4" t="s">
        <v>4807</v>
      </c>
      <c r="D566" s="3" t="str">
        <f t="shared" si="48"/>
        <v>ITA</v>
      </c>
      <c r="E566" s="3" t="str">
        <f t="shared" si="49"/>
        <v>M</v>
      </c>
      <c r="F566" s="3" t="str">
        <f t="shared" si="50"/>
        <v>016</v>
      </c>
      <c r="G566" s="3" t="str">
        <f t="shared" si="51"/>
        <v>ST</v>
      </c>
      <c r="H566" s="3" t="str">
        <f t="shared" si="52"/>
        <v>000</v>
      </c>
      <c r="I566" s="3" t="str">
        <f t="shared" si="53"/>
        <v>00</v>
      </c>
      <c r="L566" s="3" t="s">
        <v>3309</v>
      </c>
      <c r="R566" s="3" t="s">
        <v>4808</v>
      </c>
      <c r="S566" s="15" t="s">
        <v>3247</v>
      </c>
    </row>
    <row r="567" spans="1:19" x14ac:dyDescent="0.25">
      <c r="A567" s="4" t="s">
        <v>4809</v>
      </c>
      <c r="B567" s="4" t="s">
        <v>2758</v>
      </c>
      <c r="C567" s="4" t="s">
        <v>4810</v>
      </c>
      <c r="D567" s="3" t="str">
        <f t="shared" si="48"/>
        <v>ITA</v>
      </c>
      <c r="E567" s="3" t="str">
        <f t="shared" si="49"/>
        <v>A</v>
      </c>
      <c r="F567" s="3" t="str">
        <f t="shared" si="50"/>
        <v>021</v>
      </c>
      <c r="G567" s="3" t="str">
        <f t="shared" si="51"/>
        <v>DL</v>
      </c>
      <c r="H567" s="3" t="str">
        <f t="shared" si="52"/>
        <v>000</v>
      </c>
      <c r="I567" s="3" t="str">
        <f t="shared" si="53"/>
        <v>00</v>
      </c>
      <c r="L567" s="3" t="s">
        <v>3309</v>
      </c>
      <c r="R567" s="3" t="s">
        <v>4811</v>
      </c>
      <c r="S567" s="15" t="s">
        <v>3247</v>
      </c>
    </row>
    <row r="568" spans="1:19" x14ac:dyDescent="0.25">
      <c r="A568" s="4" t="s">
        <v>4812</v>
      </c>
      <c r="B568" s="4" t="s">
        <v>2758</v>
      </c>
      <c r="C568" s="4" t="s">
        <v>4813</v>
      </c>
      <c r="D568" s="3" t="str">
        <f t="shared" si="48"/>
        <v>ITS</v>
      </c>
      <c r="E568" s="3" t="str">
        <f t="shared" si="49"/>
        <v>A</v>
      </c>
      <c r="F568" s="3" t="str">
        <f t="shared" si="50"/>
        <v>009</v>
      </c>
      <c r="G568" s="3" t="str">
        <f t="shared" si="51"/>
        <v>SC</v>
      </c>
      <c r="H568" s="3" t="str">
        <f t="shared" si="52"/>
        <v>000</v>
      </c>
      <c r="I568" s="3" t="str">
        <f t="shared" si="53"/>
        <v>00</v>
      </c>
      <c r="L568" s="3" t="s">
        <v>3309</v>
      </c>
      <c r="R568" s="3" t="s">
        <v>4814</v>
      </c>
      <c r="S568" s="15" t="s">
        <v>3247</v>
      </c>
    </row>
    <row r="569" spans="1:19" x14ac:dyDescent="0.25">
      <c r="A569" s="4" t="s">
        <v>4815</v>
      </c>
      <c r="B569" s="4" t="s">
        <v>2758</v>
      </c>
      <c r="C569" s="4" t="s">
        <v>4816</v>
      </c>
      <c r="D569" s="3" t="str">
        <f t="shared" si="48"/>
        <v>ITA</v>
      </c>
      <c r="E569" s="3" t="str">
        <f t="shared" si="49"/>
        <v>M</v>
      </c>
      <c r="F569" s="3" t="str">
        <f t="shared" si="50"/>
        <v>001</v>
      </c>
      <c r="G569" s="3" t="str">
        <f t="shared" si="51"/>
        <v>NA</v>
      </c>
      <c r="H569" s="3" t="str">
        <f t="shared" si="52"/>
        <v>000</v>
      </c>
      <c r="I569" s="3" t="str">
        <f t="shared" si="53"/>
        <v>00</v>
      </c>
      <c r="L569" s="3" t="s">
        <v>3309</v>
      </c>
      <c r="R569" s="3" t="s">
        <v>4817</v>
      </c>
      <c r="S569" s="15">
        <v>1</v>
      </c>
    </row>
    <row r="570" spans="1:19" x14ac:dyDescent="0.25">
      <c r="A570" s="4" t="s">
        <v>4818</v>
      </c>
      <c r="B570" s="4" t="s">
        <v>2758</v>
      </c>
      <c r="C570" s="4" t="s">
        <v>4819</v>
      </c>
      <c r="D570" s="3" t="str">
        <f t="shared" si="48"/>
        <v>ITA</v>
      </c>
      <c r="E570" s="3" t="str">
        <f t="shared" si="49"/>
        <v>M</v>
      </c>
      <c r="F570" s="3" t="str">
        <f t="shared" si="50"/>
        <v>003</v>
      </c>
      <c r="G570" s="3" t="str">
        <f t="shared" si="51"/>
        <v>NA</v>
      </c>
      <c r="H570" s="3" t="str">
        <f t="shared" si="52"/>
        <v>000</v>
      </c>
      <c r="I570" s="3" t="str">
        <f t="shared" si="53"/>
        <v>00</v>
      </c>
      <c r="L570" s="3" t="s">
        <v>3309</v>
      </c>
      <c r="R570" s="3" t="s">
        <v>4820</v>
      </c>
      <c r="S570" s="15">
        <v>1</v>
      </c>
    </row>
    <row r="571" spans="1:19" x14ac:dyDescent="0.25">
      <c r="A571" s="4" t="s">
        <v>4821</v>
      </c>
      <c r="B571" s="4" t="s">
        <v>4822</v>
      </c>
      <c r="C571" s="4" t="s">
        <v>532</v>
      </c>
      <c r="D571" s="3" t="str">
        <f t="shared" si="48"/>
        <v>ELA</v>
      </c>
      <c r="E571" s="3" t="str">
        <f t="shared" si="49"/>
        <v>U</v>
      </c>
      <c r="F571" s="3" t="str">
        <f t="shared" si="50"/>
        <v>104</v>
      </c>
      <c r="G571" s="3" t="str">
        <f t="shared" si="51"/>
        <v>VS</v>
      </c>
      <c r="H571" s="3" t="str">
        <f t="shared" si="52"/>
        <v>000</v>
      </c>
      <c r="I571" s="3" t="str">
        <f t="shared" si="53"/>
        <v>00</v>
      </c>
      <c r="L571" s="3" t="s">
        <v>3309</v>
      </c>
      <c r="R571" s="3" t="s">
        <v>4823</v>
      </c>
      <c r="S571" s="15" t="s">
        <v>3247</v>
      </c>
    </row>
    <row r="572" spans="1:19" ht="30" x14ac:dyDescent="0.25">
      <c r="A572" s="4" t="s">
        <v>4824</v>
      </c>
      <c r="B572" s="4" t="s">
        <v>2476</v>
      </c>
      <c r="C572" s="4" t="s">
        <v>4825</v>
      </c>
      <c r="D572" s="3" t="str">
        <f t="shared" si="48"/>
        <v>ELA</v>
      </c>
      <c r="E572" s="3" t="str">
        <f t="shared" si="49"/>
        <v>U</v>
      </c>
      <c r="F572" s="3" t="str">
        <f t="shared" si="50"/>
        <v>102</v>
      </c>
      <c r="G572" s="3" t="str">
        <f t="shared" si="51"/>
        <v>VS</v>
      </c>
      <c r="H572" s="3" t="str">
        <f t="shared" si="52"/>
        <v>000</v>
      </c>
      <c r="I572" s="3" t="str">
        <f t="shared" si="53"/>
        <v>00</v>
      </c>
      <c r="L572" s="3" t="s">
        <v>3309</v>
      </c>
      <c r="R572" s="3" t="s">
        <v>4826</v>
      </c>
      <c r="S572" s="15" t="s">
        <v>3247</v>
      </c>
    </row>
    <row r="573" spans="1:19" x14ac:dyDescent="0.25">
      <c r="A573" s="4" t="s">
        <v>4827</v>
      </c>
      <c r="B573" s="4" t="s">
        <v>2476</v>
      </c>
      <c r="C573" s="4" t="s">
        <v>531</v>
      </c>
      <c r="D573" s="3" t="str">
        <f t="shared" si="48"/>
        <v>ELA</v>
      </c>
      <c r="E573" s="3" t="str">
        <f t="shared" si="49"/>
        <v>U</v>
      </c>
      <c r="F573" s="3" t="str">
        <f t="shared" si="50"/>
        <v>103</v>
      </c>
      <c r="G573" s="3" t="str">
        <f t="shared" si="51"/>
        <v>VS</v>
      </c>
      <c r="H573" s="3" t="str">
        <f t="shared" si="52"/>
        <v>000</v>
      </c>
      <c r="I573" s="3" t="str">
        <f t="shared" si="53"/>
        <v>00</v>
      </c>
      <c r="L573" s="3" t="s">
        <v>3309</v>
      </c>
      <c r="R573" s="3" t="s">
        <v>4828</v>
      </c>
      <c r="S573" s="15" t="s">
        <v>3247</v>
      </c>
    </row>
    <row r="574" spans="1:19" ht="30" x14ac:dyDescent="0.25">
      <c r="A574" s="4" t="s">
        <v>4829</v>
      </c>
      <c r="B574" s="4" t="s">
        <v>4830</v>
      </c>
      <c r="C574" s="4" t="s">
        <v>4831</v>
      </c>
      <c r="D574" s="3" t="str">
        <f t="shared" si="48"/>
        <v>LVL</v>
      </c>
      <c r="E574" s="3" t="str">
        <f t="shared" si="49"/>
        <v>B</v>
      </c>
      <c r="F574" s="3" t="str">
        <f t="shared" si="50"/>
        <v>004</v>
      </c>
      <c r="G574" s="3" t="str">
        <f t="shared" si="51"/>
        <v>PT</v>
      </c>
      <c r="H574" s="3" t="str">
        <f t="shared" si="52"/>
        <v>001</v>
      </c>
      <c r="I574" s="3" t="str">
        <f t="shared" si="53"/>
        <v>01</v>
      </c>
      <c r="L574" s="3" t="s">
        <v>3245</v>
      </c>
      <c r="R574" s="3" t="s">
        <v>2884</v>
      </c>
      <c r="S574" s="15">
        <v>1</v>
      </c>
    </row>
    <row r="575" spans="1:19" ht="30" x14ac:dyDescent="0.25">
      <c r="A575" s="4" t="s">
        <v>4832</v>
      </c>
      <c r="B575" s="4" t="s">
        <v>4830</v>
      </c>
      <c r="C575" s="4" t="s">
        <v>4833</v>
      </c>
      <c r="D575" s="3" t="str">
        <f t="shared" si="48"/>
        <v>LVL</v>
      </c>
      <c r="E575" s="3" t="str">
        <f t="shared" si="49"/>
        <v>E</v>
      </c>
      <c r="F575" s="3" t="str">
        <f t="shared" si="50"/>
        <v>050</v>
      </c>
      <c r="G575" s="3" t="str">
        <f t="shared" si="51"/>
        <v>MI</v>
      </c>
      <c r="H575" s="3" t="str">
        <f t="shared" si="52"/>
        <v>002</v>
      </c>
      <c r="I575" s="3" t="str">
        <f t="shared" si="53"/>
        <v>03</v>
      </c>
      <c r="L575" s="3" t="s">
        <v>3245</v>
      </c>
      <c r="R575" s="3" t="s">
        <v>2885</v>
      </c>
      <c r="S575" s="15" t="s">
        <v>3247</v>
      </c>
    </row>
    <row r="576" spans="1:19" ht="30" x14ac:dyDescent="0.25">
      <c r="A576" s="4" t="s">
        <v>4834</v>
      </c>
      <c r="B576" s="4" t="s">
        <v>4830</v>
      </c>
      <c r="C576" s="4" t="s">
        <v>4835</v>
      </c>
      <c r="D576" s="3" t="str">
        <f t="shared" si="48"/>
        <v>LVL</v>
      </c>
      <c r="E576" s="3" t="str">
        <f t="shared" si="49"/>
        <v>E</v>
      </c>
      <c r="F576" s="3" t="str">
        <f t="shared" si="50"/>
        <v>050</v>
      </c>
      <c r="G576" s="3" t="str">
        <f t="shared" si="51"/>
        <v>MI</v>
      </c>
      <c r="H576" s="3" t="str">
        <f t="shared" si="52"/>
        <v>003</v>
      </c>
      <c r="I576" s="3" t="str">
        <f t="shared" si="53"/>
        <v>03</v>
      </c>
      <c r="L576" s="3" t="s">
        <v>3245</v>
      </c>
      <c r="R576" s="3" t="s">
        <v>2886</v>
      </c>
      <c r="S576" s="15" t="s">
        <v>3247</v>
      </c>
    </row>
    <row r="577" spans="1:19" ht="30" x14ac:dyDescent="0.25">
      <c r="A577" s="4" t="s">
        <v>4836</v>
      </c>
      <c r="B577" s="4" t="s">
        <v>4830</v>
      </c>
      <c r="C577" s="4" t="s">
        <v>4837</v>
      </c>
      <c r="D577" s="3" t="str">
        <f t="shared" si="48"/>
        <v>LVL</v>
      </c>
      <c r="E577" s="3" t="str">
        <f t="shared" si="49"/>
        <v>E</v>
      </c>
      <c r="F577" s="3" t="str">
        <f t="shared" si="50"/>
        <v>050</v>
      </c>
      <c r="G577" s="3" t="str">
        <f t="shared" si="51"/>
        <v>MI</v>
      </c>
      <c r="H577" s="3" t="str">
        <f t="shared" si="52"/>
        <v>004</v>
      </c>
      <c r="I577" s="3" t="str">
        <f t="shared" si="53"/>
        <v>03</v>
      </c>
      <c r="L577" s="3" t="s">
        <v>3245</v>
      </c>
      <c r="R577" s="3" t="s">
        <v>2887</v>
      </c>
      <c r="S577" s="15" t="s">
        <v>3247</v>
      </c>
    </row>
    <row r="578" spans="1:19" x14ac:dyDescent="0.25">
      <c r="A578" s="4" t="s">
        <v>4838</v>
      </c>
      <c r="B578" s="4" t="s">
        <v>4830</v>
      </c>
      <c r="C578" s="4" t="s">
        <v>4839</v>
      </c>
      <c r="D578" s="3" t="str">
        <f t="shared" ref="D578:D641" si="54">LEFT(A578,3)</f>
        <v>LVL</v>
      </c>
      <c r="E578" s="3" t="str">
        <f t="shared" ref="E578:E641" si="55">MID(A578,4,1)</f>
        <v>A</v>
      </c>
      <c r="F578" s="3" t="str">
        <f t="shared" ref="F578:F641" si="56">MID(A578,5,3)</f>
        <v>004</v>
      </c>
      <c r="G578" s="3" t="str">
        <f t="shared" ref="G578:G641" si="57">MID(A578,8,2)</f>
        <v>DS</v>
      </c>
      <c r="H578" s="3" t="str">
        <f t="shared" ref="H578:H641" si="58">MID(A578,10,3)</f>
        <v>000</v>
      </c>
      <c r="I578" s="3" t="str">
        <f t="shared" ref="I578:I641" si="59">MID(A578,13,2)</f>
        <v>05</v>
      </c>
      <c r="L578" s="3" t="s">
        <v>3309</v>
      </c>
      <c r="R578" s="3" t="s">
        <v>4840</v>
      </c>
      <c r="S578" s="15" t="s">
        <v>3247</v>
      </c>
    </row>
    <row r="579" spans="1:19" ht="30" x14ac:dyDescent="0.25">
      <c r="A579" s="4" t="s">
        <v>4841</v>
      </c>
      <c r="B579" s="4" t="s">
        <v>4830</v>
      </c>
      <c r="C579" s="4" t="s">
        <v>4842</v>
      </c>
      <c r="D579" s="3" t="str">
        <f t="shared" si="54"/>
        <v>LVL</v>
      </c>
      <c r="E579" s="3" t="str">
        <f t="shared" si="55"/>
        <v>B</v>
      </c>
      <c r="F579" s="3" t="str">
        <f t="shared" si="56"/>
        <v>003</v>
      </c>
      <c r="G579" s="3" t="str">
        <f t="shared" si="57"/>
        <v>BA</v>
      </c>
      <c r="H579" s="3" t="str">
        <f t="shared" si="58"/>
        <v>005</v>
      </c>
      <c r="I579" s="3" t="str">
        <f t="shared" si="59"/>
        <v>02</v>
      </c>
      <c r="L579" s="3" t="s">
        <v>3309</v>
      </c>
      <c r="R579" s="3" t="s">
        <v>2888</v>
      </c>
      <c r="S579" s="15" t="s">
        <v>3247</v>
      </c>
    </row>
    <row r="580" spans="1:19" ht="30" x14ac:dyDescent="0.25">
      <c r="A580" s="4" t="s">
        <v>4843</v>
      </c>
      <c r="B580" s="4" t="s">
        <v>4830</v>
      </c>
      <c r="C580" s="4" t="s">
        <v>4844</v>
      </c>
      <c r="D580" s="3" t="str">
        <f t="shared" si="54"/>
        <v>LVL</v>
      </c>
      <c r="E580" s="3" t="str">
        <f t="shared" si="55"/>
        <v>B</v>
      </c>
      <c r="F580" s="3" t="str">
        <f t="shared" si="56"/>
        <v>004</v>
      </c>
      <c r="G580" s="3" t="str">
        <f t="shared" si="57"/>
        <v>MI</v>
      </c>
      <c r="H580" s="3" t="str">
        <f t="shared" si="58"/>
        <v>000</v>
      </c>
      <c r="I580" s="3" t="str">
        <f t="shared" si="59"/>
        <v>00</v>
      </c>
      <c r="L580" s="3" t="s">
        <v>3309</v>
      </c>
      <c r="R580" s="3" t="s">
        <v>4845</v>
      </c>
      <c r="S580" s="15" t="s">
        <v>3247</v>
      </c>
    </row>
    <row r="581" spans="1:19" x14ac:dyDescent="0.25">
      <c r="A581" s="4" t="s">
        <v>4846</v>
      </c>
      <c r="B581" s="4" t="s">
        <v>4830</v>
      </c>
      <c r="C581" s="4" t="s">
        <v>4847</v>
      </c>
      <c r="D581" s="3" t="str">
        <f t="shared" si="54"/>
        <v>LVL</v>
      </c>
      <c r="E581" s="3" t="str">
        <f t="shared" si="55"/>
        <v>F</v>
      </c>
      <c r="F581" s="3" t="str">
        <f t="shared" si="56"/>
        <v>003</v>
      </c>
      <c r="G581" s="3" t="str">
        <f t="shared" si="57"/>
        <v>EL</v>
      </c>
      <c r="H581" s="3" t="str">
        <f t="shared" si="58"/>
        <v>006</v>
      </c>
      <c r="I581" s="3" t="str">
        <f t="shared" si="59"/>
        <v>00</v>
      </c>
      <c r="L581" s="3" t="s">
        <v>3309</v>
      </c>
      <c r="R581" s="3" t="s">
        <v>2889</v>
      </c>
      <c r="S581" s="15" t="s">
        <v>3247</v>
      </c>
    </row>
    <row r="582" spans="1:19" x14ac:dyDescent="0.25">
      <c r="A582" s="4" t="s">
        <v>4848</v>
      </c>
      <c r="B582" s="4" t="s">
        <v>4830</v>
      </c>
      <c r="C582" s="4" t="s">
        <v>4849</v>
      </c>
      <c r="D582" s="3" t="str">
        <f t="shared" si="54"/>
        <v>LVL</v>
      </c>
      <c r="E582" s="3" t="str">
        <f t="shared" si="55"/>
        <v>A</v>
      </c>
      <c r="F582" s="3" t="str">
        <f t="shared" si="56"/>
        <v>002</v>
      </c>
      <c r="G582" s="3" t="str">
        <f t="shared" si="57"/>
        <v>DS</v>
      </c>
      <c r="H582" s="3" t="str">
        <f t="shared" si="58"/>
        <v>000</v>
      </c>
      <c r="I582" s="3" t="str">
        <f t="shared" si="59"/>
        <v>05</v>
      </c>
      <c r="L582" s="3" t="s">
        <v>3309</v>
      </c>
      <c r="R582" s="3" t="s">
        <v>4850</v>
      </c>
      <c r="S582" s="15" t="s">
        <v>3247</v>
      </c>
    </row>
    <row r="583" spans="1:19" x14ac:dyDescent="0.25">
      <c r="A583" s="4" t="s">
        <v>4851</v>
      </c>
      <c r="B583" s="4" t="s">
        <v>4830</v>
      </c>
      <c r="C583" s="4" t="s">
        <v>4852</v>
      </c>
      <c r="D583" s="3" t="str">
        <f t="shared" si="54"/>
        <v>LVL</v>
      </c>
      <c r="E583" s="3" t="str">
        <f t="shared" si="55"/>
        <v>A</v>
      </c>
      <c r="F583" s="3" t="str">
        <f t="shared" si="56"/>
        <v>003</v>
      </c>
      <c r="G583" s="3" t="str">
        <f t="shared" si="57"/>
        <v>DS</v>
      </c>
      <c r="H583" s="3" t="str">
        <f t="shared" si="58"/>
        <v>000</v>
      </c>
      <c r="I583" s="3" t="str">
        <f t="shared" si="59"/>
        <v>05</v>
      </c>
      <c r="L583" s="3" t="s">
        <v>3309</v>
      </c>
      <c r="R583" s="3" t="s">
        <v>4853</v>
      </c>
      <c r="S583" s="15" t="s">
        <v>3247</v>
      </c>
    </row>
    <row r="584" spans="1:19" ht="30" x14ac:dyDescent="0.25">
      <c r="A584" s="4" t="s">
        <v>4854</v>
      </c>
      <c r="B584" s="4" t="s">
        <v>4830</v>
      </c>
      <c r="C584" s="4" t="s">
        <v>4855</v>
      </c>
      <c r="D584" s="3" t="str">
        <f t="shared" si="54"/>
        <v>LVL</v>
      </c>
      <c r="E584" s="3" t="str">
        <f t="shared" si="55"/>
        <v>E</v>
      </c>
      <c r="F584" s="3" t="str">
        <f t="shared" si="56"/>
        <v>050</v>
      </c>
      <c r="G584" s="3" t="str">
        <f t="shared" si="57"/>
        <v>MI</v>
      </c>
      <c r="H584" s="3" t="str">
        <f t="shared" si="58"/>
        <v>007</v>
      </c>
      <c r="I584" s="3" t="str">
        <f t="shared" si="59"/>
        <v>03</v>
      </c>
      <c r="L584" s="3" t="s">
        <v>3309</v>
      </c>
      <c r="R584" s="3" t="s">
        <v>2890</v>
      </c>
      <c r="S584" s="15">
        <v>187</v>
      </c>
    </row>
    <row r="585" spans="1:19" ht="30" x14ac:dyDescent="0.25">
      <c r="A585" s="4" t="s">
        <v>4856</v>
      </c>
      <c r="B585" s="4" t="s">
        <v>4830</v>
      </c>
      <c r="C585" s="4" t="s">
        <v>4857</v>
      </c>
      <c r="D585" s="3" t="str">
        <f t="shared" si="54"/>
        <v>LVL</v>
      </c>
      <c r="E585" s="3" t="str">
        <f t="shared" si="55"/>
        <v>C</v>
      </c>
      <c r="F585" s="3" t="str">
        <f t="shared" si="56"/>
        <v>001</v>
      </c>
      <c r="G585" s="3" t="str">
        <f t="shared" si="57"/>
        <v>BE</v>
      </c>
      <c r="H585" s="3" t="str">
        <f t="shared" si="58"/>
        <v>008</v>
      </c>
      <c r="I585" s="3" t="str">
        <f t="shared" si="59"/>
        <v>01</v>
      </c>
      <c r="L585" s="3" t="s">
        <v>3309</v>
      </c>
      <c r="R585" s="3" t="s">
        <v>2891</v>
      </c>
      <c r="S585" s="15">
        <v>18</v>
      </c>
    </row>
    <row r="586" spans="1:19" ht="30" x14ac:dyDescent="0.25">
      <c r="A586" s="4" t="s">
        <v>4858</v>
      </c>
      <c r="B586" s="4" t="s">
        <v>4830</v>
      </c>
      <c r="C586" s="4" t="s">
        <v>4859</v>
      </c>
      <c r="D586" s="3" t="str">
        <f t="shared" si="54"/>
        <v>LVL</v>
      </c>
      <c r="E586" s="3" t="str">
        <f t="shared" si="55"/>
        <v>B</v>
      </c>
      <c r="F586" s="3" t="str">
        <f t="shared" si="56"/>
        <v>004</v>
      </c>
      <c r="G586" s="3" t="str">
        <f t="shared" si="57"/>
        <v>EL</v>
      </c>
      <c r="H586" s="3" t="str">
        <f t="shared" si="58"/>
        <v>009</v>
      </c>
      <c r="I586" s="3" t="str">
        <f t="shared" si="59"/>
        <v>01</v>
      </c>
      <c r="L586" s="3" t="s">
        <v>3309</v>
      </c>
      <c r="R586" s="3" t="s">
        <v>2892</v>
      </c>
      <c r="S586" s="15" t="s">
        <v>3247</v>
      </c>
    </row>
    <row r="587" spans="1:19" x14ac:dyDescent="0.25">
      <c r="A587" s="4" t="s">
        <v>4860</v>
      </c>
      <c r="B587" s="4" t="s">
        <v>4830</v>
      </c>
      <c r="C587" s="4" t="s">
        <v>4861</v>
      </c>
      <c r="D587" s="3" t="str">
        <f t="shared" si="54"/>
        <v>LVL</v>
      </c>
      <c r="E587" s="3" t="str">
        <f t="shared" si="55"/>
        <v>C</v>
      </c>
      <c r="F587" s="3" t="str">
        <f t="shared" si="56"/>
        <v>002</v>
      </c>
      <c r="G587" s="3" t="str">
        <f t="shared" si="57"/>
        <v>SB</v>
      </c>
      <c r="H587" s="3" t="str">
        <f t="shared" si="58"/>
        <v>010</v>
      </c>
      <c r="I587" s="3" t="str">
        <f t="shared" si="59"/>
        <v>01</v>
      </c>
      <c r="L587" s="3" t="s">
        <v>3309</v>
      </c>
      <c r="R587" s="3" t="s">
        <v>4862</v>
      </c>
      <c r="S587" s="15" t="s">
        <v>3247</v>
      </c>
    </row>
    <row r="588" spans="1:19" x14ac:dyDescent="0.25">
      <c r="A588" s="4" t="s">
        <v>4863</v>
      </c>
      <c r="B588" s="4" t="s">
        <v>4830</v>
      </c>
      <c r="C588" s="4" t="s">
        <v>4864</v>
      </c>
      <c r="D588" s="3" t="str">
        <f t="shared" si="54"/>
        <v>LVL</v>
      </c>
      <c r="E588" s="3" t="str">
        <f t="shared" si="55"/>
        <v>E</v>
      </c>
      <c r="F588" s="3" t="str">
        <f t="shared" si="56"/>
        <v>120</v>
      </c>
      <c r="G588" s="3" t="str">
        <f t="shared" si="57"/>
        <v>MI</v>
      </c>
      <c r="H588" s="3" t="str">
        <f t="shared" si="58"/>
        <v>000</v>
      </c>
      <c r="I588" s="3" t="str">
        <f t="shared" si="59"/>
        <v>03</v>
      </c>
      <c r="L588" s="3" t="s">
        <v>3309</v>
      </c>
      <c r="R588" s="3" t="s">
        <v>4865</v>
      </c>
      <c r="S588" s="15" t="s">
        <v>3247</v>
      </c>
    </row>
    <row r="589" spans="1:19" x14ac:dyDescent="0.25">
      <c r="A589" s="4" t="s">
        <v>4866</v>
      </c>
      <c r="B589" s="4" t="s">
        <v>4830</v>
      </c>
      <c r="C589" s="4" t="s">
        <v>4867</v>
      </c>
      <c r="D589" s="3" t="str">
        <f t="shared" si="54"/>
        <v>LVL</v>
      </c>
      <c r="E589" s="3" t="str">
        <f t="shared" si="55"/>
        <v>E</v>
      </c>
      <c r="F589" s="3" t="str">
        <f t="shared" si="56"/>
        <v>200</v>
      </c>
      <c r="G589" s="3" t="str">
        <f t="shared" si="57"/>
        <v>MI</v>
      </c>
      <c r="H589" s="3" t="str">
        <f t="shared" si="58"/>
        <v>000</v>
      </c>
      <c r="I589" s="3" t="str">
        <f t="shared" si="59"/>
        <v>04</v>
      </c>
      <c r="L589" s="3" t="s">
        <v>3309</v>
      </c>
      <c r="R589" s="3" t="s">
        <v>4868</v>
      </c>
      <c r="S589" s="15" t="s">
        <v>3247</v>
      </c>
    </row>
    <row r="590" spans="1:19" ht="30" x14ac:dyDescent="0.25">
      <c r="A590" s="4" t="s">
        <v>4869</v>
      </c>
      <c r="B590" s="4" t="s">
        <v>4830</v>
      </c>
      <c r="C590" s="4" t="s">
        <v>4870</v>
      </c>
      <c r="D590" s="3" t="str">
        <f t="shared" si="54"/>
        <v>LVL</v>
      </c>
      <c r="E590" s="3" t="str">
        <f t="shared" si="55"/>
        <v>B</v>
      </c>
      <c r="F590" s="3" t="str">
        <f t="shared" si="56"/>
        <v>002</v>
      </c>
      <c r="G590" s="3" t="str">
        <f t="shared" si="57"/>
        <v>NA</v>
      </c>
      <c r="H590" s="3" t="str">
        <f t="shared" si="58"/>
        <v>000</v>
      </c>
      <c r="I590" s="3" t="str">
        <f t="shared" si="59"/>
        <v>01</v>
      </c>
      <c r="L590" s="3" t="s">
        <v>3309</v>
      </c>
      <c r="R590" s="3" t="s">
        <v>4871</v>
      </c>
      <c r="S590" s="15" t="s">
        <v>3247</v>
      </c>
    </row>
    <row r="591" spans="1:19" ht="30" x14ac:dyDescent="0.25">
      <c r="A591" s="4" t="s">
        <v>4872</v>
      </c>
      <c r="B591" s="4" t="s">
        <v>4830</v>
      </c>
      <c r="C591" s="4" t="s">
        <v>4873</v>
      </c>
      <c r="D591" s="3" t="str">
        <f t="shared" si="54"/>
        <v>LVL</v>
      </c>
      <c r="E591" s="3" t="str">
        <f t="shared" si="55"/>
        <v>B</v>
      </c>
      <c r="F591" s="3" t="str">
        <f t="shared" si="56"/>
        <v>003</v>
      </c>
      <c r="G591" s="3" t="str">
        <f t="shared" si="57"/>
        <v>NA</v>
      </c>
      <c r="H591" s="3" t="str">
        <f t="shared" si="58"/>
        <v>000</v>
      </c>
      <c r="I591" s="3" t="str">
        <f t="shared" si="59"/>
        <v>01</v>
      </c>
      <c r="L591" s="3" t="s">
        <v>3309</v>
      </c>
      <c r="R591" s="3" t="s">
        <v>4874</v>
      </c>
      <c r="S591" s="15">
        <v>13</v>
      </c>
    </row>
    <row r="592" spans="1:19" x14ac:dyDescent="0.25">
      <c r="A592" s="4" t="s">
        <v>4875</v>
      </c>
      <c r="B592" s="4" t="s">
        <v>4830</v>
      </c>
      <c r="C592" s="4" t="s">
        <v>4876</v>
      </c>
      <c r="D592" s="3" t="str">
        <f t="shared" si="54"/>
        <v>LVL</v>
      </c>
      <c r="E592" s="3" t="str">
        <f t="shared" si="55"/>
        <v>G</v>
      </c>
      <c r="F592" s="3" t="str">
        <f t="shared" si="56"/>
        <v>000</v>
      </c>
      <c r="G592" s="3" t="str">
        <f t="shared" si="57"/>
        <v>NA</v>
      </c>
      <c r="H592" s="3" t="str">
        <f t="shared" si="58"/>
        <v>000</v>
      </c>
      <c r="I592" s="3" t="str">
        <f t="shared" si="59"/>
        <v>00</v>
      </c>
      <c r="L592" s="3" t="s">
        <v>3309</v>
      </c>
      <c r="R592" s="3" t="s">
        <v>4877</v>
      </c>
      <c r="S592" s="15" t="s">
        <v>3247</v>
      </c>
    </row>
    <row r="593" spans="1:19" x14ac:dyDescent="0.25">
      <c r="A593" s="4" t="s">
        <v>4878</v>
      </c>
      <c r="B593" s="4" t="s">
        <v>4830</v>
      </c>
      <c r="C593" s="4" t="s">
        <v>4879</v>
      </c>
      <c r="D593" s="3" t="str">
        <f t="shared" si="54"/>
        <v>LVL</v>
      </c>
      <c r="E593" s="3" t="str">
        <f t="shared" si="55"/>
        <v>H</v>
      </c>
      <c r="F593" s="3" t="str">
        <f t="shared" si="56"/>
        <v>000</v>
      </c>
      <c r="G593" s="3" t="str">
        <f t="shared" si="57"/>
        <v>NA</v>
      </c>
      <c r="H593" s="3" t="str">
        <f t="shared" si="58"/>
        <v>000</v>
      </c>
      <c r="I593" s="3" t="str">
        <f t="shared" si="59"/>
        <v>00</v>
      </c>
      <c r="L593" s="3" t="s">
        <v>3309</v>
      </c>
      <c r="R593" s="3" t="s">
        <v>4880</v>
      </c>
      <c r="S593" s="15" t="s">
        <v>3247</v>
      </c>
    </row>
    <row r="594" spans="1:19" x14ac:dyDescent="0.25">
      <c r="A594" s="4" t="s">
        <v>4881</v>
      </c>
      <c r="B594" s="4" t="s">
        <v>4830</v>
      </c>
      <c r="C594" s="4" t="s">
        <v>4882</v>
      </c>
      <c r="D594" s="3" t="str">
        <f t="shared" si="54"/>
        <v>LVL</v>
      </c>
      <c r="E594" s="3" t="str">
        <f t="shared" si="55"/>
        <v>B</v>
      </c>
      <c r="F594" s="3" t="str">
        <f t="shared" si="56"/>
        <v>003</v>
      </c>
      <c r="G594" s="3" t="str">
        <f t="shared" si="57"/>
        <v>NA</v>
      </c>
      <c r="H594" s="3" t="str">
        <f t="shared" si="58"/>
        <v>000</v>
      </c>
      <c r="I594" s="3" t="str">
        <f t="shared" si="59"/>
        <v>00</v>
      </c>
      <c r="L594" s="3" t="s">
        <v>3309</v>
      </c>
      <c r="R594" s="3" t="s">
        <v>4883</v>
      </c>
      <c r="S594" s="15" t="s">
        <v>3247</v>
      </c>
    </row>
    <row r="595" spans="1:19" x14ac:dyDescent="0.25">
      <c r="A595" s="4" t="s">
        <v>4884</v>
      </c>
      <c r="B595" s="4" t="s">
        <v>4830</v>
      </c>
      <c r="C595" s="4" t="s">
        <v>4885</v>
      </c>
      <c r="D595" s="3" t="str">
        <f t="shared" si="54"/>
        <v>LVL</v>
      </c>
      <c r="E595" s="3" t="str">
        <f t="shared" si="55"/>
        <v>C</v>
      </c>
      <c r="F595" s="3" t="str">
        <f t="shared" si="56"/>
        <v>001</v>
      </c>
      <c r="G595" s="3" t="str">
        <f t="shared" si="57"/>
        <v>NA</v>
      </c>
      <c r="H595" s="3" t="str">
        <f t="shared" si="58"/>
        <v>000</v>
      </c>
      <c r="I595" s="3" t="str">
        <f t="shared" si="59"/>
        <v>00</v>
      </c>
      <c r="L595" s="3" t="s">
        <v>3309</v>
      </c>
      <c r="R595" s="3" t="s">
        <v>4886</v>
      </c>
      <c r="S595" s="15" t="s">
        <v>3247</v>
      </c>
    </row>
    <row r="596" spans="1:19" x14ac:dyDescent="0.25">
      <c r="A596" s="4" t="s">
        <v>4887</v>
      </c>
      <c r="B596" s="4" t="s">
        <v>4830</v>
      </c>
      <c r="C596" s="4" t="s">
        <v>4888</v>
      </c>
      <c r="D596" s="3" t="str">
        <f t="shared" si="54"/>
        <v>LVL</v>
      </c>
      <c r="E596" s="3" t="str">
        <f t="shared" si="55"/>
        <v>B</v>
      </c>
      <c r="F596" s="3" t="str">
        <f t="shared" si="56"/>
        <v>004</v>
      </c>
      <c r="G596" s="3" t="str">
        <f t="shared" si="57"/>
        <v>NA</v>
      </c>
      <c r="H596" s="3" t="str">
        <f t="shared" si="58"/>
        <v>000</v>
      </c>
      <c r="I596" s="3" t="str">
        <f t="shared" si="59"/>
        <v>01</v>
      </c>
      <c r="L596" s="3" t="s">
        <v>3309</v>
      </c>
      <c r="R596" s="3" t="s">
        <v>4889</v>
      </c>
      <c r="S596" s="15" t="s">
        <v>3247</v>
      </c>
    </row>
    <row r="597" spans="1:19" ht="30" x14ac:dyDescent="0.25">
      <c r="A597" s="4" t="s">
        <v>4890</v>
      </c>
      <c r="B597" s="4" t="s">
        <v>4830</v>
      </c>
      <c r="C597" s="4" t="s">
        <v>4891</v>
      </c>
      <c r="D597" s="3" t="str">
        <f t="shared" si="54"/>
        <v>LVL</v>
      </c>
      <c r="E597" s="3" t="str">
        <f t="shared" si="55"/>
        <v>B</v>
      </c>
      <c r="F597" s="3" t="str">
        <f t="shared" si="56"/>
        <v>002</v>
      </c>
      <c r="G597" s="3" t="str">
        <f t="shared" si="57"/>
        <v>ST</v>
      </c>
      <c r="H597" s="3" t="str">
        <f t="shared" si="58"/>
        <v>000</v>
      </c>
      <c r="I597" s="3" t="str">
        <f t="shared" si="59"/>
        <v>01</v>
      </c>
      <c r="L597" s="3" t="s">
        <v>3309</v>
      </c>
      <c r="R597" s="3" t="s">
        <v>4892</v>
      </c>
      <c r="S597" s="15" t="s">
        <v>3247</v>
      </c>
    </row>
    <row r="598" spans="1:19" x14ac:dyDescent="0.25">
      <c r="A598" s="4" t="s">
        <v>4893</v>
      </c>
      <c r="B598" s="4" t="s">
        <v>4830</v>
      </c>
      <c r="C598" s="4" t="s">
        <v>4894</v>
      </c>
      <c r="D598" s="3" t="str">
        <f t="shared" si="54"/>
        <v>LVL</v>
      </c>
      <c r="E598" s="3" t="str">
        <f t="shared" si="55"/>
        <v>B</v>
      </c>
      <c r="F598" s="3" t="str">
        <f t="shared" si="56"/>
        <v>002</v>
      </c>
      <c r="G598" s="3" t="str">
        <f t="shared" si="57"/>
        <v>CI</v>
      </c>
      <c r="H598" s="3" t="str">
        <f t="shared" si="58"/>
        <v>000</v>
      </c>
      <c r="I598" s="3" t="str">
        <f t="shared" si="59"/>
        <v>00</v>
      </c>
      <c r="L598" s="3" t="s">
        <v>3309</v>
      </c>
      <c r="R598" s="3" t="s">
        <v>4895</v>
      </c>
      <c r="S598" s="15">
        <v>188</v>
      </c>
    </row>
    <row r="599" spans="1:19" x14ac:dyDescent="0.25">
      <c r="A599" s="4" t="s">
        <v>4896</v>
      </c>
      <c r="B599" s="4" t="s">
        <v>4830</v>
      </c>
      <c r="C599" s="4" t="s">
        <v>4897</v>
      </c>
      <c r="D599" s="3" t="str">
        <f t="shared" si="54"/>
        <v>LVL</v>
      </c>
      <c r="E599" s="3" t="str">
        <f t="shared" si="55"/>
        <v>A</v>
      </c>
      <c r="F599" s="3" t="str">
        <f t="shared" si="56"/>
        <v>005</v>
      </c>
      <c r="G599" s="3" t="str">
        <f t="shared" si="57"/>
        <v>SP</v>
      </c>
      <c r="H599" s="3" t="str">
        <f t="shared" si="58"/>
        <v>000</v>
      </c>
      <c r="I599" s="3" t="str">
        <f t="shared" si="59"/>
        <v>02</v>
      </c>
      <c r="L599" s="3" t="s">
        <v>3309</v>
      </c>
      <c r="R599" s="3" t="s">
        <v>4898</v>
      </c>
      <c r="S599" s="15" t="s">
        <v>3247</v>
      </c>
    </row>
    <row r="600" spans="1:19" x14ac:dyDescent="0.25">
      <c r="A600" s="4" t="s">
        <v>4899</v>
      </c>
      <c r="B600" s="4" t="s">
        <v>4830</v>
      </c>
      <c r="C600" s="4" t="s">
        <v>4900</v>
      </c>
      <c r="D600" s="3" t="str">
        <f t="shared" si="54"/>
        <v>LVL</v>
      </c>
      <c r="E600" s="3" t="str">
        <f t="shared" si="55"/>
        <v>B</v>
      </c>
      <c r="F600" s="3" t="str">
        <f t="shared" si="56"/>
        <v>007</v>
      </c>
      <c r="G600" s="3" t="str">
        <f t="shared" si="57"/>
        <v>NA</v>
      </c>
      <c r="H600" s="3" t="str">
        <f t="shared" si="58"/>
        <v>000</v>
      </c>
      <c r="I600" s="3" t="str">
        <f t="shared" si="59"/>
        <v>01</v>
      </c>
      <c r="L600" s="3" t="s">
        <v>3309</v>
      </c>
      <c r="R600" s="3" t="s">
        <v>4901</v>
      </c>
      <c r="S600" s="15" t="s">
        <v>3247</v>
      </c>
    </row>
    <row r="601" spans="1:19" x14ac:dyDescent="0.25">
      <c r="A601" s="4" t="s">
        <v>4902</v>
      </c>
      <c r="B601" s="4" t="s">
        <v>4830</v>
      </c>
      <c r="C601" s="4" t="s">
        <v>4903</v>
      </c>
      <c r="D601" s="3" t="str">
        <f t="shared" si="54"/>
        <v>LVL</v>
      </c>
      <c r="E601" s="3" t="str">
        <f t="shared" si="55"/>
        <v>B</v>
      </c>
      <c r="F601" s="3" t="str">
        <f t="shared" si="56"/>
        <v>008</v>
      </c>
      <c r="G601" s="3" t="str">
        <f t="shared" si="57"/>
        <v>NA</v>
      </c>
      <c r="H601" s="3" t="str">
        <f t="shared" si="58"/>
        <v>000</v>
      </c>
      <c r="I601" s="3" t="str">
        <f t="shared" si="59"/>
        <v>01</v>
      </c>
      <c r="L601" s="3" t="s">
        <v>3309</v>
      </c>
      <c r="R601" s="3" t="s">
        <v>4904</v>
      </c>
      <c r="S601" s="15" t="s">
        <v>3247</v>
      </c>
    </row>
    <row r="602" spans="1:19" ht="30" x14ac:dyDescent="0.25">
      <c r="A602" s="4" t="s">
        <v>4905</v>
      </c>
      <c r="B602" s="4" t="s">
        <v>4830</v>
      </c>
      <c r="C602" s="4" t="s">
        <v>4906</v>
      </c>
      <c r="D602" s="3" t="str">
        <f t="shared" si="54"/>
        <v>LVL</v>
      </c>
      <c r="E602" s="3" t="str">
        <f t="shared" si="55"/>
        <v>B</v>
      </c>
      <c r="F602" s="3" t="str">
        <f t="shared" si="56"/>
        <v>003</v>
      </c>
      <c r="G602" s="3" t="str">
        <f t="shared" si="57"/>
        <v>CI</v>
      </c>
      <c r="H602" s="3" t="str">
        <f t="shared" si="58"/>
        <v>000</v>
      </c>
      <c r="I602" s="3" t="str">
        <f t="shared" si="59"/>
        <v>01</v>
      </c>
      <c r="L602" s="3" t="s">
        <v>3309</v>
      </c>
      <c r="R602" s="3" t="s">
        <v>4907</v>
      </c>
      <c r="S602" s="15" t="s">
        <v>3247</v>
      </c>
    </row>
    <row r="603" spans="1:19" x14ac:dyDescent="0.25">
      <c r="A603" s="4" t="s">
        <v>4908</v>
      </c>
      <c r="B603" s="4" t="s">
        <v>4830</v>
      </c>
      <c r="C603" s="4" t="s">
        <v>4909</v>
      </c>
      <c r="D603" s="3" t="str">
        <f t="shared" si="54"/>
        <v>LVL</v>
      </c>
      <c r="E603" s="3" t="str">
        <f t="shared" si="55"/>
        <v>C</v>
      </c>
      <c r="F603" s="3" t="str">
        <f t="shared" si="56"/>
        <v>003</v>
      </c>
      <c r="G603" s="3" t="str">
        <f t="shared" si="57"/>
        <v>CI</v>
      </c>
      <c r="H603" s="3" t="str">
        <f t="shared" si="58"/>
        <v>000</v>
      </c>
      <c r="I603" s="3" t="str">
        <f t="shared" si="59"/>
        <v>00</v>
      </c>
      <c r="L603" s="3" t="s">
        <v>3309</v>
      </c>
      <c r="R603" s="3" t="s">
        <v>4910</v>
      </c>
      <c r="S603" s="15" t="s">
        <v>3247</v>
      </c>
    </row>
    <row r="604" spans="1:19" ht="30" x14ac:dyDescent="0.25">
      <c r="A604" s="4" t="s">
        <v>4911</v>
      </c>
      <c r="B604" s="4" t="s">
        <v>4830</v>
      </c>
      <c r="C604" s="4" t="s">
        <v>4891</v>
      </c>
      <c r="D604" s="3" t="str">
        <f t="shared" si="54"/>
        <v>LVL</v>
      </c>
      <c r="E604" s="3" t="str">
        <f t="shared" si="55"/>
        <v>B</v>
      </c>
      <c r="F604" s="3" t="str">
        <f t="shared" si="56"/>
        <v>002</v>
      </c>
      <c r="G604" s="3" t="str">
        <f t="shared" si="57"/>
        <v>BE</v>
      </c>
      <c r="H604" s="3" t="str">
        <f t="shared" si="58"/>
        <v>009</v>
      </c>
      <c r="I604" s="3" t="str">
        <f t="shared" si="59"/>
        <v>01</v>
      </c>
      <c r="L604" s="3" t="s">
        <v>3309</v>
      </c>
      <c r="R604" s="3" t="s">
        <v>4912</v>
      </c>
      <c r="S604" s="15" t="s">
        <v>3247</v>
      </c>
    </row>
    <row r="605" spans="1:19" ht="30" x14ac:dyDescent="0.25">
      <c r="A605" s="4" t="s">
        <v>4913</v>
      </c>
      <c r="B605" s="4" t="s">
        <v>4830</v>
      </c>
      <c r="C605" s="4" t="s">
        <v>4914</v>
      </c>
      <c r="D605" s="3" t="str">
        <f t="shared" si="54"/>
        <v>LVL</v>
      </c>
      <c r="E605" s="3" t="str">
        <f t="shared" si="55"/>
        <v>B</v>
      </c>
      <c r="F605" s="3" t="str">
        <f t="shared" si="56"/>
        <v>006</v>
      </c>
      <c r="G605" s="3" t="str">
        <f t="shared" si="57"/>
        <v>PT</v>
      </c>
      <c r="H605" s="3" t="str">
        <f t="shared" si="58"/>
        <v>000</v>
      </c>
      <c r="I605" s="3" t="str">
        <f t="shared" si="59"/>
        <v>01</v>
      </c>
      <c r="L605" s="3" t="s">
        <v>3309</v>
      </c>
      <c r="R605" s="3" t="s">
        <v>4915</v>
      </c>
      <c r="S605" s="15" t="s">
        <v>3247</v>
      </c>
    </row>
    <row r="606" spans="1:19" x14ac:dyDescent="0.25">
      <c r="A606" s="4" t="s">
        <v>4916</v>
      </c>
      <c r="B606" s="4" t="s">
        <v>4917</v>
      </c>
      <c r="C606" s="4" t="s">
        <v>4918</v>
      </c>
      <c r="D606" s="3" t="str">
        <f t="shared" si="54"/>
        <v>PAC</v>
      </c>
      <c r="E606" s="3" t="str">
        <f t="shared" si="55"/>
        <v>A</v>
      </c>
      <c r="F606" s="3" t="str">
        <f t="shared" si="56"/>
        <v>001</v>
      </c>
      <c r="G606" s="3" t="str">
        <f t="shared" si="57"/>
        <v>AS</v>
      </c>
      <c r="H606" s="3" t="str">
        <f t="shared" si="58"/>
        <v>000</v>
      </c>
      <c r="I606" s="3" t="str">
        <f t="shared" si="59"/>
        <v>00</v>
      </c>
      <c r="L606" s="3" t="s">
        <v>3608</v>
      </c>
      <c r="R606" s="3" t="s">
        <v>4919</v>
      </c>
      <c r="S606" s="15" t="s">
        <v>3247</v>
      </c>
    </row>
    <row r="607" spans="1:19" x14ac:dyDescent="0.25">
      <c r="A607" s="4" t="s">
        <v>4920</v>
      </c>
      <c r="B607" s="4" t="s">
        <v>4917</v>
      </c>
      <c r="C607" s="4" t="s">
        <v>4921</v>
      </c>
      <c r="D607" s="3" t="str">
        <f t="shared" si="54"/>
        <v>PAC</v>
      </c>
      <c r="E607" s="3" t="str">
        <f t="shared" si="55"/>
        <v>B</v>
      </c>
      <c r="F607" s="3" t="str">
        <f t="shared" si="56"/>
        <v>002</v>
      </c>
      <c r="G607" s="3" t="str">
        <f t="shared" si="57"/>
        <v>BM</v>
      </c>
      <c r="H607" s="3" t="str">
        <f t="shared" si="58"/>
        <v>000</v>
      </c>
      <c r="I607" s="3" t="str">
        <f t="shared" si="59"/>
        <v>00</v>
      </c>
      <c r="L607" s="3" t="s">
        <v>3309</v>
      </c>
      <c r="R607" s="3" t="s">
        <v>4922</v>
      </c>
      <c r="S607" s="15" t="s">
        <v>3247</v>
      </c>
    </row>
    <row r="608" spans="1:19" x14ac:dyDescent="0.25">
      <c r="A608" s="4" t="s">
        <v>4923</v>
      </c>
      <c r="B608" s="4" t="s">
        <v>4917</v>
      </c>
      <c r="C608" s="4" t="s">
        <v>4924</v>
      </c>
      <c r="D608" s="3" t="str">
        <f t="shared" si="54"/>
        <v>PAC</v>
      </c>
      <c r="E608" s="3" t="str">
        <f t="shared" si="55"/>
        <v>C</v>
      </c>
      <c r="F608" s="3" t="str">
        <f t="shared" si="56"/>
        <v>003</v>
      </c>
      <c r="G608" s="3" t="str">
        <f t="shared" si="57"/>
        <v>BM</v>
      </c>
      <c r="H608" s="3" t="str">
        <f t="shared" si="58"/>
        <v>000</v>
      </c>
      <c r="I608" s="3" t="str">
        <f t="shared" si="59"/>
        <v>00</v>
      </c>
      <c r="L608" s="3" t="s">
        <v>3309</v>
      </c>
      <c r="R608" s="3" t="s">
        <v>4925</v>
      </c>
      <c r="S608" s="15" t="s">
        <v>3247</v>
      </c>
    </row>
    <row r="609" spans="1:20" x14ac:dyDescent="0.25">
      <c r="A609" s="4" t="s">
        <v>4926</v>
      </c>
      <c r="B609" s="4" t="s">
        <v>4917</v>
      </c>
      <c r="C609" s="4" t="s">
        <v>2390</v>
      </c>
      <c r="D609" s="3" t="str">
        <f t="shared" si="54"/>
        <v>PAC</v>
      </c>
      <c r="E609" s="3" t="str">
        <f t="shared" si="55"/>
        <v>D</v>
      </c>
      <c r="F609" s="3" t="str">
        <f t="shared" si="56"/>
        <v>000</v>
      </c>
      <c r="G609" s="3" t="str">
        <f t="shared" si="57"/>
        <v>BM</v>
      </c>
      <c r="H609" s="3" t="str">
        <f t="shared" si="58"/>
        <v>000</v>
      </c>
      <c r="I609" s="3" t="str">
        <f t="shared" si="59"/>
        <v>00</v>
      </c>
      <c r="L609" s="3" t="s">
        <v>3309</v>
      </c>
      <c r="R609" s="3" t="s">
        <v>4927</v>
      </c>
      <c r="S609" s="15" t="s">
        <v>3247</v>
      </c>
    </row>
    <row r="610" spans="1:20" x14ac:dyDescent="0.25">
      <c r="A610" s="4" t="s">
        <v>4928</v>
      </c>
      <c r="B610" s="4" t="s">
        <v>4917</v>
      </c>
      <c r="C610" s="4" t="s">
        <v>2061</v>
      </c>
      <c r="D610" s="3" t="str">
        <f t="shared" si="54"/>
        <v>PAC</v>
      </c>
      <c r="E610" s="3" t="str">
        <f t="shared" si="55"/>
        <v>E</v>
      </c>
      <c r="F610" s="3" t="str">
        <f t="shared" si="56"/>
        <v>004</v>
      </c>
      <c r="G610" s="3" t="str">
        <f t="shared" si="57"/>
        <v>BP</v>
      </c>
      <c r="H610" s="3" t="str">
        <f t="shared" si="58"/>
        <v>000</v>
      </c>
      <c r="I610" s="3" t="str">
        <f t="shared" si="59"/>
        <v>00</v>
      </c>
      <c r="L610" s="3" t="s">
        <v>3309</v>
      </c>
      <c r="R610" s="3" t="s">
        <v>4929</v>
      </c>
      <c r="S610" s="15" t="s">
        <v>3247</v>
      </c>
    </row>
    <row r="611" spans="1:20" x14ac:dyDescent="0.25">
      <c r="A611" s="4" t="s">
        <v>4930</v>
      </c>
      <c r="B611" s="4" t="s">
        <v>4917</v>
      </c>
      <c r="C611" s="4" t="s">
        <v>2062</v>
      </c>
      <c r="D611" s="3" t="str">
        <f t="shared" si="54"/>
        <v>PAC</v>
      </c>
      <c r="E611" s="3" t="str">
        <f t="shared" si="55"/>
        <v>E</v>
      </c>
      <c r="F611" s="3" t="str">
        <f t="shared" si="56"/>
        <v>005</v>
      </c>
      <c r="G611" s="3" t="str">
        <f t="shared" si="57"/>
        <v>BP</v>
      </c>
      <c r="H611" s="3" t="str">
        <f t="shared" si="58"/>
        <v>000</v>
      </c>
      <c r="I611" s="3" t="str">
        <f t="shared" si="59"/>
        <v>00</v>
      </c>
      <c r="L611" s="3" t="s">
        <v>3309</v>
      </c>
      <c r="R611" s="3" t="s">
        <v>4931</v>
      </c>
      <c r="S611" s="15" t="s">
        <v>3247</v>
      </c>
    </row>
    <row r="612" spans="1:20" x14ac:dyDescent="0.25">
      <c r="A612" s="4" t="s">
        <v>4932</v>
      </c>
      <c r="B612" s="4" t="s">
        <v>4917</v>
      </c>
      <c r="C612" s="4" t="s">
        <v>2063</v>
      </c>
      <c r="D612" s="3" t="str">
        <f t="shared" si="54"/>
        <v>PAC</v>
      </c>
      <c r="E612" s="3" t="str">
        <f t="shared" si="55"/>
        <v>E</v>
      </c>
      <c r="F612" s="3" t="str">
        <f t="shared" si="56"/>
        <v>006</v>
      </c>
      <c r="G612" s="3" t="str">
        <f t="shared" si="57"/>
        <v>BP</v>
      </c>
      <c r="H612" s="3" t="str">
        <f t="shared" si="58"/>
        <v>000</v>
      </c>
      <c r="I612" s="3" t="str">
        <f t="shared" si="59"/>
        <v>00</v>
      </c>
      <c r="L612" s="3" t="s">
        <v>3309</v>
      </c>
      <c r="R612" s="3" t="s">
        <v>4933</v>
      </c>
      <c r="S612" s="15" t="s">
        <v>3247</v>
      </c>
    </row>
    <row r="613" spans="1:20" x14ac:dyDescent="0.25">
      <c r="A613" s="4" t="s">
        <v>4934</v>
      </c>
      <c r="B613" s="4" t="s">
        <v>4917</v>
      </c>
      <c r="C613" s="4" t="s">
        <v>4935</v>
      </c>
      <c r="D613" s="3" t="str">
        <f t="shared" si="54"/>
        <v>PAC</v>
      </c>
      <c r="E613" s="3" t="str">
        <f t="shared" si="55"/>
        <v>B</v>
      </c>
      <c r="F613" s="3" t="str">
        <f t="shared" si="56"/>
        <v>007</v>
      </c>
      <c r="G613" s="3" t="str">
        <f t="shared" si="57"/>
        <v>ST</v>
      </c>
      <c r="H613" s="3" t="str">
        <f t="shared" si="58"/>
        <v>000</v>
      </c>
      <c r="I613" s="3" t="str">
        <f t="shared" si="59"/>
        <v>00</v>
      </c>
      <c r="L613" s="3" t="s">
        <v>3309</v>
      </c>
      <c r="R613" s="3" t="s">
        <v>4936</v>
      </c>
      <c r="S613" s="15" t="s">
        <v>3247</v>
      </c>
    </row>
    <row r="614" spans="1:20" x14ac:dyDescent="0.25">
      <c r="A614" s="4" t="s">
        <v>4937</v>
      </c>
      <c r="B614" s="4" t="s">
        <v>4917</v>
      </c>
      <c r="C614" s="4" t="s">
        <v>2066</v>
      </c>
      <c r="D614" s="3" t="str">
        <f t="shared" si="54"/>
        <v>PAC</v>
      </c>
      <c r="E614" s="3" t="str">
        <f t="shared" si="55"/>
        <v>G</v>
      </c>
      <c r="F614" s="3" t="str">
        <f t="shared" si="56"/>
        <v>001</v>
      </c>
      <c r="G614" s="3" t="str">
        <f t="shared" si="57"/>
        <v>ST</v>
      </c>
      <c r="H614" s="3" t="str">
        <f t="shared" si="58"/>
        <v>000</v>
      </c>
      <c r="I614" s="3" t="str">
        <f t="shared" si="59"/>
        <v>00</v>
      </c>
      <c r="L614" s="3" t="s">
        <v>3309</v>
      </c>
      <c r="R614" s="3" t="s">
        <v>4938</v>
      </c>
      <c r="S614" s="15" t="s">
        <v>3247</v>
      </c>
    </row>
    <row r="615" spans="1:20" x14ac:dyDescent="0.25">
      <c r="A615" s="4" t="s">
        <v>4939</v>
      </c>
      <c r="B615" s="4" t="s">
        <v>4917</v>
      </c>
      <c r="C615" s="4" t="s">
        <v>2394</v>
      </c>
      <c r="D615" s="3" t="str">
        <f t="shared" si="54"/>
        <v>PAC</v>
      </c>
      <c r="E615" s="3" t="str">
        <f t="shared" si="55"/>
        <v>H</v>
      </c>
      <c r="F615" s="3" t="str">
        <f t="shared" si="56"/>
        <v>001</v>
      </c>
      <c r="G615" s="3" t="str">
        <f t="shared" si="57"/>
        <v>ST</v>
      </c>
      <c r="H615" s="3" t="str">
        <f t="shared" si="58"/>
        <v>000</v>
      </c>
      <c r="I615" s="3" t="str">
        <f t="shared" si="59"/>
        <v>00</v>
      </c>
      <c r="L615" s="3" t="s">
        <v>3309</v>
      </c>
      <c r="R615" s="3" t="s">
        <v>4940</v>
      </c>
      <c r="S615" s="15" t="s">
        <v>3247</v>
      </c>
    </row>
    <row r="616" spans="1:20" x14ac:dyDescent="0.25">
      <c r="A616" s="4" t="s">
        <v>4941</v>
      </c>
      <c r="B616" s="4" t="s">
        <v>4917</v>
      </c>
      <c r="C616" s="4" t="s">
        <v>2068</v>
      </c>
      <c r="D616" s="3" t="str">
        <f t="shared" si="54"/>
        <v>PAC</v>
      </c>
      <c r="E616" s="3" t="str">
        <f t="shared" si="55"/>
        <v>I</v>
      </c>
      <c r="F616" s="3" t="str">
        <f t="shared" si="56"/>
        <v>001</v>
      </c>
      <c r="G616" s="3" t="str">
        <f t="shared" si="57"/>
        <v>ST</v>
      </c>
      <c r="H616" s="3" t="str">
        <f t="shared" si="58"/>
        <v>000</v>
      </c>
      <c r="I616" s="3" t="str">
        <f t="shared" si="59"/>
        <v>00</v>
      </c>
      <c r="L616" s="3" t="s">
        <v>3309</v>
      </c>
      <c r="R616" s="3" t="s">
        <v>4942</v>
      </c>
      <c r="S616" s="15" t="s">
        <v>3247</v>
      </c>
    </row>
    <row r="617" spans="1:20" x14ac:dyDescent="0.25">
      <c r="A617" s="4" t="s">
        <v>4943</v>
      </c>
      <c r="B617" s="4" t="s">
        <v>4944</v>
      </c>
      <c r="C617" s="4" t="s">
        <v>4945</v>
      </c>
      <c r="D617" s="3" t="str">
        <f t="shared" si="54"/>
        <v>PNL</v>
      </c>
      <c r="E617" s="3" t="str">
        <f t="shared" si="55"/>
        <v>E</v>
      </c>
      <c r="F617" s="3" t="str">
        <f t="shared" si="56"/>
        <v>001</v>
      </c>
      <c r="G617" s="3" t="str">
        <f t="shared" si="57"/>
        <v>KR</v>
      </c>
      <c r="H617" s="3" t="str">
        <f t="shared" si="58"/>
        <v>000</v>
      </c>
      <c r="I617" s="3" t="str">
        <f t="shared" si="59"/>
        <v>00</v>
      </c>
      <c r="L617" s="3" t="s">
        <v>3309</v>
      </c>
      <c r="R617" s="3" t="s">
        <v>4946</v>
      </c>
      <c r="S617" s="15" t="s">
        <v>3247</v>
      </c>
    </row>
    <row r="618" spans="1:20" ht="30" x14ac:dyDescent="0.25">
      <c r="A618" s="4" t="s">
        <v>4947</v>
      </c>
      <c r="B618" s="4" t="s">
        <v>4944</v>
      </c>
      <c r="C618" s="4" t="s">
        <v>4948</v>
      </c>
      <c r="D618" s="3" t="str">
        <f t="shared" si="54"/>
        <v>PNL</v>
      </c>
      <c r="E618" s="3" t="str">
        <f t="shared" si="55"/>
        <v>F</v>
      </c>
      <c r="F618" s="3" t="str">
        <f t="shared" si="56"/>
        <v>001</v>
      </c>
      <c r="G618" s="3" t="str">
        <f t="shared" si="57"/>
        <v>ST</v>
      </c>
      <c r="H618" s="3" t="str">
        <f t="shared" si="58"/>
        <v>012</v>
      </c>
      <c r="I618" s="3" t="str">
        <f t="shared" si="59"/>
        <v>05</v>
      </c>
      <c r="L618" s="3" t="s">
        <v>3309</v>
      </c>
      <c r="R618" s="3" t="s">
        <v>4949</v>
      </c>
      <c r="S618" s="15" t="s">
        <v>3247</v>
      </c>
    </row>
    <row r="619" spans="1:20" ht="30" x14ac:dyDescent="0.25">
      <c r="A619" s="4" t="s">
        <v>4950</v>
      </c>
      <c r="B619" s="4" t="s">
        <v>4944</v>
      </c>
      <c r="C619" s="4" t="s">
        <v>4951</v>
      </c>
      <c r="D619" s="3" t="str">
        <f t="shared" si="54"/>
        <v>PNL</v>
      </c>
      <c r="E619" s="3" t="str">
        <f t="shared" si="55"/>
        <v>F</v>
      </c>
      <c r="F619" s="3" t="str">
        <f t="shared" si="56"/>
        <v>002</v>
      </c>
      <c r="G619" s="3" t="str">
        <f t="shared" si="57"/>
        <v>ST</v>
      </c>
      <c r="H619" s="3" t="str">
        <f t="shared" si="58"/>
        <v>012</v>
      </c>
      <c r="I619" s="3" t="str">
        <f t="shared" si="59"/>
        <v>03</v>
      </c>
      <c r="L619" s="3" t="s">
        <v>3309</v>
      </c>
      <c r="R619" s="3" t="s">
        <v>4952</v>
      </c>
      <c r="S619" s="15" t="s">
        <v>3247</v>
      </c>
    </row>
    <row r="620" spans="1:20" x14ac:dyDescent="0.25">
      <c r="A620" s="4" t="s">
        <v>4953</v>
      </c>
      <c r="B620" s="4" t="s">
        <v>4944</v>
      </c>
      <c r="C620" s="4" t="s">
        <v>4954</v>
      </c>
      <c r="D620" s="3" t="str">
        <f t="shared" si="54"/>
        <v>PNL</v>
      </c>
      <c r="E620" s="3" t="str">
        <f t="shared" si="55"/>
        <v>I</v>
      </c>
      <c r="F620" s="3" t="str">
        <f t="shared" si="56"/>
        <v>001</v>
      </c>
      <c r="G620" s="3" t="str">
        <f t="shared" si="57"/>
        <v>ST</v>
      </c>
      <c r="H620" s="3" t="str">
        <f t="shared" si="58"/>
        <v>000</v>
      </c>
      <c r="I620" s="3" t="str">
        <f t="shared" si="59"/>
        <v>00</v>
      </c>
      <c r="L620" s="3" t="s">
        <v>3309</v>
      </c>
      <c r="R620" s="3" t="s">
        <v>4955</v>
      </c>
      <c r="S620" s="15" t="s">
        <v>3247</v>
      </c>
    </row>
    <row r="621" spans="1:20" ht="30" x14ac:dyDescent="0.25">
      <c r="A621" s="4" t="s">
        <v>4956</v>
      </c>
      <c r="B621" s="4" t="s">
        <v>4944</v>
      </c>
      <c r="C621" s="4" t="s">
        <v>4957</v>
      </c>
      <c r="D621" s="3" t="str">
        <f t="shared" si="54"/>
        <v>PNL</v>
      </c>
      <c r="E621" s="3" t="str">
        <f t="shared" si="55"/>
        <v>P</v>
      </c>
      <c r="F621" s="3" t="str">
        <f t="shared" si="56"/>
        <v>001</v>
      </c>
      <c r="G621" s="3" t="str">
        <f t="shared" si="57"/>
        <v>KR</v>
      </c>
      <c r="H621" s="3" t="str">
        <f t="shared" si="58"/>
        <v>010</v>
      </c>
      <c r="I621" s="3" t="str">
        <f t="shared" si="59"/>
        <v>00</v>
      </c>
      <c r="L621" s="3" t="s">
        <v>3309</v>
      </c>
      <c r="R621" s="3" t="s">
        <v>4958</v>
      </c>
      <c r="S621" s="15" t="s">
        <v>3247</v>
      </c>
    </row>
    <row r="622" spans="1:20" x14ac:dyDescent="0.25">
      <c r="A622" s="4" t="s">
        <v>4959</v>
      </c>
      <c r="B622" s="4" t="s">
        <v>4944</v>
      </c>
      <c r="C622" s="4" t="s">
        <v>4960</v>
      </c>
      <c r="D622" s="3" t="str">
        <f t="shared" si="54"/>
        <v>PNL</v>
      </c>
      <c r="E622" s="3" t="str">
        <f t="shared" si="55"/>
        <v>J</v>
      </c>
      <c r="F622" s="3" t="str">
        <f t="shared" si="56"/>
        <v>000</v>
      </c>
      <c r="G622" s="3" t="str">
        <f t="shared" si="57"/>
        <v>EL</v>
      </c>
      <c r="H622" s="3" t="str">
        <f t="shared" si="58"/>
        <v>000</v>
      </c>
      <c r="I622" s="3" t="str">
        <f t="shared" si="59"/>
        <v>00</v>
      </c>
      <c r="L622" s="3" t="s">
        <v>3309</v>
      </c>
      <c r="R622" s="3" t="s">
        <v>4961</v>
      </c>
      <c r="S622" s="15" t="s">
        <v>3247</v>
      </c>
    </row>
    <row r="623" spans="1:20" x14ac:dyDescent="0.25">
      <c r="A623" s="4" t="s">
        <v>4962</v>
      </c>
      <c r="B623" s="4" t="s">
        <v>4944</v>
      </c>
      <c r="C623" s="4" t="s">
        <v>4963</v>
      </c>
      <c r="D623" s="3" t="str">
        <f t="shared" si="54"/>
        <v>PNL</v>
      </c>
      <c r="E623" s="3" t="str">
        <f t="shared" si="55"/>
        <v>B</v>
      </c>
      <c r="F623" s="3" t="str">
        <f t="shared" si="56"/>
        <v>001</v>
      </c>
      <c r="G623" s="3" t="str">
        <f t="shared" si="57"/>
        <v>NA</v>
      </c>
      <c r="H623" s="3" t="str">
        <f t="shared" si="58"/>
        <v>002</v>
      </c>
      <c r="I623" s="3" t="str">
        <f t="shared" si="59"/>
        <v>00</v>
      </c>
      <c r="L623" s="3" t="s">
        <v>3309</v>
      </c>
      <c r="R623" s="3" t="s">
        <v>4964</v>
      </c>
      <c r="S623" s="15" t="s">
        <v>3247</v>
      </c>
      <c r="T623" s="14"/>
    </row>
    <row r="624" spans="1:20" ht="30" x14ac:dyDescent="0.25">
      <c r="A624" s="4" t="s">
        <v>4965</v>
      </c>
      <c r="B624" s="4" t="s">
        <v>4944</v>
      </c>
      <c r="C624" s="4" t="s">
        <v>4966</v>
      </c>
      <c r="D624" s="3" t="str">
        <f t="shared" si="54"/>
        <v>PNL</v>
      </c>
      <c r="E624" s="3" t="str">
        <f t="shared" si="55"/>
        <v>B</v>
      </c>
      <c r="F624" s="3" t="str">
        <f t="shared" si="56"/>
        <v>004</v>
      </c>
      <c r="G624" s="3" t="str">
        <f t="shared" si="57"/>
        <v>NA</v>
      </c>
      <c r="H624" s="3" t="str">
        <f t="shared" si="58"/>
        <v>002</v>
      </c>
      <c r="I624" s="3" t="str">
        <f t="shared" si="59"/>
        <v>00</v>
      </c>
      <c r="L624" s="3" t="s">
        <v>3309</v>
      </c>
      <c r="R624" s="3" t="s">
        <v>4967</v>
      </c>
      <c r="S624" s="15" t="s">
        <v>3247</v>
      </c>
      <c r="T624" s="14"/>
    </row>
    <row r="625" spans="1:19" x14ac:dyDescent="0.25">
      <c r="A625" s="4" t="s">
        <v>4968</v>
      </c>
      <c r="B625" s="4" t="s">
        <v>4944</v>
      </c>
      <c r="C625" s="4" t="s">
        <v>4969</v>
      </c>
      <c r="D625" s="3" t="str">
        <f t="shared" si="54"/>
        <v>PNL</v>
      </c>
      <c r="E625" s="3" t="str">
        <f t="shared" si="55"/>
        <v>K</v>
      </c>
      <c r="F625" s="3" t="str">
        <f t="shared" si="56"/>
        <v>003</v>
      </c>
      <c r="G625" s="3" t="str">
        <f t="shared" si="57"/>
        <v>PO</v>
      </c>
      <c r="H625" s="3" t="str">
        <f t="shared" si="58"/>
        <v>000</v>
      </c>
      <c r="I625" s="3" t="str">
        <f t="shared" si="59"/>
        <v>00</v>
      </c>
      <c r="L625" s="3" t="s">
        <v>3309</v>
      </c>
      <c r="R625" s="3" t="s">
        <v>4970</v>
      </c>
      <c r="S625" s="15" t="s">
        <v>3247</v>
      </c>
    </row>
    <row r="626" spans="1:19" x14ac:dyDescent="0.25">
      <c r="A626" s="4" t="s">
        <v>4971</v>
      </c>
      <c r="B626" s="4" t="s">
        <v>4944</v>
      </c>
      <c r="C626" s="4" t="s">
        <v>4972</v>
      </c>
      <c r="D626" s="3" t="str">
        <f t="shared" si="54"/>
        <v>PNL</v>
      </c>
      <c r="E626" s="3" t="str">
        <f t="shared" si="55"/>
        <v>K</v>
      </c>
      <c r="F626" s="3" t="str">
        <f t="shared" si="56"/>
        <v>004</v>
      </c>
      <c r="G626" s="3" t="str">
        <f t="shared" si="57"/>
        <v>PO</v>
      </c>
      <c r="H626" s="3" t="str">
        <f t="shared" si="58"/>
        <v>000</v>
      </c>
      <c r="I626" s="3" t="str">
        <f t="shared" si="59"/>
        <v>00</v>
      </c>
      <c r="L626" s="3" t="s">
        <v>3309</v>
      </c>
      <c r="R626" s="3" t="s">
        <v>4973</v>
      </c>
      <c r="S626" s="15" t="s">
        <v>3247</v>
      </c>
    </row>
    <row r="627" spans="1:19" x14ac:dyDescent="0.25">
      <c r="A627" s="4" t="s">
        <v>4974</v>
      </c>
      <c r="B627" s="4" t="s">
        <v>4944</v>
      </c>
      <c r="C627" s="4" t="s">
        <v>4975</v>
      </c>
      <c r="D627" s="3" t="str">
        <f t="shared" si="54"/>
        <v>PNL</v>
      </c>
      <c r="E627" s="3" t="str">
        <f t="shared" si="55"/>
        <v>L</v>
      </c>
      <c r="F627" s="3" t="str">
        <f t="shared" si="56"/>
        <v>003</v>
      </c>
      <c r="G627" s="3" t="str">
        <f t="shared" si="57"/>
        <v>PO</v>
      </c>
      <c r="H627" s="3" t="str">
        <f t="shared" si="58"/>
        <v>000</v>
      </c>
      <c r="I627" s="3" t="str">
        <f t="shared" si="59"/>
        <v>00</v>
      </c>
      <c r="L627" s="3" t="s">
        <v>3309</v>
      </c>
      <c r="R627" s="3" t="s">
        <v>4976</v>
      </c>
      <c r="S627" s="15" t="s">
        <v>3247</v>
      </c>
    </row>
    <row r="628" spans="1:19" x14ac:dyDescent="0.25">
      <c r="A628" s="4" t="s">
        <v>4977</v>
      </c>
      <c r="B628" s="4" t="s">
        <v>4944</v>
      </c>
      <c r="C628" s="4" t="s">
        <v>4978</v>
      </c>
      <c r="D628" s="3" t="str">
        <f t="shared" si="54"/>
        <v>PNL</v>
      </c>
      <c r="E628" s="3" t="str">
        <f t="shared" si="55"/>
        <v>L</v>
      </c>
      <c r="F628" s="3" t="str">
        <f t="shared" si="56"/>
        <v>006</v>
      </c>
      <c r="G628" s="3" t="str">
        <f t="shared" si="57"/>
        <v>PO</v>
      </c>
      <c r="H628" s="3" t="str">
        <f t="shared" si="58"/>
        <v>000</v>
      </c>
      <c r="I628" s="3" t="str">
        <f t="shared" si="59"/>
        <v>00</v>
      </c>
      <c r="L628" s="3" t="s">
        <v>3309</v>
      </c>
      <c r="R628" s="3" t="s">
        <v>4979</v>
      </c>
      <c r="S628" s="15" t="s">
        <v>3247</v>
      </c>
    </row>
    <row r="629" spans="1:19" x14ac:dyDescent="0.25">
      <c r="A629" s="4" t="s">
        <v>4980</v>
      </c>
      <c r="B629" s="4" t="s">
        <v>4944</v>
      </c>
      <c r="C629" s="4" t="s">
        <v>4981</v>
      </c>
      <c r="D629" s="3" t="str">
        <f t="shared" si="54"/>
        <v>PNL</v>
      </c>
      <c r="E629" s="3" t="str">
        <f t="shared" si="55"/>
        <v>M</v>
      </c>
      <c r="F629" s="3" t="str">
        <f t="shared" si="56"/>
        <v>004</v>
      </c>
      <c r="G629" s="3" t="str">
        <f t="shared" si="57"/>
        <v>PO</v>
      </c>
      <c r="H629" s="3" t="str">
        <f t="shared" si="58"/>
        <v>000</v>
      </c>
      <c r="I629" s="3" t="str">
        <f t="shared" si="59"/>
        <v>00</v>
      </c>
      <c r="L629" s="3" t="s">
        <v>3309</v>
      </c>
      <c r="R629" s="3" t="s">
        <v>4982</v>
      </c>
      <c r="S629" s="15" t="s">
        <v>3247</v>
      </c>
    </row>
    <row r="630" spans="1:19" x14ac:dyDescent="0.25">
      <c r="A630" s="4" t="s">
        <v>4983</v>
      </c>
      <c r="B630" s="4" t="s">
        <v>4944</v>
      </c>
      <c r="C630" s="4" t="s">
        <v>4984</v>
      </c>
      <c r="D630" s="3" t="str">
        <f t="shared" si="54"/>
        <v>PNL</v>
      </c>
      <c r="E630" s="3" t="str">
        <f t="shared" si="55"/>
        <v>F</v>
      </c>
      <c r="F630" s="3" t="str">
        <f t="shared" si="56"/>
        <v>002</v>
      </c>
      <c r="G630" s="3" t="str">
        <f t="shared" si="57"/>
        <v>KR</v>
      </c>
      <c r="H630" s="3" t="str">
        <f t="shared" si="58"/>
        <v>000</v>
      </c>
      <c r="I630" s="3" t="str">
        <f t="shared" si="59"/>
        <v>00</v>
      </c>
      <c r="L630" s="3" t="s">
        <v>3309</v>
      </c>
      <c r="R630" s="3" t="s">
        <v>4985</v>
      </c>
      <c r="S630" s="15" t="s">
        <v>3247</v>
      </c>
    </row>
    <row r="631" spans="1:19" x14ac:dyDescent="0.25">
      <c r="A631" s="4" t="s">
        <v>4986</v>
      </c>
      <c r="B631" s="4" t="s">
        <v>4944</v>
      </c>
      <c r="C631" s="4" t="s">
        <v>4987</v>
      </c>
      <c r="D631" s="3" t="str">
        <f t="shared" si="54"/>
        <v>PNL</v>
      </c>
      <c r="E631" s="3" t="str">
        <f t="shared" si="55"/>
        <v>O</v>
      </c>
      <c r="F631" s="3" t="str">
        <f t="shared" si="56"/>
        <v>001</v>
      </c>
      <c r="G631" s="3" t="str">
        <f t="shared" si="57"/>
        <v>KR</v>
      </c>
      <c r="H631" s="3" t="str">
        <f t="shared" si="58"/>
        <v>005</v>
      </c>
      <c r="I631" s="3" t="str">
        <f t="shared" si="59"/>
        <v>00</v>
      </c>
      <c r="L631" s="3" t="s">
        <v>3309</v>
      </c>
      <c r="R631" s="3" t="s">
        <v>4988</v>
      </c>
      <c r="S631" s="15" t="s">
        <v>3247</v>
      </c>
    </row>
    <row r="632" spans="1:19" x14ac:dyDescent="0.25">
      <c r="A632" s="4" t="s">
        <v>4989</v>
      </c>
      <c r="B632" s="4" t="s">
        <v>4944</v>
      </c>
      <c r="C632" s="4" t="s">
        <v>4990</v>
      </c>
      <c r="D632" s="3" t="str">
        <f t="shared" si="54"/>
        <v>PNL</v>
      </c>
      <c r="E632" s="3" t="str">
        <f t="shared" si="55"/>
        <v>C</v>
      </c>
      <c r="F632" s="3" t="str">
        <f t="shared" si="56"/>
        <v>006</v>
      </c>
      <c r="G632" s="3" t="str">
        <f t="shared" si="57"/>
        <v>KR</v>
      </c>
      <c r="H632" s="3" t="str">
        <f t="shared" si="58"/>
        <v>003</v>
      </c>
      <c r="I632" s="3" t="str">
        <f t="shared" si="59"/>
        <v>00</v>
      </c>
      <c r="L632" s="3" t="s">
        <v>3309</v>
      </c>
      <c r="R632" s="3" t="s">
        <v>4991</v>
      </c>
      <c r="S632" s="15" t="s">
        <v>3247</v>
      </c>
    </row>
    <row r="633" spans="1:19" x14ac:dyDescent="0.25">
      <c r="A633" s="4" t="s">
        <v>4992</v>
      </c>
      <c r="B633" s="4" t="s">
        <v>4944</v>
      </c>
      <c r="C633" s="4" t="s">
        <v>4993</v>
      </c>
      <c r="D633" s="3" t="str">
        <f t="shared" si="54"/>
        <v>PNL</v>
      </c>
      <c r="E633" s="3" t="str">
        <f t="shared" si="55"/>
        <v>D</v>
      </c>
      <c r="F633" s="3" t="str">
        <f t="shared" si="56"/>
        <v>006</v>
      </c>
      <c r="G633" s="3" t="str">
        <f t="shared" si="57"/>
        <v>KR</v>
      </c>
      <c r="H633" s="3" t="str">
        <f t="shared" si="58"/>
        <v>003</v>
      </c>
      <c r="I633" s="3" t="str">
        <f t="shared" si="59"/>
        <v>00</v>
      </c>
      <c r="L633" s="3" t="s">
        <v>3309</v>
      </c>
      <c r="R633" s="3" t="s">
        <v>4994</v>
      </c>
      <c r="S633" s="15" t="s">
        <v>3247</v>
      </c>
    </row>
    <row r="634" spans="1:19" x14ac:dyDescent="0.25">
      <c r="A634" s="4" t="s">
        <v>4995</v>
      </c>
      <c r="B634" s="4" t="s">
        <v>4944</v>
      </c>
      <c r="C634" s="4" t="s">
        <v>4996</v>
      </c>
      <c r="D634" s="3" t="str">
        <f t="shared" si="54"/>
        <v>PNL</v>
      </c>
      <c r="E634" s="3" t="str">
        <f t="shared" si="55"/>
        <v>H</v>
      </c>
      <c r="F634" s="3" t="str">
        <f t="shared" si="56"/>
        <v>006</v>
      </c>
      <c r="G634" s="3" t="str">
        <f t="shared" si="57"/>
        <v>KR</v>
      </c>
      <c r="H634" s="3" t="str">
        <f t="shared" si="58"/>
        <v>001</v>
      </c>
      <c r="I634" s="3" t="str">
        <f t="shared" si="59"/>
        <v>00</v>
      </c>
      <c r="L634" s="3" t="s">
        <v>3309</v>
      </c>
      <c r="R634" s="3" t="s">
        <v>4997</v>
      </c>
      <c r="S634" s="15" t="s">
        <v>3247</v>
      </c>
    </row>
    <row r="635" spans="1:19" x14ac:dyDescent="0.25">
      <c r="A635" s="4" t="s">
        <v>4998</v>
      </c>
      <c r="B635" s="4" t="s">
        <v>4944</v>
      </c>
      <c r="C635" s="4" t="s">
        <v>4999</v>
      </c>
      <c r="D635" s="3" t="str">
        <f t="shared" si="54"/>
        <v>PNL</v>
      </c>
      <c r="E635" s="3" t="str">
        <f t="shared" si="55"/>
        <v>H</v>
      </c>
      <c r="F635" s="3" t="str">
        <f t="shared" si="56"/>
        <v>008</v>
      </c>
      <c r="G635" s="3" t="str">
        <f t="shared" si="57"/>
        <v>KR</v>
      </c>
      <c r="H635" s="3" t="str">
        <f t="shared" si="58"/>
        <v>001</v>
      </c>
      <c r="I635" s="3" t="str">
        <f t="shared" si="59"/>
        <v>00</v>
      </c>
      <c r="L635" s="3" t="s">
        <v>3309</v>
      </c>
      <c r="R635" s="3" t="s">
        <v>5000</v>
      </c>
      <c r="S635" s="15" t="s">
        <v>3247</v>
      </c>
    </row>
    <row r="636" spans="1:19" x14ac:dyDescent="0.25">
      <c r="A636" s="4" t="s">
        <v>5001</v>
      </c>
      <c r="B636" s="4" t="s">
        <v>4944</v>
      </c>
      <c r="C636" s="4" t="s">
        <v>5002</v>
      </c>
      <c r="D636" s="3" t="str">
        <f t="shared" si="54"/>
        <v>PNL</v>
      </c>
      <c r="E636" s="3" t="str">
        <f t="shared" si="55"/>
        <v>F</v>
      </c>
      <c r="F636" s="3" t="str">
        <f t="shared" si="56"/>
        <v>013</v>
      </c>
      <c r="G636" s="3" t="str">
        <f t="shared" si="57"/>
        <v>KR</v>
      </c>
      <c r="H636" s="3" t="str">
        <f t="shared" si="58"/>
        <v>001</v>
      </c>
      <c r="I636" s="3" t="str">
        <f t="shared" si="59"/>
        <v>00</v>
      </c>
      <c r="L636" s="3" t="s">
        <v>3309</v>
      </c>
      <c r="R636" s="3" t="s">
        <v>5003</v>
      </c>
      <c r="S636" s="15" t="s">
        <v>3247</v>
      </c>
    </row>
    <row r="637" spans="1:19" x14ac:dyDescent="0.25">
      <c r="A637" s="4" t="s">
        <v>5004</v>
      </c>
      <c r="B637" s="4" t="s">
        <v>4944</v>
      </c>
      <c r="C637" s="4" t="s">
        <v>5005</v>
      </c>
      <c r="D637" s="3" t="str">
        <f t="shared" si="54"/>
        <v>PNL</v>
      </c>
      <c r="E637" s="3" t="str">
        <f t="shared" si="55"/>
        <v>F</v>
      </c>
      <c r="F637" s="3" t="str">
        <f t="shared" si="56"/>
        <v>003</v>
      </c>
      <c r="G637" s="3" t="str">
        <f t="shared" si="57"/>
        <v>KR</v>
      </c>
      <c r="H637" s="3" t="str">
        <f t="shared" si="58"/>
        <v>001</v>
      </c>
      <c r="I637" s="3" t="str">
        <f t="shared" si="59"/>
        <v>01</v>
      </c>
      <c r="L637" s="3" t="s">
        <v>3309</v>
      </c>
      <c r="R637" s="3" t="s">
        <v>5006</v>
      </c>
      <c r="S637" s="15" t="s">
        <v>3247</v>
      </c>
    </row>
    <row r="638" spans="1:19" x14ac:dyDescent="0.25">
      <c r="A638" s="4" t="s">
        <v>5007</v>
      </c>
      <c r="B638" s="4" t="s">
        <v>4944</v>
      </c>
      <c r="C638" s="4" t="s">
        <v>5008</v>
      </c>
      <c r="D638" s="3" t="str">
        <f t="shared" si="54"/>
        <v>PNL</v>
      </c>
      <c r="E638" s="3" t="str">
        <f t="shared" si="55"/>
        <v>F</v>
      </c>
      <c r="F638" s="3" t="str">
        <f t="shared" si="56"/>
        <v>005</v>
      </c>
      <c r="G638" s="3" t="str">
        <f t="shared" si="57"/>
        <v>KR</v>
      </c>
      <c r="H638" s="3" t="str">
        <f t="shared" si="58"/>
        <v>001</v>
      </c>
      <c r="I638" s="3" t="str">
        <f t="shared" si="59"/>
        <v>01</v>
      </c>
      <c r="L638" s="3" t="s">
        <v>3309</v>
      </c>
      <c r="R638" s="3" t="s">
        <v>5009</v>
      </c>
      <c r="S638" s="15" t="s">
        <v>3247</v>
      </c>
    </row>
    <row r="639" spans="1:19" ht="30" x14ac:dyDescent="0.25">
      <c r="A639" s="4" t="s">
        <v>5010</v>
      </c>
      <c r="B639" s="4" t="s">
        <v>4944</v>
      </c>
      <c r="C639" s="4" t="s">
        <v>5011</v>
      </c>
      <c r="D639" s="3" t="str">
        <f t="shared" si="54"/>
        <v>PNL</v>
      </c>
      <c r="E639" s="3" t="str">
        <f t="shared" si="55"/>
        <v>P</v>
      </c>
      <c r="F639" s="3" t="str">
        <f t="shared" si="56"/>
        <v>001</v>
      </c>
      <c r="G639" s="3" t="str">
        <f t="shared" si="57"/>
        <v>NE</v>
      </c>
      <c r="H639" s="3" t="str">
        <f t="shared" si="58"/>
        <v>010</v>
      </c>
      <c r="I639" s="3" t="str">
        <f t="shared" si="59"/>
        <v>00</v>
      </c>
      <c r="L639" s="3" t="s">
        <v>3309</v>
      </c>
      <c r="R639" s="3" t="s">
        <v>5012</v>
      </c>
      <c r="S639" s="15" t="s">
        <v>3247</v>
      </c>
    </row>
    <row r="640" spans="1:19" ht="30" x14ac:dyDescent="0.25">
      <c r="A640" s="4" t="s">
        <v>5013</v>
      </c>
      <c r="B640" s="4" t="s">
        <v>4944</v>
      </c>
      <c r="C640" s="4" t="s">
        <v>5014</v>
      </c>
      <c r="D640" s="3" t="str">
        <f t="shared" si="54"/>
        <v>PNL</v>
      </c>
      <c r="E640" s="3" t="str">
        <f t="shared" si="55"/>
        <v>P</v>
      </c>
      <c r="F640" s="3" t="str">
        <f t="shared" si="56"/>
        <v>023</v>
      </c>
      <c r="G640" s="3" t="str">
        <f t="shared" si="57"/>
        <v>KR</v>
      </c>
      <c r="H640" s="3" t="str">
        <f t="shared" si="58"/>
        <v>010</v>
      </c>
      <c r="I640" s="3" t="str">
        <f t="shared" si="59"/>
        <v>00</v>
      </c>
      <c r="L640" s="3" t="s">
        <v>3309</v>
      </c>
      <c r="R640" s="3" t="s">
        <v>5015</v>
      </c>
      <c r="S640" s="15" t="s">
        <v>3247</v>
      </c>
    </row>
    <row r="641" spans="1:19" ht="30" x14ac:dyDescent="0.25">
      <c r="A641" s="4" t="s">
        <v>5016</v>
      </c>
      <c r="B641" s="4" t="s">
        <v>4944</v>
      </c>
      <c r="C641" s="4" t="s">
        <v>5014</v>
      </c>
      <c r="D641" s="3" t="str">
        <f t="shared" si="54"/>
        <v>PNL</v>
      </c>
      <c r="E641" s="3" t="str">
        <f t="shared" si="55"/>
        <v>P</v>
      </c>
      <c r="F641" s="3" t="str">
        <f t="shared" si="56"/>
        <v>023</v>
      </c>
      <c r="G641" s="3" t="str">
        <f t="shared" si="57"/>
        <v>NE</v>
      </c>
      <c r="H641" s="3" t="str">
        <f t="shared" si="58"/>
        <v>010</v>
      </c>
      <c r="I641" s="3" t="str">
        <f t="shared" si="59"/>
        <v>00</v>
      </c>
      <c r="L641" s="3" t="s">
        <v>3309</v>
      </c>
      <c r="R641" s="3" t="s">
        <v>5017</v>
      </c>
      <c r="S641" s="15" t="s">
        <v>3247</v>
      </c>
    </row>
    <row r="642" spans="1:19" ht="30" x14ac:dyDescent="0.25">
      <c r="A642" s="4" t="s">
        <v>5018</v>
      </c>
      <c r="B642" s="4" t="s">
        <v>4944</v>
      </c>
      <c r="C642" s="4" t="s">
        <v>5019</v>
      </c>
      <c r="D642" s="3" t="str">
        <f t="shared" ref="D642:D705" si="60">LEFT(A642,3)</f>
        <v>PNL</v>
      </c>
      <c r="E642" s="3" t="str">
        <f t="shared" ref="E642:E705" si="61">MID(A642,4,1)</f>
        <v>P</v>
      </c>
      <c r="F642" s="3" t="str">
        <f t="shared" ref="F642:F705" si="62">MID(A642,5,3)</f>
        <v>002</v>
      </c>
      <c r="G642" s="3" t="str">
        <f t="shared" ref="G642:G705" si="63">MID(A642,8,2)</f>
        <v>KR</v>
      </c>
      <c r="H642" s="3" t="str">
        <f t="shared" ref="H642:H705" si="64">MID(A642,10,3)</f>
        <v>010</v>
      </c>
      <c r="I642" s="3" t="str">
        <f t="shared" ref="I642:I705" si="65">MID(A642,13,2)</f>
        <v>00</v>
      </c>
      <c r="L642" s="3" t="s">
        <v>3309</v>
      </c>
      <c r="R642" s="3" t="s">
        <v>5020</v>
      </c>
      <c r="S642" s="15" t="s">
        <v>3247</v>
      </c>
    </row>
    <row r="643" spans="1:19" ht="30" x14ac:dyDescent="0.25">
      <c r="A643" s="4" t="s">
        <v>5021</v>
      </c>
      <c r="B643" s="4" t="s">
        <v>4944</v>
      </c>
      <c r="C643" s="4" t="s">
        <v>5019</v>
      </c>
      <c r="D643" s="3" t="str">
        <f t="shared" si="60"/>
        <v>PNL</v>
      </c>
      <c r="E643" s="3" t="str">
        <f t="shared" si="61"/>
        <v>P</v>
      </c>
      <c r="F643" s="3" t="str">
        <f t="shared" si="62"/>
        <v>002</v>
      </c>
      <c r="G643" s="3" t="str">
        <f t="shared" si="63"/>
        <v>NE</v>
      </c>
      <c r="H643" s="3" t="str">
        <f t="shared" si="64"/>
        <v>010</v>
      </c>
      <c r="I643" s="3" t="str">
        <f t="shared" si="65"/>
        <v>00</v>
      </c>
      <c r="L643" s="3" t="s">
        <v>3309</v>
      </c>
      <c r="R643" s="3" t="s">
        <v>5022</v>
      </c>
      <c r="S643" s="15" t="s">
        <v>3247</v>
      </c>
    </row>
    <row r="644" spans="1:19" x14ac:dyDescent="0.25">
      <c r="A644" s="4" t="s">
        <v>5023</v>
      </c>
      <c r="B644" s="4" t="s">
        <v>4944</v>
      </c>
      <c r="C644" s="4" t="s">
        <v>5024</v>
      </c>
      <c r="D644" s="3" t="str">
        <f t="shared" si="60"/>
        <v>PNL</v>
      </c>
      <c r="E644" s="3" t="str">
        <f t="shared" si="61"/>
        <v>U</v>
      </c>
      <c r="F644" s="3" t="str">
        <f t="shared" si="62"/>
        <v>005</v>
      </c>
      <c r="G644" s="3" t="str">
        <f t="shared" si="63"/>
        <v>KR</v>
      </c>
      <c r="H644" s="3" t="str">
        <f t="shared" si="64"/>
        <v>010</v>
      </c>
      <c r="I644" s="3" t="str">
        <f t="shared" si="65"/>
        <v>00</v>
      </c>
      <c r="L644" s="3" t="s">
        <v>3309</v>
      </c>
      <c r="R644" s="3" t="s">
        <v>5025</v>
      </c>
      <c r="S644" s="15" t="s">
        <v>3247</v>
      </c>
    </row>
    <row r="645" spans="1:19" x14ac:dyDescent="0.25">
      <c r="A645" s="4" t="s">
        <v>5026</v>
      </c>
      <c r="B645" s="4" t="s">
        <v>4944</v>
      </c>
      <c r="C645" s="4" t="s">
        <v>5024</v>
      </c>
      <c r="D645" s="3" t="str">
        <f t="shared" si="60"/>
        <v>PNL</v>
      </c>
      <c r="E645" s="3" t="str">
        <f t="shared" si="61"/>
        <v>U</v>
      </c>
      <c r="F645" s="3" t="str">
        <f t="shared" si="62"/>
        <v>005</v>
      </c>
      <c r="G645" s="3" t="str">
        <f t="shared" si="63"/>
        <v>NA</v>
      </c>
      <c r="H645" s="3" t="str">
        <f t="shared" si="64"/>
        <v>004</v>
      </c>
      <c r="I645" s="3" t="str">
        <f t="shared" si="65"/>
        <v>00</v>
      </c>
      <c r="L645" s="3" t="s">
        <v>3309</v>
      </c>
      <c r="R645" s="3" t="s">
        <v>5027</v>
      </c>
      <c r="S645" s="15" t="s">
        <v>3247</v>
      </c>
    </row>
    <row r="646" spans="1:19" ht="30" x14ac:dyDescent="0.25">
      <c r="A646" s="4" t="s">
        <v>5028</v>
      </c>
      <c r="B646" s="4" t="s">
        <v>4944</v>
      </c>
      <c r="C646" s="4" t="s">
        <v>5029</v>
      </c>
      <c r="D646" s="3" t="str">
        <f t="shared" si="60"/>
        <v>PNL</v>
      </c>
      <c r="E646" s="3" t="str">
        <f t="shared" si="61"/>
        <v>P</v>
      </c>
      <c r="F646" s="3" t="str">
        <f t="shared" si="62"/>
        <v>022</v>
      </c>
      <c r="G646" s="3" t="str">
        <f t="shared" si="63"/>
        <v>KR</v>
      </c>
      <c r="H646" s="3" t="str">
        <f t="shared" si="64"/>
        <v>010</v>
      </c>
      <c r="I646" s="3" t="str">
        <f t="shared" si="65"/>
        <v>00</v>
      </c>
      <c r="L646" s="3" t="s">
        <v>3309</v>
      </c>
      <c r="R646" s="3" t="s">
        <v>5030</v>
      </c>
      <c r="S646" s="15" t="s">
        <v>3247</v>
      </c>
    </row>
    <row r="647" spans="1:19" ht="30" x14ac:dyDescent="0.25">
      <c r="A647" s="4" t="s">
        <v>5031</v>
      </c>
      <c r="B647" s="4" t="s">
        <v>4944</v>
      </c>
      <c r="C647" s="4" t="s">
        <v>5029</v>
      </c>
      <c r="D647" s="3" t="str">
        <f t="shared" si="60"/>
        <v>PNL</v>
      </c>
      <c r="E647" s="3" t="str">
        <f t="shared" si="61"/>
        <v>P</v>
      </c>
      <c r="F647" s="3" t="str">
        <f t="shared" si="62"/>
        <v>022</v>
      </c>
      <c r="G647" s="3" t="str">
        <f t="shared" si="63"/>
        <v>NE</v>
      </c>
      <c r="H647" s="3" t="str">
        <f t="shared" si="64"/>
        <v>010</v>
      </c>
      <c r="I647" s="3" t="str">
        <f t="shared" si="65"/>
        <v>00</v>
      </c>
      <c r="L647" s="3" t="s">
        <v>3309</v>
      </c>
      <c r="R647" s="3" t="s">
        <v>5032</v>
      </c>
      <c r="S647" s="15" t="s">
        <v>3247</v>
      </c>
    </row>
    <row r="648" spans="1:19" ht="30" x14ac:dyDescent="0.25">
      <c r="A648" s="4" t="s">
        <v>5033</v>
      </c>
      <c r="B648" s="4" t="s">
        <v>4944</v>
      </c>
      <c r="C648" s="4" t="s">
        <v>5034</v>
      </c>
      <c r="D648" s="3" t="str">
        <f t="shared" si="60"/>
        <v>PNL</v>
      </c>
      <c r="E648" s="3" t="str">
        <f t="shared" si="61"/>
        <v>P</v>
      </c>
      <c r="F648" s="3" t="str">
        <f t="shared" si="62"/>
        <v>003</v>
      </c>
      <c r="G648" s="3" t="str">
        <f t="shared" si="63"/>
        <v>KR</v>
      </c>
      <c r="H648" s="3" t="str">
        <f t="shared" si="64"/>
        <v>010</v>
      </c>
      <c r="I648" s="3" t="str">
        <f t="shared" si="65"/>
        <v>00</v>
      </c>
      <c r="L648" s="3" t="s">
        <v>3309</v>
      </c>
      <c r="R648" s="3" t="s">
        <v>5035</v>
      </c>
      <c r="S648" s="15" t="s">
        <v>3247</v>
      </c>
    </row>
    <row r="649" spans="1:19" ht="30" x14ac:dyDescent="0.25">
      <c r="A649" s="4" t="s">
        <v>5036</v>
      </c>
      <c r="B649" s="4" t="s">
        <v>4944</v>
      </c>
      <c r="C649" s="4" t="s">
        <v>5034</v>
      </c>
      <c r="D649" s="3" t="str">
        <f t="shared" si="60"/>
        <v>PNL</v>
      </c>
      <c r="E649" s="3" t="str">
        <f t="shared" si="61"/>
        <v>P</v>
      </c>
      <c r="F649" s="3" t="str">
        <f t="shared" si="62"/>
        <v>003</v>
      </c>
      <c r="G649" s="3" t="str">
        <f t="shared" si="63"/>
        <v>NE</v>
      </c>
      <c r="H649" s="3" t="str">
        <f t="shared" si="64"/>
        <v>010</v>
      </c>
      <c r="I649" s="3" t="str">
        <f t="shared" si="65"/>
        <v>00</v>
      </c>
      <c r="L649" s="3" t="s">
        <v>3309</v>
      </c>
      <c r="R649" s="3" t="s">
        <v>5037</v>
      </c>
      <c r="S649" s="15" t="s">
        <v>3247</v>
      </c>
    </row>
    <row r="650" spans="1:19" x14ac:dyDescent="0.25">
      <c r="A650" s="4" t="s">
        <v>5038</v>
      </c>
      <c r="B650" s="4" t="s">
        <v>4944</v>
      </c>
      <c r="C650" s="4" t="s">
        <v>5039</v>
      </c>
      <c r="D650" s="3" t="str">
        <f t="shared" si="60"/>
        <v>PNL</v>
      </c>
      <c r="E650" s="3" t="str">
        <f t="shared" si="61"/>
        <v>Q</v>
      </c>
      <c r="F650" s="3" t="str">
        <f t="shared" si="62"/>
        <v>001</v>
      </c>
      <c r="G650" s="3" t="str">
        <f t="shared" si="63"/>
        <v>NE</v>
      </c>
      <c r="H650" s="3" t="str">
        <f t="shared" si="64"/>
        <v>007</v>
      </c>
      <c r="I650" s="3" t="str">
        <f t="shared" si="65"/>
        <v>00</v>
      </c>
      <c r="L650" s="3" t="s">
        <v>3309</v>
      </c>
      <c r="R650" s="3" t="s">
        <v>5040</v>
      </c>
      <c r="S650" s="15" t="s">
        <v>3247</v>
      </c>
    </row>
    <row r="651" spans="1:19" ht="30" x14ac:dyDescent="0.25">
      <c r="A651" s="4" t="s">
        <v>5041</v>
      </c>
      <c r="B651" s="4" t="s">
        <v>4944</v>
      </c>
      <c r="C651" s="4" t="s">
        <v>5042</v>
      </c>
      <c r="D651" s="3" t="str">
        <f t="shared" si="60"/>
        <v>PNL</v>
      </c>
      <c r="E651" s="3" t="str">
        <f t="shared" si="61"/>
        <v>Q</v>
      </c>
      <c r="F651" s="3" t="str">
        <f t="shared" si="62"/>
        <v>002</v>
      </c>
      <c r="G651" s="3" t="str">
        <f t="shared" si="63"/>
        <v>KR</v>
      </c>
      <c r="H651" s="3" t="str">
        <f t="shared" si="64"/>
        <v>000</v>
      </c>
      <c r="I651" s="3" t="str">
        <f t="shared" si="65"/>
        <v>00</v>
      </c>
      <c r="L651" s="3" t="s">
        <v>3309</v>
      </c>
      <c r="R651" s="3" t="s">
        <v>5043</v>
      </c>
      <c r="S651" s="15" t="s">
        <v>3247</v>
      </c>
    </row>
    <row r="652" spans="1:19" x14ac:dyDescent="0.25">
      <c r="A652" s="4" t="s">
        <v>5044</v>
      </c>
      <c r="B652" s="4" t="s">
        <v>4944</v>
      </c>
      <c r="C652" s="4" t="s">
        <v>5045</v>
      </c>
      <c r="D652" s="3" t="str">
        <f t="shared" si="60"/>
        <v>PNL</v>
      </c>
      <c r="E652" s="3" t="str">
        <f t="shared" si="61"/>
        <v>F</v>
      </c>
      <c r="F652" s="3" t="str">
        <f t="shared" si="62"/>
        <v>023</v>
      </c>
      <c r="G652" s="3" t="str">
        <f t="shared" si="63"/>
        <v>KR</v>
      </c>
      <c r="H652" s="3" t="str">
        <f t="shared" si="64"/>
        <v>001</v>
      </c>
      <c r="I652" s="3" t="str">
        <f t="shared" si="65"/>
        <v>01</v>
      </c>
      <c r="L652" s="3" t="s">
        <v>3309</v>
      </c>
      <c r="R652" s="3" t="s">
        <v>5046</v>
      </c>
      <c r="S652" s="15" t="s">
        <v>3247</v>
      </c>
    </row>
    <row r="653" spans="1:19" x14ac:dyDescent="0.25">
      <c r="A653" s="4" t="s">
        <v>5047</v>
      </c>
      <c r="B653" s="4" t="s">
        <v>4944</v>
      </c>
      <c r="C653" s="4" t="s">
        <v>5048</v>
      </c>
      <c r="D653" s="3" t="str">
        <f t="shared" si="60"/>
        <v>PNL</v>
      </c>
      <c r="E653" s="3" t="str">
        <f t="shared" si="61"/>
        <v>F</v>
      </c>
      <c r="F653" s="3" t="str">
        <f t="shared" si="62"/>
        <v>008</v>
      </c>
      <c r="G653" s="3" t="str">
        <f t="shared" si="63"/>
        <v>KR</v>
      </c>
      <c r="H653" s="3" t="str">
        <f t="shared" si="64"/>
        <v>001</v>
      </c>
      <c r="I653" s="3" t="str">
        <f t="shared" si="65"/>
        <v>00</v>
      </c>
      <c r="L653" s="3" t="s">
        <v>3309</v>
      </c>
      <c r="R653" s="3" t="s">
        <v>5049</v>
      </c>
      <c r="S653" s="15" t="s">
        <v>3247</v>
      </c>
    </row>
    <row r="654" spans="1:19" x14ac:dyDescent="0.25">
      <c r="A654" s="4" t="s">
        <v>5050</v>
      </c>
      <c r="B654" s="4" t="s">
        <v>4944</v>
      </c>
      <c r="C654" s="4" t="s">
        <v>5051</v>
      </c>
      <c r="D654" s="3" t="str">
        <f t="shared" si="60"/>
        <v>PNL</v>
      </c>
      <c r="E654" s="3" t="str">
        <f t="shared" si="61"/>
        <v>F</v>
      </c>
      <c r="F654" s="3" t="str">
        <f t="shared" si="62"/>
        <v>020</v>
      </c>
      <c r="G654" s="3" t="str">
        <f t="shared" si="63"/>
        <v>KR</v>
      </c>
      <c r="H654" s="3" t="str">
        <f t="shared" si="64"/>
        <v>001</v>
      </c>
      <c r="I654" s="3" t="str">
        <f t="shared" si="65"/>
        <v>00</v>
      </c>
      <c r="L654" s="3" t="s">
        <v>3309</v>
      </c>
      <c r="R654" s="3" t="s">
        <v>5052</v>
      </c>
      <c r="S654" s="15" t="s">
        <v>3247</v>
      </c>
    </row>
    <row r="655" spans="1:19" ht="30" x14ac:dyDescent="0.25">
      <c r="A655" s="4" t="s">
        <v>5053</v>
      </c>
      <c r="B655" s="4" t="s">
        <v>4944</v>
      </c>
      <c r="C655" s="4" t="s">
        <v>5054</v>
      </c>
      <c r="D655" s="3" t="str">
        <f t="shared" si="60"/>
        <v>PNL</v>
      </c>
      <c r="E655" s="3" t="str">
        <f t="shared" si="61"/>
        <v>P</v>
      </c>
      <c r="F655" s="3" t="str">
        <f t="shared" si="62"/>
        <v>004</v>
      </c>
      <c r="G655" s="3" t="str">
        <f t="shared" si="63"/>
        <v>KR</v>
      </c>
      <c r="H655" s="3" t="str">
        <f t="shared" si="64"/>
        <v>010</v>
      </c>
      <c r="I655" s="3" t="str">
        <f t="shared" si="65"/>
        <v>00</v>
      </c>
      <c r="L655" s="3" t="s">
        <v>3309</v>
      </c>
      <c r="R655" s="3" t="s">
        <v>5055</v>
      </c>
      <c r="S655" s="15" t="s">
        <v>3247</v>
      </c>
    </row>
    <row r="656" spans="1:19" ht="30" x14ac:dyDescent="0.25">
      <c r="A656" s="4" t="s">
        <v>5056</v>
      </c>
      <c r="B656" s="4" t="s">
        <v>4944</v>
      </c>
      <c r="C656" s="4" t="s">
        <v>5054</v>
      </c>
      <c r="D656" s="3" t="str">
        <f t="shared" si="60"/>
        <v>PNL</v>
      </c>
      <c r="E656" s="3" t="str">
        <f t="shared" si="61"/>
        <v>P</v>
      </c>
      <c r="F656" s="3" t="str">
        <f t="shared" si="62"/>
        <v>004</v>
      </c>
      <c r="G656" s="3" t="str">
        <f t="shared" si="63"/>
        <v>NE</v>
      </c>
      <c r="H656" s="3" t="str">
        <f t="shared" si="64"/>
        <v>010</v>
      </c>
      <c r="I656" s="3" t="str">
        <f t="shared" si="65"/>
        <v>00</v>
      </c>
      <c r="L656" s="3" t="s">
        <v>3309</v>
      </c>
      <c r="R656" s="3" t="s">
        <v>5057</v>
      </c>
      <c r="S656" s="15" t="s">
        <v>3247</v>
      </c>
    </row>
    <row r="657" spans="1:19" x14ac:dyDescent="0.25">
      <c r="A657" s="4" t="s">
        <v>5058</v>
      </c>
      <c r="B657" s="4" t="s">
        <v>4944</v>
      </c>
      <c r="C657" s="4" t="s">
        <v>5059</v>
      </c>
      <c r="D657" s="3" t="str">
        <f t="shared" si="60"/>
        <v>PNL</v>
      </c>
      <c r="E657" s="3" t="str">
        <f t="shared" si="61"/>
        <v>U</v>
      </c>
      <c r="F657" s="3" t="str">
        <f t="shared" si="62"/>
        <v>008</v>
      </c>
      <c r="G657" s="3" t="str">
        <f t="shared" si="63"/>
        <v>KR</v>
      </c>
      <c r="H657" s="3" t="str">
        <f t="shared" si="64"/>
        <v>010</v>
      </c>
      <c r="I657" s="3" t="str">
        <f t="shared" si="65"/>
        <v>00</v>
      </c>
      <c r="L657" s="3" t="s">
        <v>3309</v>
      </c>
      <c r="R657" s="3" t="s">
        <v>5060</v>
      </c>
      <c r="S657" s="15" t="s">
        <v>3247</v>
      </c>
    </row>
    <row r="658" spans="1:19" x14ac:dyDescent="0.25">
      <c r="A658" s="4" t="s">
        <v>5061</v>
      </c>
      <c r="B658" s="4" t="s">
        <v>4944</v>
      </c>
      <c r="C658" s="4" t="s">
        <v>5062</v>
      </c>
      <c r="D658" s="3" t="str">
        <f t="shared" si="60"/>
        <v>PNL</v>
      </c>
      <c r="E658" s="3" t="str">
        <f t="shared" si="61"/>
        <v>S</v>
      </c>
      <c r="F658" s="3" t="str">
        <f t="shared" si="62"/>
        <v>006</v>
      </c>
      <c r="G658" s="3" t="str">
        <f t="shared" si="63"/>
        <v>ST</v>
      </c>
      <c r="H658" s="3" t="str">
        <f t="shared" si="64"/>
        <v>000</v>
      </c>
      <c r="I658" s="3" t="str">
        <f t="shared" si="65"/>
        <v>00</v>
      </c>
      <c r="L658" s="3" t="s">
        <v>3309</v>
      </c>
      <c r="R658" s="3" t="s">
        <v>5063</v>
      </c>
      <c r="S658" s="15" t="s">
        <v>3247</v>
      </c>
    </row>
    <row r="659" spans="1:19" x14ac:dyDescent="0.25">
      <c r="A659" s="4" t="s">
        <v>5064</v>
      </c>
      <c r="B659" s="4" t="s">
        <v>4944</v>
      </c>
      <c r="C659" s="4" t="s">
        <v>5059</v>
      </c>
      <c r="D659" s="3" t="str">
        <f t="shared" si="60"/>
        <v>PNL</v>
      </c>
      <c r="E659" s="3" t="str">
        <f t="shared" si="61"/>
        <v>U</v>
      </c>
      <c r="F659" s="3" t="str">
        <f t="shared" si="62"/>
        <v>008</v>
      </c>
      <c r="G659" s="3" t="str">
        <f t="shared" si="63"/>
        <v>NA</v>
      </c>
      <c r="H659" s="3" t="str">
        <f t="shared" si="64"/>
        <v>004</v>
      </c>
      <c r="I659" s="3" t="str">
        <f t="shared" si="65"/>
        <v>00</v>
      </c>
      <c r="L659" s="3" t="s">
        <v>3309</v>
      </c>
      <c r="R659" s="3" t="s">
        <v>5065</v>
      </c>
      <c r="S659" s="15" t="s">
        <v>3247</v>
      </c>
    </row>
    <row r="660" spans="1:19" x14ac:dyDescent="0.25">
      <c r="A660" s="4" t="s">
        <v>5066</v>
      </c>
      <c r="B660" s="4" t="s">
        <v>4944</v>
      </c>
      <c r="C660" s="4" t="s">
        <v>5067</v>
      </c>
      <c r="D660" s="3" t="str">
        <f t="shared" si="60"/>
        <v>PNL</v>
      </c>
      <c r="E660" s="3" t="str">
        <f t="shared" si="61"/>
        <v>U</v>
      </c>
      <c r="F660" s="3" t="str">
        <f t="shared" si="62"/>
        <v>001</v>
      </c>
      <c r="G660" s="3" t="str">
        <f t="shared" si="63"/>
        <v>NA</v>
      </c>
      <c r="H660" s="3" t="str">
        <f t="shared" si="64"/>
        <v>004</v>
      </c>
      <c r="I660" s="3" t="str">
        <f t="shared" si="65"/>
        <v>00</v>
      </c>
      <c r="L660" s="3" t="s">
        <v>3309</v>
      </c>
      <c r="R660" s="3" t="s">
        <v>5068</v>
      </c>
      <c r="S660" s="15" t="s">
        <v>3247</v>
      </c>
    </row>
    <row r="661" spans="1:19" x14ac:dyDescent="0.25">
      <c r="A661" s="4" t="s">
        <v>5069</v>
      </c>
      <c r="B661" s="4" t="s">
        <v>4944</v>
      </c>
      <c r="C661" s="4" t="s">
        <v>5070</v>
      </c>
      <c r="D661" s="3" t="str">
        <f t="shared" si="60"/>
        <v>PNL</v>
      </c>
      <c r="E661" s="3" t="str">
        <f t="shared" si="61"/>
        <v>F</v>
      </c>
      <c r="F661" s="3" t="str">
        <f t="shared" si="62"/>
        <v>003</v>
      </c>
      <c r="G661" s="3" t="str">
        <f t="shared" si="63"/>
        <v>KR</v>
      </c>
      <c r="H661" s="3" t="str">
        <f t="shared" si="64"/>
        <v>000</v>
      </c>
      <c r="I661" s="3" t="str">
        <f t="shared" si="65"/>
        <v>00</v>
      </c>
      <c r="L661" s="3" t="s">
        <v>3309</v>
      </c>
      <c r="R661" s="3" t="s">
        <v>5071</v>
      </c>
      <c r="S661" s="15" t="s">
        <v>3247</v>
      </c>
    </row>
    <row r="662" spans="1:19" x14ac:dyDescent="0.25">
      <c r="A662" s="4" t="s">
        <v>5072</v>
      </c>
      <c r="B662" s="4" t="s">
        <v>4944</v>
      </c>
      <c r="C662" s="4" t="s">
        <v>5067</v>
      </c>
      <c r="D662" s="3" t="str">
        <f t="shared" si="60"/>
        <v>PNL</v>
      </c>
      <c r="E662" s="3" t="str">
        <f t="shared" si="61"/>
        <v>U</v>
      </c>
      <c r="F662" s="3" t="str">
        <f t="shared" si="62"/>
        <v>001</v>
      </c>
      <c r="G662" s="3" t="str">
        <f t="shared" si="63"/>
        <v>KR</v>
      </c>
      <c r="H662" s="3" t="str">
        <f t="shared" si="64"/>
        <v>010</v>
      </c>
      <c r="I662" s="3" t="str">
        <f t="shared" si="65"/>
        <v>00</v>
      </c>
      <c r="L662" s="3" t="s">
        <v>3309</v>
      </c>
      <c r="R662" s="3" t="s">
        <v>5073</v>
      </c>
      <c r="S662" s="15" t="s">
        <v>3247</v>
      </c>
    </row>
    <row r="663" spans="1:19" ht="30" x14ac:dyDescent="0.25">
      <c r="A663" s="4" t="s">
        <v>5074</v>
      </c>
      <c r="B663" s="4" t="s">
        <v>4944</v>
      </c>
      <c r="C663" s="4" t="s">
        <v>5075</v>
      </c>
      <c r="D663" s="3" t="str">
        <f t="shared" si="60"/>
        <v>PNL</v>
      </c>
      <c r="E663" s="3" t="str">
        <f t="shared" si="61"/>
        <v>P</v>
      </c>
      <c r="F663" s="3" t="str">
        <f t="shared" si="62"/>
        <v>005</v>
      </c>
      <c r="G663" s="3" t="str">
        <f t="shared" si="63"/>
        <v>KR</v>
      </c>
      <c r="H663" s="3" t="str">
        <f t="shared" si="64"/>
        <v>010</v>
      </c>
      <c r="I663" s="3" t="str">
        <f t="shared" si="65"/>
        <v>00</v>
      </c>
      <c r="L663" s="3" t="s">
        <v>3309</v>
      </c>
      <c r="R663" s="3" t="s">
        <v>5076</v>
      </c>
      <c r="S663" s="15" t="s">
        <v>3247</v>
      </c>
    </row>
    <row r="664" spans="1:19" x14ac:dyDescent="0.25">
      <c r="A664" s="4" t="s">
        <v>5077</v>
      </c>
      <c r="B664" s="4" t="s">
        <v>4944</v>
      </c>
      <c r="C664" s="4" t="s">
        <v>5078</v>
      </c>
      <c r="D664" s="3" t="str">
        <f t="shared" si="60"/>
        <v>PNL</v>
      </c>
      <c r="E664" s="3" t="str">
        <f t="shared" si="61"/>
        <v>F</v>
      </c>
      <c r="F664" s="3" t="str">
        <f t="shared" si="62"/>
        <v>013</v>
      </c>
      <c r="G664" s="3" t="str">
        <f t="shared" si="63"/>
        <v>KR</v>
      </c>
      <c r="H664" s="3" t="str">
        <f t="shared" si="64"/>
        <v>000</v>
      </c>
      <c r="I664" s="3" t="str">
        <f t="shared" si="65"/>
        <v>00</v>
      </c>
      <c r="L664" s="3" t="s">
        <v>3309</v>
      </c>
      <c r="R664" s="3" t="s">
        <v>5079</v>
      </c>
      <c r="S664" s="15" t="s">
        <v>3247</v>
      </c>
    </row>
    <row r="665" spans="1:19" x14ac:dyDescent="0.25">
      <c r="A665" s="4" t="s">
        <v>5080</v>
      </c>
      <c r="B665" s="4" t="s">
        <v>4944</v>
      </c>
      <c r="C665" s="4" t="s">
        <v>5081</v>
      </c>
      <c r="D665" s="3" t="str">
        <f t="shared" si="60"/>
        <v>PNL</v>
      </c>
      <c r="E665" s="3" t="str">
        <f t="shared" si="61"/>
        <v>F</v>
      </c>
      <c r="F665" s="3" t="str">
        <f t="shared" si="62"/>
        <v>026</v>
      </c>
      <c r="G665" s="3" t="str">
        <f t="shared" si="63"/>
        <v>KR</v>
      </c>
      <c r="H665" s="3" t="str">
        <f t="shared" si="64"/>
        <v>000</v>
      </c>
      <c r="I665" s="3" t="str">
        <f t="shared" si="65"/>
        <v>00</v>
      </c>
      <c r="L665" s="3" t="s">
        <v>3309</v>
      </c>
      <c r="R665" s="3" t="s">
        <v>5082</v>
      </c>
      <c r="S665" s="15" t="s">
        <v>3247</v>
      </c>
    </row>
    <row r="666" spans="1:19" ht="30" x14ac:dyDescent="0.25">
      <c r="A666" s="4" t="s">
        <v>5083</v>
      </c>
      <c r="B666" s="4" t="s">
        <v>4944</v>
      </c>
      <c r="C666" s="4" t="s">
        <v>5075</v>
      </c>
      <c r="D666" s="3" t="str">
        <f t="shared" si="60"/>
        <v>PNL</v>
      </c>
      <c r="E666" s="3" t="str">
        <f t="shared" si="61"/>
        <v>P</v>
      </c>
      <c r="F666" s="3" t="str">
        <f t="shared" si="62"/>
        <v>005</v>
      </c>
      <c r="G666" s="3" t="str">
        <f t="shared" si="63"/>
        <v>NE</v>
      </c>
      <c r="H666" s="3" t="str">
        <f t="shared" si="64"/>
        <v>010</v>
      </c>
      <c r="I666" s="3" t="str">
        <f t="shared" si="65"/>
        <v>00</v>
      </c>
      <c r="L666" s="3" t="s">
        <v>3309</v>
      </c>
      <c r="R666" s="3" t="s">
        <v>5084</v>
      </c>
      <c r="S666" s="15" t="s">
        <v>3247</v>
      </c>
    </row>
    <row r="667" spans="1:19" ht="30" x14ac:dyDescent="0.25">
      <c r="A667" s="4" t="s">
        <v>5085</v>
      </c>
      <c r="B667" s="4" t="s">
        <v>4944</v>
      </c>
      <c r="C667" s="4" t="s">
        <v>5086</v>
      </c>
      <c r="D667" s="3" t="str">
        <f t="shared" si="60"/>
        <v>PNL</v>
      </c>
      <c r="E667" s="3" t="str">
        <f t="shared" si="61"/>
        <v>P</v>
      </c>
      <c r="F667" s="3" t="str">
        <f t="shared" si="62"/>
        <v>020</v>
      </c>
      <c r="G667" s="3" t="str">
        <f t="shared" si="63"/>
        <v>KR</v>
      </c>
      <c r="H667" s="3" t="str">
        <f t="shared" si="64"/>
        <v>010</v>
      </c>
      <c r="I667" s="3" t="str">
        <f t="shared" si="65"/>
        <v>00</v>
      </c>
      <c r="L667" s="3" t="s">
        <v>3309</v>
      </c>
      <c r="R667" s="3" t="s">
        <v>5087</v>
      </c>
      <c r="S667" s="15" t="s">
        <v>3247</v>
      </c>
    </row>
    <row r="668" spans="1:19" ht="30" x14ac:dyDescent="0.25">
      <c r="A668" s="4" t="s">
        <v>5088</v>
      </c>
      <c r="B668" s="4" t="s">
        <v>4944</v>
      </c>
      <c r="C668" s="4" t="s">
        <v>5086</v>
      </c>
      <c r="D668" s="3" t="str">
        <f t="shared" si="60"/>
        <v>PNL</v>
      </c>
      <c r="E668" s="3" t="str">
        <f t="shared" si="61"/>
        <v>P</v>
      </c>
      <c r="F668" s="3" t="str">
        <f t="shared" si="62"/>
        <v>020</v>
      </c>
      <c r="G668" s="3" t="str">
        <f t="shared" si="63"/>
        <v>NE</v>
      </c>
      <c r="H668" s="3" t="str">
        <f t="shared" si="64"/>
        <v>010</v>
      </c>
      <c r="I668" s="3" t="str">
        <f t="shared" si="65"/>
        <v>00</v>
      </c>
      <c r="L668" s="3" t="s">
        <v>3309</v>
      </c>
      <c r="R668" s="3" t="s">
        <v>5089</v>
      </c>
      <c r="S668" s="15" t="s">
        <v>3247</v>
      </c>
    </row>
    <row r="669" spans="1:19" x14ac:dyDescent="0.25">
      <c r="A669" s="4" t="s">
        <v>5090</v>
      </c>
      <c r="B669" s="4" t="s">
        <v>4944</v>
      </c>
      <c r="C669" s="4" t="s">
        <v>5091</v>
      </c>
      <c r="D669" s="3" t="str">
        <f t="shared" si="60"/>
        <v>PNL</v>
      </c>
      <c r="E669" s="3" t="str">
        <f t="shared" si="61"/>
        <v>U</v>
      </c>
      <c r="F669" s="3" t="str">
        <f t="shared" si="62"/>
        <v>002</v>
      </c>
      <c r="G669" s="3" t="str">
        <f t="shared" si="63"/>
        <v>NA</v>
      </c>
      <c r="H669" s="3" t="str">
        <f t="shared" si="64"/>
        <v>004</v>
      </c>
      <c r="I669" s="3" t="str">
        <f t="shared" si="65"/>
        <v>00</v>
      </c>
      <c r="L669" s="3" t="s">
        <v>3309</v>
      </c>
      <c r="R669" s="3" t="s">
        <v>5092</v>
      </c>
      <c r="S669" s="15" t="s">
        <v>3247</v>
      </c>
    </row>
    <row r="670" spans="1:19" x14ac:dyDescent="0.25">
      <c r="A670" s="4" t="s">
        <v>5093</v>
      </c>
      <c r="B670" s="4" t="s">
        <v>4944</v>
      </c>
      <c r="C670" s="4" t="s">
        <v>5094</v>
      </c>
      <c r="D670" s="3" t="str">
        <f t="shared" si="60"/>
        <v>PNL</v>
      </c>
      <c r="E670" s="3" t="str">
        <f t="shared" si="61"/>
        <v>V</v>
      </c>
      <c r="F670" s="3" t="str">
        <f t="shared" si="62"/>
        <v>001</v>
      </c>
      <c r="G670" s="3" t="str">
        <f t="shared" si="63"/>
        <v>KP</v>
      </c>
      <c r="H670" s="3" t="str">
        <f t="shared" si="64"/>
        <v>008</v>
      </c>
      <c r="I670" s="3" t="str">
        <f t="shared" si="65"/>
        <v>01</v>
      </c>
      <c r="L670" s="3" t="s">
        <v>3309</v>
      </c>
      <c r="R670" s="3" t="s">
        <v>5095</v>
      </c>
      <c r="S670" s="15">
        <v>1</v>
      </c>
    </row>
    <row r="671" spans="1:19" x14ac:dyDescent="0.25">
      <c r="A671" s="4" t="s">
        <v>5096</v>
      </c>
      <c r="B671" s="4" t="s">
        <v>4944</v>
      </c>
      <c r="C671" s="4" t="s">
        <v>5097</v>
      </c>
      <c r="D671" s="3" t="str">
        <f t="shared" si="60"/>
        <v>PNL</v>
      </c>
      <c r="E671" s="3" t="str">
        <f t="shared" si="61"/>
        <v>V</v>
      </c>
      <c r="F671" s="3" t="str">
        <f t="shared" si="62"/>
        <v>002</v>
      </c>
      <c r="G671" s="3" t="str">
        <f t="shared" si="63"/>
        <v>KP</v>
      </c>
      <c r="H671" s="3" t="str">
        <f t="shared" si="64"/>
        <v>001</v>
      </c>
      <c r="I671" s="3" t="str">
        <f t="shared" si="65"/>
        <v>01</v>
      </c>
      <c r="L671" s="3" t="s">
        <v>3309</v>
      </c>
      <c r="R671" s="3" t="s">
        <v>5098</v>
      </c>
      <c r="S671" s="15" t="s">
        <v>3247</v>
      </c>
    </row>
    <row r="672" spans="1:19" ht="30" x14ac:dyDescent="0.25">
      <c r="A672" s="4" t="s">
        <v>5099</v>
      </c>
      <c r="B672" s="4" t="s">
        <v>4944</v>
      </c>
      <c r="C672" s="4" t="s">
        <v>5100</v>
      </c>
      <c r="D672" s="3" t="str">
        <f t="shared" si="60"/>
        <v>PNL</v>
      </c>
      <c r="E672" s="3" t="str">
        <f t="shared" si="61"/>
        <v>P</v>
      </c>
      <c r="F672" s="3" t="str">
        <f t="shared" si="62"/>
        <v>021</v>
      </c>
      <c r="G672" s="3" t="str">
        <f t="shared" si="63"/>
        <v>KR</v>
      </c>
      <c r="H672" s="3" t="str">
        <f t="shared" si="64"/>
        <v>010</v>
      </c>
      <c r="I672" s="3" t="str">
        <f t="shared" si="65"/>
        <v>00</v>
      </c>
      <c r="L672" s="3" t="s">
        <v>3309</v>
      </c>
      <c r="R672" s="3" t="s">
        <v>5101</v>
      </c>
      <c r="S672" s="15" t="s">
        <v>3247</v>
      </c>
    </row>
    <row r="673" spans="1:19" ht="30" x14ac:dyDescent="0.25">
      <c r="A673" s="4" t="s">
        <v>5102</v>
      </c>
      <c r="B673" s="4" t="s">
        <v>4944</v>
      </c>
      <c r="C673" s="4" t="s">
        <v>5100</v>
      </c>
      <c r="D673" s="3" t="str">
        <f t="shared" si="60"/>
        <v>PNL</v>
      </c>
      <c r="E673" s="3" t="str">
        <f t="shared" si="61"/>
        <v>P</v>
      </c>
      <c r="F673" s="3" t="str">
        <f t="shared" si="62"/>
        <v>021</v>
      </c>
      <c r="G673" s="3" t="str">
        <f t="shared" si="63"/>
        <v>NE</v>
      </c>
      <c r="H673" s="3" t="str">
        <f t="shared" si="64"/>
        <v>010</v>
      </c>
      <c r="I673" s="3" t="str">
        <f t="shared" si="65"/>
        <v>00</v>
      </c>
      <c r="L673" s="3" t="s">
        <v>3309</v>
      </c>
      <c r="R673" s="3" t="s">
        <v>5103</v>
      </c>
      <c r="S673" s="15" t="s">
        <v>3247</v>
      </c>
    </row>
    <row r="674" spans="1:19" x14ac:dyDescent="0.25">
      <c r="A674" s="4" t="s">
        <v>5104</v>
      </c>
      <c r="B674" s="4" t="s">
        <v>4944</v>
      </c>
      <c r="C674" s="4" t="s">
        <v>5105</v>
      </c>
      <c r="D674" s="3" t="str">
        <f t="shared" si="60"/>
        <v>PNL</v>
      </c>
      <c r="E674" s="3" t="str">
        <f t="shared" si="61"/>
        <v>W</v>
      </c>
      <c r="F674" s="3" t="str">
        <f t="shared" si="62"/>
        <v>001</v>
      </c>
      <c r="G674" s="3" t="str">
        <f t="shared" si="63"/>
        <v>SA</v>
      </c>
      <c r="H674" s="3" t="str">
        <f t="shared" si="64"/>
        <v>000</v>
      </c>
      <c r="I674" s="3" t="str">
        <f t="shared" si="65"/>
        <v>00</v>
      </c>
      <c r="L674" s="3" t="s">
        <v>3309</v>
      </c>
      <c r="R674" s="3" t="s">
        <v>5106</v>
      </c>
      <c r="S674" s="15" t="s">
        <v>3247</v>
      </c>
    </row>
    <row r="675" spans="1:19" x14ac:dyDescent="0.25">
      <c r="A675" s="4" t="s">
        <v>5107</v>
      </c>
      <c r="B675" s="4" t="s">
        <v>4944</v>
      </c>
      <c r="C675" s="4" t="s">
        <v>5108</v>
      </c>
      <c r="D675" s="3" t="str">
        <f t="shared" si="60"/>
        <v>PNL</v>
      </c>
      <c r="E675" s="3" t="str">
        <f t="shared" si="61"/>
        <v>B</v>
      </c>
      <c r="F675" s="3" t="str">
        <f t="shared" si="62"/>
        <v>011</v>
      </c>
      <c r="G675" s="3" t="str">
        <f t="shared" si="63"/>
        <v>KP</v>
      </c>
      <c r="H675" s="3" t="str">
        <f t="shared" si="64"/>
        <v>004</v>
      </c>
      <c r="I675" s="3" t="str">
        <f t="shared" si="65"/>
        <v>00</v>
      </c>
      <c r="L675" s="3" t="s">
        <v>3309</v>
      </c>
      <c r="R675" s="3" t="s">
        <v>5109</v>
      </c>
      <c r="S675" s="15" t="s">
        <v>3247</v>
      </c>
    </row>
    <row r="676" spans="1:19" x14ac:dyDescent="0.25">
      <c r="A676" s="4" t="s">
        <v>5110</v>
      </c>
      <c r="B676" s="4" t="s">
        <v>4944</v>
      </c>
      <c r="C676" s="4" t="s">
        <v>5111</v>
      </c>
      <c r="D676" s="3" t="str">
        <f t="shared" si="60"/>
        <v>PNL</v>
      </c>
      <c r="E676" s="3" t="str">
        <f t="shared" si="61"/>
        <v>k</v>
      </c>
      <c r="F676" s="3" t="str">
        <f t="shared" si="62"/>
        <v>005</v>
      </c>
      <c r="G676" s="3" t="str">
        <f t="shared" si="63"/>
        <v>PO</v>
      </c>
      <c r="H676" s="3" t="str">
        <f t="shared" si="64"/>
        <v>000</v>
      </c>
      <c r="I676" s="3" t="str">
        <f t="shared" si="65"/>
        <v>00</v>
      </c>
      <c r="L676" s="3" t="s">
        <v>3309</v>
      </c>
      <c r="R676" s="3" t="s">
        <v>5112</v>
      </c>
      <c r="S676" s="15" t="s">
        <v>3247</v>
      </c>
    </row>
    <row r="677" spans="1:19" x14ac:dyDescent="0.25">
      <c r="A677" s="4" t="s">
        <v>5113</v>
      </c>
      <c r="B677" s="4" t="s">
        <v>4944</v>
      </c>
      <c r="C677" s="4" t="s">
        <v>5114</v>
      </c>
      <c r="D677" s="3" t="str">
        <f t="shared" si="60"/>
        <v>PNL</v>
      </c>
      <c r="E677" s="3" t="str">
        <f t="shared" si="61"/>
        <v>K</v>
      </c>
      <c r="F677" s="3" t="str">
        <f t="shared" si="62"/>
        <v>009</v>
      </c>
      <c r="G677" s="3" t="str">
        <f t="shared" si="63"/>
        <v>PO</v>
      </c>
      <c r="H677" s="3" t="str">
        <f t="shared" si="64"/>
        <v>000</v>
      </c>
      <c r="I677" s="3" t="str">
        <f t="shared" si="65"/>
        <v>00</v>
      </c>
      <c r="L677" s="3" t="s">
        <v>3309</v>
      </c>
      <c r="R677" s="3" t="s">
        <v>5115</v>
      </c>
      <c r="S677" s="15" t="s">
        <v>3247</v>
      </c>
    </row>
    <row r="678" spans="1:19" x14ac:dyDescent="0.25">
      <c r="A678" s="4" t="s">
        <v>5116</v>
      </c>
      <c r="B678" s="4" t="s">
        <v>4944</v>
      </c>
      <c r="C678" s="4" t="s">
        <v>5117</v>
      </c>
      <c r="D678" s="3" t="str">
        <f t="shared" si="60"/>
        <v>PNL</v>
      </c>
      <c r="E678" s="3" t="str">
        <f t="shared" si="61"/>
        <v>L</v>
      </c>
      <c r="F678" s="3" t="str">
        <f t="shared" si="62"/>
        <v>005</v>
      </c>
      <c r="G678" s="3" t="str">
        <f t="shared" si="63"/>
        <v>PO</v>
      </c>
      <c r="H678" s="3" t="str">
        <f t="shared" si="64"/>
        <v>000</v>
      </c>
      <c r="I678" s="3" t="str">
        <f t="shared" si="65"/>
        <v>00</v>
      </c>
      <c r="L678" s="3" t="s">
        <v>3309</v>
      </c>
      <c r="R678" s="3" t="s">
        <v>5118</v>
      </c>
      <c r="S678" s="15" t="s">
        <v>3247</v>
      </c>
    </row>
    <row r="679" spans="1:19" x14ac:dyDescent="0.25">
      <c r="A679" s="4" t="s">
        <v>5119</v>
      </c>
      <c r="B679" s="4" t="s">
        <v>4944</v>
      </c>
      <c r="C679" s="4" t="s">
        <v>5120</v>
      </c>
      <c r="D679" s="3" t="str">
        <f t="shared" si="60"/>
        <v>PNL</v>
      </c>
      <c r="E679" s="3" t="str">
        <f t="shared" si="61"/>
        <v>K</v>
      </c>
      <c r="F679" s="3" t="str">
        <f t="shared" si="62"/>
        <v>002</v>
      </c>
      <c r="G679" s="3" t="str">
        <f t="shared" si="63"/>
        <v>PO</v>
      </c>
      <c r="H679" s="3" t="str">
        <f t="shared" si="64"/>
        <v>000</v>
      </c>
      <c r="I679" s="3" t="str">
        <f t="shared" si="65"/>
        <v>00</v>
      </c>
      <c r="L679" s="3" t="s">
        <v>3309</v>
      </c>
      <c r="R679" s="3" t="s">
        <v>5121</v>
      </c>
      <c r="S679" s="15" t="s">
        <v>3247</v>
      </c>
    </row>
    <row r="680" spans="1:19" x14ac:dyDescent="0.25">
      <c r="A680" s="4" t="s">
        <v>5122</v>
      </c>
      <c r="B680" s="4" t="s">
        <v>4944</v>
      </c>
      <c r="C680" s="4" t="s">
        <v>5123</v>
      </c>
      <c r="D680" s="3" t="str">
        <f t="shared" si="60"/>
        <v>PNL</v>
      </c>
      <c r="E680" s="3" t="str">
        <f t="shared" si="61"/>
        <v>X</v>
      </c>
      <c r="F680" s="3" t="str">
        <f t="shared" si="62"/>
        <v>004</v>
      </c>
      <c r="G680" s="3" t="str">
        <f t="shared" si="63"/>
        <v>PO</v>
      </c>
      <c r="H680" s="3" t="str">
        <f t="shared" si="64"/>
        <v>000</v>
      </c>
      <c r="I680" s="3" t="str">
        <f t="shared" si="65"/>
        <v>00</v>
      </c>
      <c r="L680" s="3" t="s">
        <v>3309</v>
      </c>
      <c r="R680" s="3" t="s">
        <v>5124</v>
      </c>
      <c r="S680" s="15" t="s">
        <v>3247</v>
      </c>
    </row>
    <row r="681" spans="1:19" x14ac:dyDescent="0.25">
      <c r="A681" s="4" t="s">
        <v>5125</v>
      </c>
      <c r="B681" s="4" t="s">
        <v>4944</v>
      </c>
      <c r="C681" s="4" t="s">
        <v>5126</v>
      </c>
      <c r="D681" s="3" t="str">
        <f t="shared" si="60"/>
        <v>PNL</v>
      </c>
      <c r="E681" s="3" t="str">
        <f t="shared" si="61"/>
        <v>B</v>
      </c>
      <c r="F681" s="3" t="str">
        <f t="shared" si="62"/>
        <v>011</v>
      </c>
      <c r="G681" s="3" t="str">
        <f t="shared" si="63"/>
        <v>NE</v>
      </c>
      <c r="H681" s="3" t="str">
        <f t="shared" si="64"/>
        <v>004</v>
      </c>
      <c r="I681" s="3" t="str">
        <f t="shared" si="65"/>
        <v>00</v>
      </c>
      <c r="L681" s="3" t="s">
        <v>3309</v>
      </c>
      <c r="R681" s="3" t="s">
        <v>5127</v>
      </c>
      <c r="S681" s="15" t="s">
        <v>3247</v>
      </c>
    </row>
    <row r="682" spans="1:19" x14ac:dyDescent="0.25">
      <c r="A682" s="4" t="s">
        <v>5128</v>
      </c>
      <c r="B682" s="4" t="s">
        <v>4944</v>
      </c>
      <c r="C682" s="4" t="s">
        <v>5129</v>
      </c>
      <c r="D682" s="3" t="str">
        <f t="shared" si="60"/>
        <v>PNL</v>
      </c>
      <c r="E682" s="3" t="str">
        <f t="shared" si="61"/>
        <v>H</v>
      </c>
      <c r="F682" s="3" t="str">
        <f t="shared" si="62"/>
        <v>001</v>
      </c>
      <c r="G682" s="3" t="str">
        <f t="shared" si="63"/>
        <v>DI</v>
      </c>
      <c r="H682" s="3" t="str">
        <f t="shared" si="64"/>
        <v>000</v>
      </c>
      <c r="I682" s="3" t="str">
        <f t="shared" si="65"/>
        <v>00</v>
      </c>
      <c r="L682" s="3" t="s">
        <v>3309</v>
      </c>
      <c r="R682" s="3" t="s">
        <v>5130</v>
      </c>
      <c r="S682" s="15" t="s">
        <v>3247</v>
      </c>
    </row>
    <row r="683" spans="1:19" x14ac:dyDescent="0.25">
      <c r="A683" s="4" t="s">
        <v>5131</v>
      </c>
      <c r="B683" s="4" t="s">
        <v>4944</v>
      </c>
      <c r="C683" s="4" t="s">
        <v>5132</v>
      </c>
      <c r="D683" s="3" t="str">
        <f t="shared" si="60"/>
        <v>PNL</v>
      </c>
      <c r="E683" s="3" t="str">
        <f t="shared" si="61"/>
        <v>H</v>
      </c>
      <c r="F683" s="3" t="str">
        <f t="shared" si="62"/>
        <v>002</v>
      </c>
      <c r="G683" s="3" t="str">
        <f t="shared" si="63"/>
        <v>DI</v>
      </c>
      <c r="H683" s="3" t="str">
        <f t="shared" si="64"/>
        <v>000</v>
      </c>
      <c r="I683" s="3" t="str">
        <f t="shared" si="65"/>
        <v>00</v>
      </c>
      <c r="L683" s="3" t="s">
        <v>3309</v>
      </c>
      <c r="R683" s="3" t="s">
        <v>5133</v>
      </c>
      <c r="S683" s="15" t="s">
        <v>3247</v>
      </c>
    </row>
    <row r="684" spans="1:19" x14ac:dyDescent="0.25">
      <c r="A684" s="4" t="s">
        <v>5134</v>
      </c>
      <c r="B684" s="4" t="s">
        <v>4944</v>
      </c>
      <c r="C684" s="4" t="s">
        <v>5135</v>
      </c>
      <c r="D684" s="3" t="str">
        <f t="shared" si="60"/>
        <v>PNL</v>
      </c>
      <c r="E684" s="3" t="str">
        <f t="shared" si="61"/>
        <v>B</v>
      </c>
      <c r="F684" s="3" t="str">
        <f t="shared" si="62"/>
        <v>004</v>
      </c>
      <c r="G684" s="3" t="str">
        <f t="shared" si="63"/>
        <v>DI</v>
      </c>
      <c r="H684" s="3" t="str">
        <f t="shared" si="64"/>
        <v>003</v>
      </c>
      <c r="I684" s="3" t="str">
        <f t="shared" si="65"/>
        <v>00</v>
      </c>
      <c r="L684" s="3" t="s">
        <v>3309</v>
      </c>
      <c r="R684" s="3" t="s">
        <v>5136</v>
      </c>
      <c r="S684" s="15" t="s">
        <v>3247</v>
      </c>
    </row>
    <row r="685" spans="1:19" x14ac:dyDescent="0.25">
      <c r="A685" s="4" t="s">
        <v>5137</v>
      </c>
      <c r="B685" s="4" t="s">
        <v>4944</v>
      </c>
      <c r="C685" s="4" t="s">
        <v>5138</v>
      </c>
      <c r="D685" s="3" t="str">
        <f t="shared" si="60"/>
        <v>PNL</v>
      </c>
      <c r="E685" s="3" t="str">
        <f t="shared" si="61"/>
        <v>B</v>
      </c>
      <c r="F685" s="3" t="str">
        <f t="shared" si="62"/>
        <v>003</v>
      </c>
      <c r="G685" s="3" t="str">
        <f t="shared" si="63"/>
        <v>DI</v>
      </c>
      <c r="H685" s="3" t="str">
        <f t="shared" si="64"/>
        <v>003</v>
      </c>
      <c r="I685" s="3" t="str">
        <f t="shared" si="65"/>
        <v>00</v>
      </c>
      <c r="L685" s="3" t="s">
        <v>3309</v>
      </c>
      <c r="R685" s="3" t="s">
        <v>5139</v>
      </c>
      <c r="S685" s="15" t="s">
        <v>3247</v>
      </c>
    </row>
    <row r="686" spans="1:19" x14ac:dyDescent="0.25">
      <c r="A686" s="4" t="s">
        <v>5140</v>
      </c>
      <c r="B686" s="4" t="s">
        <v>4944</v>
      </c>
      <c r="C686" s="4" t="s">
        <v>5141</v>
      </c>
      <c r="D686" s="3" t="str">
        <f t="shared" si="60"/>
        <v>PNL</v>
      </c>
      <c r="E686" s="3" t="str">
        <f t="shared" si="61"/>
        <v>O</v>
      </c>
      <c r="F686" s="3" t="str">
        <f t="shared" si="62"/>
        <v>002</v>
      </c>
      <c r="G686" s="3" t="str">
        <f t="shared" si="63"/>
        <v>KR</v>
      </c>
      <c r="H686" s="3" t="str">
        <f t="shared" si="64"/>
        <v>009</v>
      </c>
      <c r="I686" s="3" t="str">
        <f t="shared" si="65"/>
        <v>00</v>
      </c>
      <c r="L686" s="3" t="s">
        <v>3309</v>
      </c>
      <c r="R686" s="3" t="s">
        <v>5142</v>
      </c>
      <c r="S686" s="15" t="s">
        <v>3247</v>
      </c>
    </row>
    <row r="687" spans="1:19" x14ac:dyDescent="0.25">
      <c r="A687" s="4" t="s">
        <v>5143</v>
      </c>
      <c r="B687" s="4" t="s">
        <v>4944</v>
      </c>
      <c r="C687" s="4" t="s">
        <v>5144</v>
      </c>
      <c r="D687" s="3" t="str">
        <f t="shared" si="60"/>
        <v>PNL</v>
      </c>
      <c r="E687" s="3" t="str">
        <f t="shared" si="61"/>
        <v>K</v>
      </c>
      <c r="F687" s="3" t="str">
        <f t="shared" si="62"/>
        <v>006</v>
      </c>
      <c r="G687" s="3" t="str">
        <f t="shared" si="63"/>
        <v>PO</v>
      </c>
      <c r="H687" s="3" t="str">
        <f t="shared" si="64"/>
        <v>000</v>
      </c>
      <c r="I687" s="3" t="str">
        <f t="shared" si="65"/>
        <v>00</v>
      </c>
      <c r="L687" s="3" t="s">
        <v>3309</v>
      </c>
      <c r="R687" s="3" t="s">
        <v>5145</v>
      </c>
      <c r="S687" s="15" t="s">
        <v>3247</v>
      </c>
    </row>
    <row r="688" spans="1:19" x14ac:dyDescent="0.25">
      <c r="A688" s="4" t="s">
        <v>5146</v>
      </c>
      <c r="B688" s="4" t="s">
        <v>4944</v>
      </c>
      <c r="C688" s="4" t="s">
        <v>5147</v>
      </c>
      <c r="D688" s="3" t="str">
        <f t="shared" si="60"/>
        <v>PNL</v>
      </c>
      <c r="E688" s="3" t="str">
        <f t="shared" si="61"/>
        <v>U</v>
      </c>
      <c r="F688" s="3" t="str">
        <f t="shared" si="62"/>
        <v>003</v>
      </c>
      <c r="G688" s="3" t="str">
        <f t="shared" si="63"/>
        <v>NA</v>
      </c>
      <c r="H688" s="3" t="str">
        <f t="shared" si="64"/>
        <v>004</v>
      </c>
      <c r="I688" s="3" t="str">
        <f t="shared" si="65"/>
        <v>00</v>
      </c>
      <c r="L688" s="3" t="s">
        <v>3309</v>
      </c>
      <c r="R688" s="3" t="s">
        <v>5148</v>
      </c>
      <c r="S688" s="15" t="s">
        <v>3247</v>
      </c>
    </row>
    <row r="689" spans="1:19" ht="30" x14ac:dyDescent="0.25">
      <c r="A689" s="4" t="s">
        <v>5149</v>
      </c>
      <c r="B689" s="4" t="s">
        <v>4944</v>
      </c>
      <c r="C689" s="4" t="s">
        <v>5150</v>
      </c>
      <c r="D689" s="3" t="str">
        <f t="shared" si="60"/>
        <v>PNL</v>
      </c>
      <c r="E689" s="3" t="str">
        <f t="shared" si="61"/>
        <v>O</v>
      </c>
      <c r="F689" s="3" t="str">
        <f t="shared" si="62"/>
        <v>006</v>
      </c>
      <c r="G689" s="3" t="str">
        <f t="shared" si="63"/>
        <v>RM</v>
      </c>
      <c r="H689" s="3" t="str">
        <f t="shared" si="64"/>
        <v>011</v>
      </c>
      <c r="I689" s="3" t="str">
        <f t="shared" si="65"/>
        <v>02</v>
      </c>
      <c r="L689" s="3" t="s">
        <v>3309</v>
      </c>
      <c r="R689" s="3" t="s">
        <v>5151</v>
      </c>
      <c r="S689" s="15" t="s">
        <v>3247</v>
      </c>
    </row>
    <row r="690" spans="1:19" ht="30" x14ac:dyDescent="0.25">
      <c r="A690" s="4" t="s">
        <v>5152</v>
      </c>
      <c r="B690" s="4" t="s">
        <v>4944</v>
      </c>
      <c r="C690" s="4" t="s">
        <v>5153</v>
      </c>
      <c r="D690" s="3" t="str">
        <f t="shared" si="60"/>
        <v>PNL</v>
      </c>
      <c r="E690" s="3" t="str">
        <f t="shared" si="61"/>
        <v>O</v>
      </c>
      <c r="F690" s="3" t="str">
        <f t="shared" si="62"/>
        <v>007</v>
      </c>
      <c r="G690" s="3" t="str">
        <f t="shared" si="63"/>
        <v>RM</v>
      </c>
      <c r="H690" s="3" t="str">
        <f t="shared" si="64"/>
        <v>011</v>
      </c>
      <c r="I690" s="3" t="str">
        <f t="shared" si="65"/>
        <v>02</v>
      </c>
      <c r="L690" s="3" t="s">
        <v>3309</v>
      </c>
      <c r="R690" s="3" t="s">
        <v>5154</v>
      </c>
      <c r="S690" s="15" t="s">
        <v>3247</v>
      </c>
    </row>
    <row r="691" spans="1:19" ht="30" x14ac:dyDescent="0.25">
      <c r="A691" s="4" t="s">
        <v>5155</v>
      </c>
      <c r="B691" s="4" t="s">
        <v>4944</v>
      </c>
      <c r="C691" s="4" t="s">
        <v>5156</v>
      </c>
      <c r="D691" s="3" t="str">
        <f t="shared" si="60"/>
        <v>PNL</v>
      </c>
      <c r="E691" s="3" t="str">
        <f t="shared" si="61"/>
        <v>O</v>
      </c>
      <c r="F691" s="3" t="str">
        <f t="shared" si="62"/>
        <v>008</v>
      </c>
      <c r="G691" s="3" t="str">
        <f t="shared" si="63"/>
        <v>RM</v>
      </c>
      <c r="H691" s="3" t="str">
        <f t="shared" si="64"/>
        <v>011</v>
      </c>
      <c r="I691" s="3" t="str">
        <f t="shared" si="65"/>
        <v>02</v>
      </c>
      <c r="L691" s="3" t="s">
        <v>3309</v>
      </c>
      <c r="R691" s="3" t="s">
        <v>5157</v>
      </c>
      <c r="S691" s="15" t="s">
        <v>3247</v>
      </c>
    </row>
    <row r="692" spans="1:19" ht="30" x14ac:dyDescent="0.25">
      <c r="A692" s="4" t="s">
        <v>5158</v>
      </c>
      <c r="B692" s="4" t="s">
        <v>4944</v>
      </c>
      <c r="C692" s="4" t="s">
        <v>5159</v>
      </c>
      <c r="D692" s="3" t="str">
        <f t="shared" si="60"/>
        <v>PNL</v>
      </c>
      <c r="E692" s="3" t="str">
        <f t="shared" si="61"/>
        <v>O</v>
      </c>
      <c r="F692" s="3" t="str">
        <f t="shared" si="62"/>
        <v>009</v>
      </c>
      <c r="G692" s="3" t="str">
        <f t="shared" si="63"/>
        <v>RM</v>
      </c>
      <c r="H692" s="3" t="str">
        <f t="shared" si="64"/>
        <v>011</v>
      </c>
      <c r="I692" s="3" t="str">
        <f t="shared" si="65"/>
        <v>02</v>
      </c>
      <c r="L692" s="3" t="s">
        <v>3309</v>
      </c>
      <c r="R692" s="3" t="s">
        <v>5160</v>
      </c>
      <c r="S692" s="15" t="s">
        <v>3247</v>
      </c>
    </row>
    <row r="693" spans="1:19" ht="30" x14ac:dyDescent="0.25">
      <c r="A693" s="4" t="s">
        <v>5161</v>
      </c>
      <c r="B693" s="4" t="s">
        <v>4944</v>
      </c>
      <c r="C693" s="4" t="s">
        <v>5162</v>
      </c>
      <c r="D693" s="3" t="str">
        <f t="shared" si="60"/>
        <v>PNL</v>
      </c>
      <c r="E693" s="3" t="str">
        <f t="shared" si="61"/>
        <v>O</v>
      </c>
      <c r="F693" s="3" t="str">
        <f t="shared" si="62"/>
        <v>010</v>
      </c>
      <c r="G693" s="3" t="str">
        <f t="shared" si="63"/>
        <v>RM</v>
      </c>
      <c r="H693" s="3" t="str">
        <f t="shared" si="64"/>
        <v>011</v>
      </c>
      <c r="I693" s="3" t="str">
        <f t="shared" si="65"/>
        <v>02</v>
      </c>
      <c r="L693" s="3" t="s">
        <v>3309</v>
      </c>
      <c r="R693" s="3" t="s">
        <v>5163</v>
      </c>
      <c r="S693" s="15" t="s">
        <v>3247</v>
      </c>
    </row>
    <row r="694" spans="1:19" x14ac:dyDescent="0.25">
      <c r="A694" s="4" t="s">
        <v>5164</v>
      </c>
      <c r="B694" s="4" t="s">
        <v>4944</v>
      </c>
      <c r="C694" s="4" t="s">
        <v>5165</v>
      </c>
      <c r="D694" s="3" t="str">
        <f t="shared" si="60"/>
        <v>PNL</v>
      </c>
      <c r="E694" s="3" t="str">
        <f t="shared" si="61"/>
        <v>F</v>
      </c>
      <c r="F694" s="3" t="str">
        <f t="shared" si="62"/>
        <v>008</v>
      </c>
      <c r="G694" s="3" t="str">
        <f t="shared" si="63"/>
        <v>PR</v>
      </c>
      <c r="H694" s="3" t="str">
        <f t="shared" si="64"/>
        <v>000</v>
      </c>
      <c r="I694" s="3" t="str">
        <f t="shared" si="65"/>
        <v>00</v>
      </c>
      <c r="L694" s="3" t="s">
        <v>3309</v>
      </c>
      <c r="R694" s="3" t="s">
        <v>5166</v>
      </c>
      <c r="S694" s="15" t="s">
        <v>3247</v>
      </c>
    </row>
    <row r="695" spans="1:19" x14ac:dyDescent="0.25">
      <c r="A695" s="4" t="s">
        <v>5167</v>
      </c>
      <c r="B695" s="4" t="s">
        <v>4944</v>
      </c>
      <c r="C695" s="4" t="s">
        <v>5168</v>
      </c>
      <c r="D695" s="3" t="str">
        <f t="shared" si="60"/>
        <v>PNL</v>
      </c>
      <c r="E695" s="3" t="str">
        <f t="shared" si="61"/>
        <v>F</v>
      </c>
      <c r="F695" s="3" t="str">
        <f t="shared" si="62"/>
        <v>028</v>
      </c>
      <c r="G695" s="3" t="str">
        <f t="shared" si="63"/>
        <v>PR</v>
      </c>
      <c r="H695" s="3" t="str">
        <f t="shared" si="64"/>
        <v>000</v>
      </c>
      <c r="I695" s="3" t="str">
        <f t="shared" si="65"/>
        <v>00</v>
      </c>
      <c r="L695" s="3" t="s">
        <v>3309</v>
      </c>
      <c r="R695" s="3" t="s">
        <v>5169</v>
      </c>
      <c r="S695" s="15" t="s">
        <v>3247</v>
      </c>
    </row>
    <row r="696" spans="1:19" x14ac:dyDescent="0.25">
      <c r="A696" s="4" t="s">
        <v>5170</v>
      </c>
      <c r="B696" s="4" t="s">
        <v>4944</v>
      </c>
      <c r="C696" s="4" t="s">
        <v>5171</v>
      </c>
      <c r="D696" s="3" t="str">
        <f t="shared" si="60"/>
        <v>PNL</v>
      </c>
      <c r="E696" s="3" t="str">
        <f t="shared" si="61"/>
        <v>F</v>
      </c>
      <c r="F696" s="3" t="str">
        <f t="shared" si="62"/>
        <v>029</v>
      </c>
      <c r="G696" s="3" t="str">
        <f t="shared" si="63"/>
        <v>PR</v>
      </c>
      <c r="H696" s="3" t="str">
        <f t="shared" si="64"/>
        <v>000</v>
      </c>
      <c r="I696" s="3" t="str">
        <f t="shared" si="65"/>
        <v>00</v>
      </c>
      <c r="L696" s="3" t="s">
        <v>3309</v>
      </c>
      <c r="R696" s="3" t="s">
        <v>5172</v>
      </c>
      <c r="S696" s="15" t="s">
        <v>3247</v>
      </c>
    </row>
    <row r="697" spans="1:19" x14ac:dyDescent="0.25">
      <c r="A697" s="4" t="s">
        <v>5173</v>
      </c>
      <c r="B697" s="4" t="s">
        <v>4944</v>
      </c>
      <c r="C697" s="4" t="s">
        <v>5174</v>
      </c>
      <c r="D697" s="3" t="str">
        <f t="shared" si="60"/>
        <v>PNL</v>
      </c>
      <c r="E697" s="3" t="str">
        <f t="shared" si="61"/>
        <v>F</v>
      </c>
      <c r="F697" s="3" t="str">
        <f t="shared" si="62"/>
        <v>024</v>
      </c>
      <c r="G697" s="3" t="str">
        <f t="shared" si="63"/>
        <v>PR</v>
      </c>
      <c r="H697" s="3" t="str">
        <f t="shared" si="64"/>
        <v>000</v>
      </c>
      <c r="I697" s="3" t="str">
        <f t="shared" si="65"/>
        <v>00</v>
      </c>
      <c r="L697" s="3" t="s">
        <v>3309</v>
      </c>
      <c r="R697" s="3" t="s">
        <v>5175</v>
      </c>
      <c r="S697" s="15" t="s">
        <v>3247</v>
      </c>
    </row>
    <row r="698" spans="1:19" x14ac:dyDescent="0.25">
      <c r="A698" s="4" t="s">
        <v>5176</v>
      </c>
      <c r="B698" s="4" t="s">
        <v>4944</v>
      </c>
      <c r="C698" s="4" t="s">
        <v>5177</v>
      </c>
      <c r="D698" s="3" t="str">
        <f t="shared" si="60"/>
        <v>PNL</v>
      </c>
      <c r="E698" s="3" t="str">
        <f t="shared" si="61"/>
        <v>A</v>
      </c>
      <c r="F698" s="3" t="str">
        <f t="shared" si="62"/>
        <v>A00</v>
      </c>
      <c r="G698" s="3" t="str">
        <f t="shared" si="63"/>
        <v>7L</v>
      </c>
      <c r="H698" s="3" t="str">
        <f t="shared" si="64"/>
        <v>T00</v>
      </c>
      <c r="I698" s="3" t="str">
        <f t="shared" si="65"/>
        <v>00</v>
      </c>
      <c r="L698" s="3" t="s">
        <v>3309</v>
      </c>
      <c r="R698" s="3" t="s">
        <v>5178</v>
      </c>
      <c r="S698" s="15" t="s">
        <v>3247</v>
      </c>
    </row>
    <row r="699" spans="1:19" x14ac:dyDescent="0.25">
      <c r="A699" s="4" t="s">
        <v>5179</v>
      </c>
      <c r="B699" s="4" t="s">
        <v>4944</v>
      </c>
      <c r="C699" s="4" t="s">
        <v>5177</v>
      </c>
      <c r="D699" s="3" t="str">
        <f t="shared" si="60"/>
        <v>PNL</v>
      </c>
      <c r="E699" s="3" t="str">
        <f t="shared" si="61"/>
        <v>A</v>
      </c>
      <c r="F699" s="3" t="str">
        <f t="shared" si="62"/>
        <v>A00</v>
      </c>
      <c r="G699" s="3" t="str">
        <f t="shared" si="63"/>
        <v>6L</v>
      </c>
      <c r="H699" s="3" t="str">
        <f t="shared" si="64"/>
        <v>T00</v>
      </c>
      <c r="I699" s="3" t="str">
        <f t="shared" si="65"/>
        <v>00</v>
      </c>
      <c r="L699" s="3" t="s">
        <v>3309</v>
      </c>
      <c r="R699" s="3" t="s">
        <v>5180</v>
      </c>
      <c r="S699" s="15" t="s">
        <v>3247</v>
      </c>
    </row>
    <row r="700" spans="1:19" ht="30" x14ac:dyDescent="0.25">
      <c r="A700" s="4" t="s">
        <v>5181</v>
      </c>
      <c r="B700" s="4" t="s">
        <v>4944</v>
      </c>
      <c r="C700" s="4" t="s">
        <v>5182</v>
      </c>
      <c r="D700" s="3" t="str">
        <f t="shared" si="60"/>
        <v>PNL</v>
      </c>
      <c r="E700" s="3" t="str">
        <f t="shared" si="61"/>
        <v>P</v>
      </c>
      <c r="F700" s="3" t="str">
        <f t="shared" si="62"/>
        <v>024</v>
      </c>
      <c r="G700" s="3" t="str">
        <f t="shared" si="63"/>
        <v>NE</v>
      </c>
      <c r="H700" s="3" t="str">
        <f t="shared" si="64"/>
        <v>010</v>
      </c>
      <c r="I700" s="3" t="str">
        <f t="shared" si="65"/>
        <v>00</v>
      </c>
      <c r="L700" s="3" t="s">
        <v>3309</v>
      </c>
      <c r="R700" s="3" t="s">
        <v>5183</v>
      </c>
      <c r="S700" s="15" t="s">
        <v>3247</v>
      </c>
    </row>
    <row r="701" spans="1:19" ht="30" x14ac:dyDescent="0.25">
      <c r="A701" s="4" t="s">
        <v>5184</v>
      </c>
      <c r="B701" s="4" t="s">
        <v>4944</v>
      </c>
      <c r="C701" s="4" t="s">
        <v>5185</v>
      </c>
      <c r="D701" s="3" t="str">
        <f t="shared" si="60"/>
        <v>PNL</v>
      </c>
      <c r="E701" s="3" t="str">
        <f t="shared" si="61"/>
        <v>P</v>
      </c>
      <c r="F701" s="3" t="str">
        <f t="shared" si="62"/>
        <v>025</v>
      </c>
      <c r="G701" s="3" t="str">
        <f t="shared" si="63"/>
        <v>NE</v>
      </c>
      <c r="H701" s="3" t="str">
        <f t="shared" si="64"/>
        <v>010</v>
      </c>
      <c r="I701" s="3" t="str">
        <f t="shared" si="65"/>
        <v>00</v>
      </c>
      <c r="L701" s="3" t="s">
        <v>3309</v>
      </c>
      <c r="R701" s="3" t="s">
        <v>5186</v>
      </c>
      <c r="S701" s="15" t="s">
        <v>3247</v>
      </c>
    </row>
    <row r="702" spans="1:19" x14ac:dyDescent="0.25">
      <c r="A702" s="4" t="s">
        <v>5187</v>
      </c>
      <c r="B702" s="4" t="s">
        <v>4944</v>
      </c>
      <c r="C702" s="4" t="s">
        <v>5177</v>
      </c>
      <c r="D702" s="3" t="str">
        <f t="shared" si="60"/>
        <v>PNL</v>
      </c>
      <c r="E702" s="3" t="str">
        <f t="shared" si="61"/>
        <v>A</v>
      </c>
      <c r="F702" s="3" t="str">
        <f t="shared" si="62"/>
        <v>A00</v>
      </c>
      <c r="G702" s="3" t="str">
        <f t="shared" si="63"/>
        <v>4L</v>
      </c>
      <c r="H702" s="3" t="str">
        <f t="shared" si="64"/>
        <v>T00</v>
      </c>
      <c r="I702" s="3" t="str">
        <f t="shared" si="65"/>
        <v>00</v>
      </c>
      <c r="L702" s="3" t="s">
        <v>3309</v>
      </c>
      <c r="R702" s="3" t="s">
        <v>5188</v>
      </c>
      <c r="S702" s="15" t="s">
        <v>3247</v>
      </c>
    </row>
    <row r="703" spans="1:19" ht="30" x14ac:dyDescent="0.25">
      <c r="A703" s="4" t="s">
        <v>5189</v>
      </c>
      <c r="B703" s="4" t="s">
        <v>4944</v>
      </c>
      <c r="C703" s="4" t="s">
        <v>5190</v>
      </c>
      <c r="D703" s="3" t="str">
        <f t="shared" si="60"/>
        <v>PNL</v>
      </c>
      <c r="E703" s="3" t="str">
        <f t="shared" si="61"/>
        <v>G</v>
      </c>
      <c r="F703" s="3" t="str">
        <f t="shared" si="62"/>
        <v>003</v>
      </c>
      <c r="G703" s="3" t="str">
        <f t="shared" si="63"/>
        <v>KR</v>
      </c>
      <c r="H703" s="3" t="str">
        <f t="shared" si="64"/>
        <v>001</v>
      </c>
      <c r="I703" s="3" t="str">
        <f t="shared" si="65"/>
        <v>00</v>
      </c>
      <c r="L703" s="3" t="s">
        <v>3309</v>
      </c>
      <c r="R703" s="3" t="s">
        <v>5191</v>
      </c>
      <c r="S703" s="15" t="s">
        <v>3247</v>
      </c>
    </row>
    <row r="704" spans="1:19" ht="30" x14ac:dyDescent="0.25">
      <c r="A704" s="4" t="s">
        <v>5192</v>
      </c>
      <c r="B704" s="4" t="s">
        <v>4944</v>
      </c>
      <c r="C704" s="4" t="s">
        <v>5193</v>
      </c>
      <c r="D704" s="3" t="str">
        <f t="shared" si="60"/>
        <v>PNL</v>
      </c>
      <c r="E704" s="3" t="str">
        <f t="shared" si="61"/>
        <v>F</v>
      </c>
      <c r="F704" s="3" t="str">
        <f t="shared" si="62"/>
        <v>003</v>
      </c>
      <c r="G704" s="3" t="str">
        <f t="shared" si="63"/>
        <v>KR</v>
      </c>
      <c r="H704" s="3" t="str">
        <f t="shared" si="64"/>
        <v>001</v>
      </c>
      <c r="I704" s="3" t="str">
        <f t="shared" si="65"/>
        <v>00</v>
      </c>
      <c r="L704" s="3" t="s">
        <v>3309</v>
      </c>
      <c r="R704" s="3" t="s">
        <v>5194</v>
      </c>
      <c r="S704" s="15" t="s">
        <v>3247</v>
      </c>
    </row>
    <row r="705" spans="1:19" x14ac:dyDescent="0.25">
      <c r="A705" s="4" t="s">
        <v>5195</v>
      </c>
      <c r="B705" s="4" t="s">
        <v>4944</v>
      </c>
      <c r="C705" s="4" t="s">
        <v>5196</v>
      </c>
      <c r="D705" s="3" t="str">
        <f t="shared" si="60"/>
        <v>PNL</v>
      </c>
      <c r="E705" s="3" t="str">
        <f t="shared" si="61"/>
        <v>F</v>
      </c>
      <c r="F705" s="3" t="str">
        <f t="shared" si="62"/>
        <v>003</v>
      </c>
      <c r="G705" s="3" t="str">
        <f t="shared" si="63"/>
        <v>NE</v>
      </c>
      <c r="H705" s="3" t="str">
        <f t="shared" si="64"/>
        <v>000</v>
      </c>
      <c r="I705" s="3" t="str">
        <f t="shared" si="65"/>
        <v>00</v>
      </c>
      <c r="L705" s="3" t="s">
        <v>3309</v>
      </c>
      <c r="R705" s="3" t="s">
        <v>5197</v>
      </c>
      <c r="S705" s="15" t="s">
        <v>3247</v>
      </c>
    </row>
    <row r="706" spans="1:19" x14ac:dyDescent="0.25">
      <c r="A706" s="4" t="s">
        <v>5198</v>
      </c>
      <c r="B706" s="4" t="s">
        <v>4944</v>
      </c>
      <c r="C706" s="4" t="s">
        <v>5199</v>
      </c>
      <c r="D706" s="3" t="str">
        <f t="shared" ref="D706:D769" si="66">LEFT(A706,3)</f>
        <v>PNL</v>
      </c>
      <c r="E706" s="3" t="str">
        <f t="shared" ref="E706:E769" si="67">MID(A706,4,1)</f>
        <v>F</v>
      </c>
      <c r="F706" s="3" t="str">
        <f t="shared" ref="F706:F769" si="68">MID(A706,5,3)</f>
        <v>005</v>
      </c>
      <c r="G706" s="3" t="str">
        <f t="shared" ref="G706:G769" si="69">MID(A706,8,2)</f>
        <v>NE</v>
      </c>
      <c r="H706" s="3" t="str">
        <f t="shared" ref="H706:H769" si="70">MID(A706,10,3)</f>
        <v>000</v>
      </c>
      <c r="I706" s="3" t="str">
        <f t="shared" ref="I706:I769" si="71">MID(A706,13,2)</f>
        <v>00</v>
      </c>
      <c r="L706" s="3" t="s">
        <v>3309</v>
      </c>
      <c r="R706" s="3" t="s">
        <v>5200</v>
      </c>
      <c r="S706" s="15" t="s">
        <v>3247</v>
      </c>
    </row>
    <row r="707" spans="1:19" x14ac:dyDescent="0.25">
      <c r="A707" s="4" t="s">
        <v>5201</v>
      </c>
      <c r="B707" s="4" t="s">
        <v>4944</v>
      </c>
      <c r="C707" s="4" t="s">
        <v>5202</v>
      </c>
      <c r="D707" s="3" t="str">
        <f t="shared" si="66"/>
        <v>PNL</v>
      </c>
      <c r="E707" s="3" t="str">
        <f t="shared" si="67"/>
        <v>F</v>
      </c>
      <c r="F707" s="3" t="str">
        <f t="shared" si="68"/>
        <v>017</v>
      </c>
      <c r="G707" s="3" t="str">
        <f t="shared" si="69"/>
        <v>NE</v>
      </c>
      <c r="H707" s="3" t="str">
        <f t="shared" si="70"/>
        <v>000</v>
      </c>
      <c r="I707" s="3" t="str">
        <f t="shared" si="71"/>
        <v>00</v>
      </c>
      <c r="L707" s="3" t="s">
        <v>3309</v>
      </c>
      <c r="R707" s="3" t="s">
        <v>5203</v>
      </c>
      <c r="S707" s="15" t="s">
        <v>3247</v>
      </c>
    </row>
    <row r="708" spans="1:19" x14ac:dyDescent="0.25">
      <c r="A708" s="4" t="s">
        <v>5204</v>
      </c>
      <c r="B708" s="4" t="s">
        <v>4944</v>
      </c>
      <c r="C708" s="4" t="s">
        <v>5205</v>
      </c>
      <c r="D708" s="3" t="str">
        <f t="shared" si="66"/>
        <v>PNL</v>
      </c>
      <c r="E708" s="3" t="str">
        <f t="shared" si="67"/>
        <v>F</v>
      </c>
      <c r="F708" s="3" t="str">
        <f t="shared" si="68"/>
        <v>002</v>
      </c>
      <c r="G708" s="3" t="str">
        <f t="shared" si="69"/>
        <v>NE</v>
      </c>
      <c r="H708" s="3" t="str">
        <f t="shared" si="70"/>
        <v>000</v>
      </c>
      <c r="I708" s="3" t="str">
        <f t="shared" si="71"/>
        <v>00</v>
      </c>
      <c r="L708" s="3" t="s">
        <v>3309</v>
      </c>
      <c r="R708" s="3" t="s">
        <v>5206</v>
      </c>
      <c r="S708" s="15" t="s">
        <v>3247</v>
      </c>
    </row>
    <row r="709" spans="1:19" x14ac:dyDescent="0.25">
      <c r="A709" s="4" t="s">
        <v>5207</v>
      </c>
      <c r="B709" s="4" t="s">
        <v>4944</v>
      </c>
      <c r="C709" s="4" t="s">
        <v>5208</v>
      </c>
      <c r="D709" s="3" t="str">
        <f t="shared" si="66"/>
        <v>PNL</v>
      </c>
      <c r="E709" s="3" t="str">
        <f t="shared" si="67"/>
        <v>F</v>
      </c>
      <c r="F709" s="3" t="str">
        <f t="shared" si="68"/>
        <v>006</v>
      </c>
      <c r="G709" s="3" t="str">
        <f t="shared" si="69"/>
        <v>NE</v>
      </c>
      <c r="H709" s="3" t="str">
        <f t="shared" si="70"/>
        <v>000</v>
      </c>
      <c r="I709" s="3" t="str">
        <f t="shared" si="71"/>
        <v>00</v>
      </c>
      <c r="L709" s="3" t="s">
        <v>3309</v>
      </c>
      <c r="R709" s="3" t="s">
        <v>5209</v>
      </c>
      <c r="S709" s="15" t="s">
        <v>3247</v>
      </c>
    </row>
    <row r="710" spans="1:19" x14ac:dyDescent="0.25">
      <c r="A710" s="4" t="s">
        <v>5210</v>
      </c>
      <c r="B710" s="4" t="s">
        <v>4944</v>
      </c>
      <c r="C710" s="4" t="s">
        <v>5211</v>
      </c>
      <c r="D710" s="3" t="str">
        <f t="shared" si="66"/>
        <v>PNL</v>
      </c>
      <c r="E710" s="3" t="str">
        <f t="shared" si="67"/>
        <v>F</v>
      </c>
      <c r="F710" s="3" t="str">
        <f t="shared" si="68"/>
        <v>008</v>
      </c>
      <c r="G710" s="3" t="str">
        <f t="shared" si="69"/>
        <v>NE</v>
      </c>
      <c r="H710" s="3" t="str">
        <f t="shared" si="70"/>
        <v>000</v>
      </c>
      <c r="I710" s="3" t="str">
        <f t="shared" si="71"/>
        <v>00</v>
      </c>
      <c r="L710" s="3" t="s">
        <v>3309</v>
      </c>
      <c r="R710" s="3" t="s">
        <v>5212</v>
      </c>
      <c r="S710" s="15" t="s">
        <v>3247</v>
      </c>
    </row>
    <row r="711" spans="1:19" x14ac:dyDescent="0.25">
      <c r="A711" s="4" t="s">
        <v>5213</v>
      </c>
      <c r="B711" s="4" t="s">
        <v>4944</v>
      </c>
      <c r="C711" s="4" t="s">
        <v>5214</v>
      </c>
      <c r="D711" s="3" t="str">
        <f t="shared" si="66"/>
        <v>PNL</v>
      </c>
      <c r="E711" s="3" t="str">
        <f t="shared" si="67"/>
        <v>F</v>
      </c>
      <c r="F711" s="3" t="str">
        <f t="shared" si="68"/>
        <v>024</v>
      </c>
      <c r="G711" s="3" t="str">
        <f t="shared" si="69"/>
        <v>NE</v>
      </c>
      <c r="H711" s="3" t="str">
        <f t="shared" si="70"/>
        <v>000</v>
      </c>
      <c r="I711" s="3" t="str">
        <f t="shared" si="71"/>
        <v>00</v>
      </c>
      <c r="L711" s="3" t="s">
        <v>3309</v>
      </c>
      <c r="R711" s="3" t="s">
        <v>5215</v>
      </c>
      <c r="S711" s="15" t="s">
        <v>3247</v>
      </c>
    </row>
    <row r="712" spans="1:19" ht="30" x14ac:dyDescent="0.25">
      <c r="A712" s="4" t="s">
        <v>5216</v>
      </c>
      <c r="B712" s="4" t="s">
        <v>4944</v>
      </c>
      <c r="C712" s="4" t="s">
        <v>1071</v>
      </c>
      <c r="D712" s="3" t="str">
        <f t="shared" si="66"/>
        <v>PNL</v>
      </c>
      <c r="E712" s="3" t="str">
        <f t="shared" si="67"/>
        <v>F</v>
      </c>
      <c r="F712" s="3" t="str">
        <f t="shared" si="68"/>
        <v>030</v>
      </c>
      <c r="G712" s="3" t="str">
        <f t="shared" si="69"/>
        <v>KR</v>
      </c>
      <c r="H712" s="3" t="str">
        <f t="shared" si="70"/>
        <v>000</v>
      </c>
      <c r="I712" s="3" t="str">
        <f t="shared" si="71"/>
        <v>00</v>
      </c>
      <c r="L712" s="3" t="s">
        <v>3309</v>
      </c>
      <c r="R712" s="3" t="s">
        <v>5217</v>
      </c>
      <c r="S712" s="15" t="s">
        <v>3247</v>
      </c>
    </row>
    <row r="713" spans="1:19" x14ac:dyDescent="0.25">
      <c r="A713" s="4" t="s">
        <v>5218</v>
      </c>
      <c r="B713" s="4" t="s">
        <v>4944</v>
      </c>
      <c r="C713" s="4" t="s">
        <v>1072</v>
      </c>
      <c r="D713" s="3" t="str">
        <f t="shared" si="66"/>
        <v>PNL</v>
      </c>
      <c r="E713" s="3" t="str">
        <f t="shared" si="67"/>
        <v>F</v>
      </c>
      <c r="F713" s="3" t="str">
        <f t="shared" si="68"/>
        <v>031</v>
      </c>
      <c r="G713" s="3" t="str">
        <f t="shared" si="69"/>
        <v>KR</v>
      </c>
      <c r="H713" s="3" t="str">
        <f t="shared" si="70"/>
        <v>000</v>
      </c>
      <c r="I713" s="3" t="str">
        <f t="shared" si="71"/>
        <v>00</v>
      </c>
      <c r="L713" s="3" t="s">
        <v>3309</v>
      </c>
      <c r="R713" s="3" t="s">
        <v>5219</v>
      </c>
      <c r="S713" s="15" t="s">
        <v>3247</v>
      </c>
    </row>
    <row r="714" spans="1:19" x14ac:dyDescent="0.25">
      <c r="A714" s="4" t="s">
        <v>5220</v>
      </c>
      <c r="B714" s="4" t="s">
        <v>4944</v>
      </c>
      <c r="C714" s="4" t="s">
        <v>5221</v>
      </c>
      <c r="D714" s="3" t="str">
        <f t="shared" si="66"/>
        <v>PNL</v>
      </c>
      <c r="E714" s="3" t="str">
        <f t="shared" si="67"/>
        <v>A</v>
      </c>
      <c r="F714" s="3" t="str">
        <f t="shared" si="68"/>
        <v>000</v>
      </c>
      <c r="G714" s="3" t="str">
        <f t="shared" si="69"/>
        <v>KR</v>
      </c>
      <c r="H714" s="3" t="str">
        <f t="shared" si="70"/>
        <v>000</v>
      </c>
      <c r="I714" s="3" t="str">
        <f t="shared" si="71"/>
        <v>00</v>
      </c>
      <c r="L714" s="3" t="s">
        <v>3309</v>
      </c>
      <c r="R714" s="3" t="s">
        <v>5222</v>
      </c>
      <c r="S714" s="15" t="s">
        <v>3247</v>
      </c>
    </row>
    <row r="715" spans="1:19" x14ac:dyDescent="0.25">
      <c r="A715" s="4" t="s">
        <v>5223</v>
      </c>
      <c r="B715" s="4" t="s">
        <v>4944</v>
      </c>
      <c r="C715" s="4" t="s">
        <v>5224</v>
      </c>
      <c r="D715" s="3" t="str">
        <f t="shared" si="66"/>
        <v>PNL</v>
      </c>
      <c r="E715" s="3" t="str">
        <f t="shared" si="67"/>
        <v>F</v>
      </c>
      <c r="F715" s="3" t="str">
        <f t="shared" si="68"/>
        <v>003</v>
      </c>
      <c r="G715" s="3" t="str">
        <f t="shared" si="69"/>
        <v>KR</v>
      </c>
      <c r="H715" s="3" t="str">
        <f t="shared" si="70"/>
        <v>010</v>
      </c>
      <c r="I715" s="3" t="str">
        <f t="shared" si="71"/>
        <v>00</v>
      </c>
      <c r="L715" s="3" t="s">
        <v>3309</v>
      </c>
      <c r="R715" s="3" t="s">
        <v>5225</v>
      </c>
      <c r="S715" s="15" t="s">
        <v>3247</v>
      </c>
    </row>
    <row r="716" spans="1:19" x14ac:dyDescent="0.25">
      <c r="A716" s="4" t="s">
        <v>5226</v>
      </c>
      <c r="B716" s="4" t="s">
        <v>4944</v>
      </c>
      <c r="C716" s="4" t="s">
        <v>5177</v>
      </c>
      <c r="D716" s="3" t="str">
        <f t="shared" si="66"/>
        <v>PNL</v>
      </c>
      <c r="E716" s="3" t="str">
        <f t="shared" si="67"/>
        <v>A</v>
      </c>
      <c r="F716" s="3" t="str">
        <f t="shared" si="68"/>
        <v>A00</v>
      </c>
      <c r="G716" s="3" t="str">
        <f t="shared" si="69"/>
        <v>5L</v>
      </c>
      <c r="H716" s="3" t="str">
        <f t="shared" si="70"/>
        <v>T00</v>
      </c>
      <c r="I716" s="3" t="str">
        <f t="shared" si="71"/>
        <v>00</v>
      </c>
      <c r="L716" s="3" t="s">
        <v>3309</v>
      </c>
      <c r="R716" s="3" t="s">
        <v>5227</v>
      </c>
      <c r="S716" s="15" t="s">
        <v>3247</v>
      </c>
    </row>
    <row r="717" spans="1:19" x14ac:dyDescent="0.25">
      <c r="A717" s="4" t="s">
        <v>5228</v>
      </c>
      <c r="B717" s="4" t="s">
        <v>4944</v>
      </c>
      <c r="C717" s="4" t="s">
        <v>5177</v>
      </c>
      <c r="D717" s="3" t="str">
        <f t="shared" si="66"/>
        <v>PNL</v>
      </c>
      <c r="E717" s="3" t="str">
        <f t="shared" si="67"/>
        <v>A</v>
      </c>
      <c r="F717" s="3" t="str">
        <f t="shared" si="68"/>
        <v>A00</v>
      </c>
      <c r="G717" s="3" t="str">
        <f t="shared" si="69"/>
        <v>3L</v>
      </c>
      <c r="H717" s="3" t="str">
        <f t="shared" si="70"/>
        <v>T00</v>
      </c>
      <c r="I717" s="3" t="str">
        <f t="shared" si="71"/>
        <v>00</v>
      </c>
      <c r="L717" s="3" t="s">
        <v>3309</v>
      </c>
      <c r="R717" s="3" t="s">
        <v>5229</v>
      </c>
      <c r="S717" s="15" t="s">
        <v>3247</v>
      </c>
    </row>
    <row r="718" spans="1:19" ht="30" x14ac:dyDescent="0.25">
      <c r="A718" s="4" t="s">
        <v>5230</v>
      </c>
      <c r="B718" s="4" t="s">
        <v>4944</v>
      </c>
      <c r="C718" s="4" t="s">
        <v>5231</v>
      </c>
      <c r="D718" s="3" t="str">
        <f t="shared" si="66"/>
        <v>PNL</v>
      </c>
      <c r="E718" s="3" t="str">
        <f t="shared" si="67"/>
        <v>D</v>
      </c>
      <c r="F718" s="3" t="str">
        <f t="shared" si="68"/>
        <v>001</v>
      </c>
      <c r="G718" s="3" t="str">
        <f t="shared" si="69"/>
        <v>KR</v>
      </c>
      <c r="H718" s="3" t="str">
        <f t="shared" si="70"/>
        <v>001</v>
      </c>
      <c r="I718" s="3" t="str">
        <f t="shared" si="71"/>
        <v>00</v>
      </c>
      <c r="L718" s="3" t="s">
        <v>3309</v>
      </c>
      <c r="R718" s="3" t="s">
        <v>5232</v>
      </c>
      <c r="S718" s="15" t="s">
        <v>3247</v>
      </c>
    </row>
    <row r="719" spans="1:19" x14ac:dyDescent="0.25">
      <c r="A719" s="4" t="s">
        <v>5233</v>
      </c>
      <c r="B719" s="4" t="s">
        <v>4944</v>
      </c>
      <c r="C719" s="4" t="s">
        <v>5234</v>
      </c>
      <c r="D719" s="3" t="str">
        <f t="shared" si="66"/>
        <v>PNL</v>
      </c>
      <c r="E719" s="3" t="str">
        <f t="shared" si="67"/>
        <v>G</v>
      </c>
      <c r="F719" s="3" t="str">
        <f t="shared" si="68"/>
        <v>012</v>
      </c>
      <c r="G719" s="3" t="str">
        <f t="shared" si="69"/>
        <v>KR</v>
      </c>
      <c r="H719" s="3" t="str">
        <f t="shared" si="70"/>
        <v>000</v>
      </c>
      <c r="I719" s="3" t="str">
        <f t="shared" si="71"/>
        <v>00</v>
      </c>
      <c r="L719" s="3" t="s">
        <v>3309</v>
      </c>
      <c r="R719" s="3" t="s">
        <v>5235</v>
      </c>
      <c r="S719" s="15" t="s">
        <v>3247</v>
      </c>
    </row>
    <row r="720" spans="1:19" x14ac:dyDescent="0.25">
      <c r="A720" s="4" t="s">
        <v>5236</v>
      </c>
      <c r="B720" s="4" t="s">
        <v>4944</v>
      </c>
      <c r="C720" s="4" t="s">
        <v>5237</v>
      </c>
      <c r="D720" s="3" t="str">
        <f t="shared" si="66"/>
        <v>PNL</v>
      </c>
      <c r="E720" s="3" t="str">
        <f t="shared" si="67"/>
        <v>G</v>
      </c>
      <c r="F720" s="3" t="str">
        <f t="shared" si="68"/>
        <v>032</v>
      </c>
      <c r="G720" s="3" t="str">
        <f t="shared" si="69"/>
        <v>KR</v>
      </c>
      <c r="H720" s="3" t="str">
        <f t="shared" si="70"/>
        <v>000</v>
      </c>
      <c r="I720" s="3" t="str">
        <f t="shared" si="71"/>
        <v>00</v>
      </c>
      <c r="L720" s="3" t="s">
        <v>3309</v>
      </c>
      <c r="R720" s="3" t="s">
        <v>5238</v>
      </c>
      <c r="S720" s="15" t="s">
        <v>3247</v>
      </c>
    </row>
    <row r="721" spans="1:19" x14ac:dyDescent="0.25">
      <c r="A721" s="4" t="s">
        <v>5239</v>
      </c>
      <c r="B721" s="4" t="s">
        <v>4944</v>
      </c>
      <c r="C721" s="4" t="s">
        <v>5240</v>
      </c>
      <c r="D721" s="3" t="str">
        <f t="shared" si="66"/>
        <v>PNL</v>
      </c>
      <c r="E721" s="3" t="str">
        <f t="shared" si="67"/>
        <v>G</v>
      </c>
      <c r="F721" s="3" t="str">
        <f t="shared" si="68"/>
        <v>035</v>
      </c>
      <c r="G721" s="3" t="str">
        <f t="shared" si="69"/>
        <v>KR</v>
      </c>
      <c r="H721" s="3" t="str">
        <f t="shared" si="70"/>
        <v>000</v>
      </c>
      <c r="I721" s="3" t="str">
        <f t="shared" si="71"/>
        <v>00</v>
      </c>
      <c r="L721" s="3" t="s">
        <v>3309</v>
      </c>
      <c r="R721" s="3" t="s">
        <v>5241</v>
      </c>
      <c r="S721" s="15" t="s">
        <v>3247</v>
      </c>
    </row>
    <row r="722" spans="1:19" x14ac:dyDescent="0.25">
      <c r="A722" s="4" t="s">
        <v>5242</v>
      </c>
      <c r="B722" s="4" t="s">
        <v>4944</v>
      </c>
      <c r="C722" s="4" t="s">
        <v>5243</v>
      </c>
      <c r="D722" s="3" t="str">
        <f t="shared" si="66"/>
        <v>PNL</v>
      </c>
      <c r="E722" s="3" t="str">
        <f t="shared" si="67"/>
        <v>U</v>
      </c>
      <c r="F722" s="3" t="str">
        <f t="shared" si="68"/>
        <v>004</v>
      </c>
      <c r="G722" s="3" t="str">
        <f t="shared" si="69"/>
        <v>NA</v>
      </c>
      <c r="H722" s="3" t="str">
        <f t="shared" si="70"/>
        <v>004</v>
      </c>
      <c r="I722" s="3" t="str">
        <f t="shared" si="71"/>
        <v>00</v>
      </c>
      <c r="L722" s="3" t="s">
        <v>3309</v>
      </c>
      <c r="R722" s="3" t="s">
        <v>5244</v>
      </c>
      <c r="S722" s="15" t="s">
        <v>3247</v>
      </c>
    </row>
    <row r="723" spans="1:19" x14ac:dyDescent="0.25">
      <c r="A723" s="4" t="s">
        <v>5245</v>
      </c>
      <c r="B723" s="4" t="s">
        <v>4944</v>
      </c>
      <c r="C723" s="4" t="s">
        <v>5177</v>
      </c>
      <c r="D723" s="3" t="str">
        <f t="shared" si="66"/>
        <v>PNL</v>
      </c>
      <c r="E723" s="3" t="str">
        <f t="shared" si="67"/>
        <v>A</v>
      </c>
      <c r="F723" s="3" t="str">
        <f t="shared" si="68"/>
        <v>A00</v>
      </c>
      <c r="G723" s="3" t="str">
        <f t="shared" si="69"/>
        <v>2L</v>
      </c>
      <c r="H723" s="3" t="str">
        <f t="shared" si="70"/>
        <v>T00</v>
      </c>
      <c r="I723" s="3" t="str">
        <f t="shared" si="71"/>
        <v>00</v>
      </c>
      <c r="L723" s="3" t="s">
        <v>3309</v>
      </c>
      <c r="R723" s="3" t="s">
        <v>5246</v>
      </c>
      <c r="S723" s="15" t="s">
        <v>3247</v>
      </c>
    </row>
    <row r="724" spans="1:19" x14ac:dyDescent="0.25">
      <c r="A724" s="4" t="s">
        <v>5247</v>
      </c>
      <c r="B724" s="4" t="s">
        <v>4944</v>
      </c>
      <c r="C724" s="4" t="s">
        <v>5248</v>
      </c>
      <c r="D724" s="3" t="str">
        <f t="shared" si="66"/>
        <v>PNL</v>
      </c>
      <c r="E724" s="3" t="str">
        <f t="shared" si="67"/>
        <v>U</v>
      </c>
      <c r="F724" s="3" t="str">
        <f t="shared" si="68"/>
        <v>006</v>
      </c>
      <c r="G724" s="3" t="str">
        <f t="shared" si="69"/>
        <v>NA</v>
      </c>
      <c r="H724" s="3" t="str">
        <f t="shared" si="70"/>
        <v>004</v>
      </c>
      <c r="I724" s="3" t="str">
        <f t="shared" si="71"/>
        <v>00</v>
      </c>
      <c r="L724" s="3" t="s">
        <v>3309</v>
      </c>
      <c r="R724" s="3" t="s">
        <v>5249</v>
      </c>
      <c r="S724" s="15" t="s">
        <v>3247</v>
      </c>
    </row>
    <row r="725" spans="1:19" x14ac:dyDescent="0.25">
      <c r="A725" s="4" t="s">
        <v>5250</v>
      </c>
      <c r="B725" s="4" t="s">
        <v>4944</v>
      </c>
      <c r="C725" s="4" t="s">
        <v>5251</v>
      </c>
      <c r="D725" s="3" t="str">
        <f t="shared" si="66"/>
        <v>PNL</v>
      </c>
      <c r="E725" s="3" t="str">
        <f t="shared" si="67"/>
        <v>U</v>
      </c>
      <c r="F725" s="3" t="str">
        <f t="shared" si="68"/>
        <v>007</v>
      </c>
      <c r="G725" s="3" t="str">
        <f t="shared" si="69"/>
        <v>NA</v>
      </c>
      <c r="H725" s="3" t="str">
        <f t="shared" si="70"/>
        <v>004</v>
      </c>
      <c r="I725" s="3" t="str">
        <f t="shared" si="71"/>
        <v>00</v>
      </c>
      <c r="L725" s="3" t="s">
        <v>3309</v>
      </c>
      <c r="R725" s="3" t="s">
        <v>5252</v>
      </c>
      <c r="S725" s="15" t="s">
        <v>3247</v>
      </c>
    </row>
    <row r="726" spans="1:19" x14ac:dyDescent="0.25">
      <c r="A726" s="4" t="s">
        <v>5253</v>
      </c>
      <c r="B726" s="4" t="s">
        <v>4944</v>
      </c>
      <c r="C726" s="4" t="s">
        <v>5254</v>
      </c>
      <c r="D726" s="3" t="str">
        <f t="shared" si="66"/>
        <v>PNL</v>
      </c>
      <c r="E726" s="3" t="str">
        <f t="shared" si="67"/>
        <v>U</v>
      </c>
      <c r="F726" s="3" t="str">
        <f t="shared" si="68"/>
        <v>009</v>
      </c>
      <c r="G726" s="3" t="str">
        <f t="shared" si="69"/>
        <v>NA</v>
      </c>
      <c r="H726" s="3" t="str">
        <f t="shared" si="70"/>
        <v>004</v>
      </c>
      <c r="I726" s="3" t="str">
        <f t="shared" si="71"/>
        <v>00</v>
      </c>
      <c r="L726" s="3" t="s">
        <v>3309</v>
      </c>
      <c r="R726" s="3" t="s">
        <v>5255</v>
      </c>
      <c r="S726" s="15" t="s">
        <v>3247</v>
      </c>
    </row>
    <row r="727" spans="1:19" ht="30" x14ac:dyDescent="0.25">
      <c r="A727" s="4" t="s">
        <v>5256</v>
      </c>
      <c r="B727" s="4" t="s">
        <v>4944</v>
      </c>
      <c r="C727" s="4" t="s">
        <v>5257</v>
      </c>
      <c r="D727" s="3" t="str">
        <f t="shared" si="66"/>
        <v>PNL</v>
      </c>
      <c r="E727" s="3" t="str">
        <f t="shared" si="67"/>
        <v>G</v>
      </c>
      <c r="F727" s="3" t="str">
        <f t="shared" si="68"/>
        <v>019</v>
      </c>
      <c r="G727" s="3" t="str">
        <f t="shared" si="69"/>
        <v>KR</v>
      </c>
      <c r="H727" s="3" t="str">
        <f t="shared" si="70"/>
        <v>010</v>
      </c>
      <c r="I727" s="3" t="str">
        <f t="shared" si="71"/>
        <v>00</v>
      </c>
      <c r="L727" s="3" t="s">
        <v>3309</v>
      </c>
      <c r="R727" s="3" t="s">
        <v>5258</v>
      </c>
      <c r="S727" s="15" t="s">
        <v>3247</v>
      </c>
    </row>
    <row r="728" spans="1:19" ht="30" x14ac:dyDescent="0.25">
      <c r="A728" s="4" t="s">
        <v>5259</v>
      </c>
      <c r="B728" s="4" t="s">
        <v>4944</v>
      </c>
      <c r="C728" s="4" t="s">
        <v>5260</v>
      </c>
      <c r="D728" s="3" t="str">
        <f t="shared" si="66"/>
        <v>PNL</v>
      </c>
      <c r="E728" s="3" t="str">
        <f t="shared" si="67"/>
        <v>F</v>
      </c>
      <c r="F728" s="3" t="str">
        <f t="shared" si="68"/>
        <v>009</v>
      </c>
      <c r="G728" s="3" t="str">
        <f t="shared" si="69"/>
        <v>NA</v>
      </c>
      <c r="H728" s="3" t="str">
        <f t="shared" si="70"/>
        <v>001</v>
      </c>
      <c r="I728" s="3" t="str">
        <f t="shared" si="71"/>
        <v>00</v>
      </c>
      <c r="L728" s="3" t="s">
        <v>3309</v>
      </c>
      <c r="R728" s="3" t="s">
        <v>5261</v>
      </c>
      <c r="S728" s="15" t="s">
        <v>3247</v>
      </c>
    </row>
    <row r="729" spans="1:19" ht="30" x14ac:dyDescent="0.25">
      <c r="A729" s="4" t="s">
        <v>5262</v>
      </c>
      <c r="B729" s="4" t="s">
        <v>4944</v>
      </c>
      <c r="C729" s="4" t="s">
        <v>5263</v>
      </c>
      <c r="D729" s="3" t="str">
        <f t="shared" si="66"/>
        <v>PNL</v>
      </c>
      <c r="E729" s="3" t="str">
        <f t="shared" si="67"/>
        <v>P</v>
      </c>
      <c r="F729" s="3" t="str">
        <f t="shared" si="68"/>
        <v>012</v>
      </c>
      <c r="G729" s="3" t="str">
        <f t="shared" si="69"/>
        <v>NA</v>
      </c>
      <c r="H729" s="3" t="str">
        <f t="shared" si="70"/>
        <v>003</v>
      </c>
      <c r="I729" s="3" t="str">
        <f t="shared" si="71"/>
        <v>00</v>
      </c>
      <c r="L729" s="3" t="s">
        <v>3309</v>
      </c>
      <c r="R729" s="3" t="s">
        <v>5264</v>
      </c>
      <c r="S729" s="15" t="s">
        <v>3247</v>
      </c>
    </row>
    <row r="730" spans="1:19" x14ac:dyDescent="0.25">
      <c r="A730" s="4" t="s">
        <v>5265</v>
      </c>
      <c r="B730" s="4" t="s">
        <v>4944</v>
      </c>
      <c r="C730" s="4" t="s">
        <v>5266</v>
      </c>
      <c r="D730" s="3" t="str">
        <f t="shared" si="66"/>
        <v>PNL</v>
      </c>
      <c r="E730" s="3" t="str">
        <f t="shared" si="67"/>
        <v>F</v>
      </c>
      <c r="F730" s="3" t="str">
        <f t="shared" si="68"/>
        <v>011</v>
      </c>
      <c r="G730" s="3" t="str">
        <f t="shared" si="69"/>
        <v>NA</v>
      </c>
      <c r="H730" s="3" t="str">
        <f t="shared" si="70"/>
        <v>001</v>
      </c>
      <c r="I730" s="3" t="str">
        <f t="shared" si="71"/>
        <v>00</v>
      </c>
      <c r="L730" s="3" t="s">
        <v>3309</v>
      </c>
      <c r="R730" s="3" t="s">
        <v>5267</v>
      </c>
      <c r="S730" s="15" t="s">
        <v>3247</v>
      </c>
    </row>
    <row r="731" spans="1:19" x14ac:dyDescent="0.25">
      <c r="A731" s="4" t="s">
        <v>5268</v>
      </c>
      <c r="B731" s="4" t="s">
        <v>4944</v>
      </c>
      <c r="C731" s="4" t="s">
        <v>5269</v>
      </c>
      <c r="D731" s="3" t="str">
        <f t="shared" si="66"/>
        <v>PNL</v>
      </c>
      <c r="E731" s="3" t="str">
        <f t="shared" si="67"/>
        <v>S</v>
      </c>
      <c r="F731" s="3" t="str">
        <f t="shared" si="68"/>
        <v>000</v>
      </c>
      <c r="G731" s="3" t="str">
        <f t="shared" si="69"/>
        <v>NA</v>
      </c>
      <c r="H731" s="3" t="str">
        <f t="shared" si="70"/>
        <v>000</v>
      </c>
      <c r="I731" s="3" t="str">
        <f t="shared" si="71"/>
        <v>00</v>
      </c>
      <c r="L731" s="3" t="s">
        <v>3309</v>
      </c>
      <c r="R731" s="3" t="s">
        <v>5270</v>
      </c>
      <c r="S731" s="15">
        <v>83</v>
      </c>
    </row>
    <row r="732" spans="1:19" x14ac:dyDescent="0.25">
      <c r="A732" s="4" t="s">
        <v>5271</v>
      </c>
      <c r="B732" s="4" t="s">
        <v>4944</v>
      </c>
      <c r="C732" s="4" t="s">
        <v>5272</v>
      </c>
      <c r="D732" s="3" t="str">
        <f t="shared" si="66"/>
        <v>PNL</v>
      </c>
      <c r="E732" s="3" t="str">
        <f t="shared" si="67"/>
        <v>B</v>
      </c>
      <c r="F732" s="3" t="str">
        <f t="shared" si="68"/>
        <v>001</v>
      </c>
      <c r="G732" s="3" t="str">
        <f t="shared" si="69"/>
        <v>DI</v>
      </c>
      <c r="H732" s="3" t="str">
        <f t="shared" si="70"/>
        <v>003</v>
      </c>
      <c r="I732" s="3" t="str">
        <f t="shared" si="71"/>
        <v>00</v>
      </c>
      <c r="L732" s="3" t="s">
        <v>3309</v>
      </c>
      <c r="R732" s="3" t="s">
        <v>5273</v>
      </c>
      <c r="S732" s="15" t="s">
        <v>3247</v>
      </c>
    </row>
    <row r="733" spans="1:19" x14ac:dyDescent="0.25">
      <c r="A733" s="4" t="s">
        <v>5274</v>
      </c>
      <c r="B733" s="4" t="s">
        <v>4944</v>
      </c>
      <c r="C733" s="4" t="s">
        <v>5275</v>
      </c>
      <c r="D733" s="3" t="str">
        <f t="shared" si="66"/>
        <v>PNL</v>
      </c>
      <c r="E733" s="3" t="str">
        <f t="shared" si="67"/>
        <v>B</v>
      </c>
      <c r="F733" s="3" t="str">
        <f t="shared" si="68"/>
        <v>002</v>
      </c>
      <c r="G733" s="3" t="str">
        <f t="shared" si="69"/>
        <v>DI</v>
      </c>
      <c r="H733" s="3" t="str">
        <f t="shared" si="70"/>
        <v>003</v>
      </c>
      <c r="I733" s="3" t="str">
        <f t="shared" si="71"/>
        <v>00</v>
      </c>
      <c r="L733" s="3" t="s">
        <v>3309</v>
      </c>
      <c r="R733" s="3" t="s">
        <v>5276</v>
      </c>
      <c r="S733" s="15" t="s">
        <v>3247</v>
      </c>
    </row>
    <row r="734" spans="1:19" x14ac:dyDescent="0.25">
      <c r="A734" s="4" t="s">
        <v>5277</v>
      </c>
      <c r="B734" s="4" t="s">
        <v>4944</v>
      </c>
      <c r="C734" s="4" t="s">
        <v>5278</v>
      </c>
      <c r="D734" s="3" t="str">
        <f t="shared" si="66"/>
        <v>PNL</v>
      </c>
      <c r="E734" s="3" t="str">
        <f t="shared" si="67"/>
        <v>B</v>
      </c>
      <c r="F734" s="3" t="str">
        <f t="shared" si="68"/>
        <v>005</v>
      </c>
      <c r="G734" s="3" t="str">
        <f t="shared" si="69"/>
        <v>DI</v>
      </c>
      <c r="H734" s="3" t="str">
        <f t="shared" si="70"/>
        <v>003</v>
      </c>
      <c r="I734" s="3" t="str">
        <f t="shared" si="71"/>
        <v>00</v>
      </c>
      <c r="L734" s="3" t="s">
        <v>3309</v>
      </c>
      <c r="R734" s="3" t="s">
        <v>5279</v>
      </c>
      <c r="S734" s="15" t="s">
        <v>3247</v>
      </c>
    </row>
    <row r="735" spans="1:19" x14ac:dyDescent="0.25">
      <c r="A735" s="4" t="s">
        <v>5280</v>
      </c>
      <c r="B735" s="4" t="s">
        <v>4944</v>
      </c>
      <c r="C735" s="4" t="s">
        <v>5281</v>
      </c>
      <c r="D735" s="3" t="str">
        <f t="shared" si="66"/>
        <v>PNL</v>
      </c>
      <c r="E735" s="3" t="str">
        <f t="shared" si="67"/>
        <v>B</v>
      </c>
      <c r="F735" s="3" t="str">
        <f t="shared" si="68"/>
        <v>006</v>
      </c>
      <c r="G735" s="3" t="str">
        <f t="shared" si="69"/>
        <v>DI</v>
      </c>
      <c r="H735" s="3" t="str">
        <f t="shared" si="70"/>
        <v>003</v>
      </c>
      <c r="I735" s="3" t="str">
        <f t="shared" si="71"/>
        <v>00</v>
      </c>
      <c r="L735" s="3" t="s">
        <v>3309</v>
      </c>
      <c r="R735" s="3" t="s">
        <v>5282</v>
      </c>
      <c r="S735" s="15" t="s">
        <v>3247</v>
      </c>
    </row>
    <row r="736" spans="1:19" x14ac:dyDescent="0.25">
      <c r="A736" s="4" t="s">
        <v>5283</v>
      </c>
      <c r="B736" s="4" t="s">
        <v>4944</v>
      </c>
      <c r="C736" s="4" t="s">
        <v>5284</v>
      </c>
      <c r="D736" s="3" t="str">
        <f t="shared" si="66"/>
        <v>PNL</v>
      </c>
      <c r="E736" s="3" t="str">
        <f t="shared" si="67"/>
        <v>B</v>
      </c>
      <c r="F736" s="3" t="str">
        <f t="shared" si="68"/>
        <v>007</v>
      </c>
      <c r="G736" s="3" t="str">
        <f t="shared" si="69"/>
        <v>DI</v>
      </c>
      <c r="H736" s="3" t="str">
        <f t="shared" si="70"/>
        <v>003</v>
      </c>
      <c r="I736" s="3" t="str">
        <f t="shared" si="71"/>
        <v>00</v>
      </c>
      <c r="L736" s="3" t="s">
        <v>3309</v>
      </c>
      <c r="R736" s="3" t="s">
        <v>5285</v>
      </c>
      <c r="S736" s="15" t="s">
        <v>3247</v>
      </c>
    </row>
    <row r="737" spans="1:19" x14ac:dyDescent="0.25">
      <c r="A737" s="4" t="s">
        <v>5286</v>
      </c>
      <c r="B737" s="4" t="s">
        <v>4944</v>
      </c>
      <c r="C737" s="4" t="s">
        <v>5287</v>
      </c>
      <c r="D737" s="3" t="str">
        <f t="shared" si="66"/>
        <v>PNL</v>
      </c>
      <c r="E737" s="3" t="str">
        <f t="shared" si="67"/>
        <v>B</v>
      </c>
      <c r="F737" s="3" t="str">
        <f t="shared" si="68"/>
        <v>008</v>
      </c>
      <c r="G737" s="3" t="str">
        <f t="shared" si="69"/>
        <v>DI</v>
      </c>
      <c r="H737" s="3" t="str">
        <f t="shared" si="70"/>
        <v>003</v>
      </c>
      <c r="I737" s="3" t="str">
        <f t="shared" si="71"/>
        <v>00</v>
      </c>
      <c r="L737" s="3" t="s">
        <v>3309</v>
      </c>
      <c r="R737" s="3" t="s">
        <v>5288</v>
      </c>
      <c r="S737" s="15" t="s">
        <v>3247</v>
      </c>
    </row>
    <row r="738" spans="1:19" x14ac:dyDescent="0.25">
      <c r="A738" s="4" t="s">
        <v>5289</v>
      </c>
      <c r="B738" s="4" t="s">
        <v>4944</v>
      </c>
      <c r="C738" s="4" t="s">
        <v>5290</v>
      </c>
      <c r="D738" s="3" t="str">
        <f t="shared" si="66"/>
        <v>PNL</v>
      </c>
      <c r="E738" s="3" t="str">
        <f t="shared" si="67"/>
        <v>B</v>
      </c>
      <c r="F738" s="3" t="str">
        <f t="shared" si="68"/>
        <v>009</v>
      </c>
      <c r="G738" s="3" t="str">
        <f t="shared" si="69"/>
        <v>DI</v>
      </c>
      <c r="H738" s="3" t="str">
        <f t="shared" si="70"/>
        <v>003</v>
      </c>
      <c r="I738" s="3" t="str">
        <f t="shared" si="71"/>
        <v>00</v>
      </c>
      <c r="L738" s="3" t="s">
        <v>3309</v>
      </c>
      <c r="R738" s="3" t="s">
        <v>5291</v>
      </c>
      <c r="S738" s="15" t="s">
        <v>3247</v>
      </c>
    </row>
    <row r="739" spans="1:19" x14ac:dyDescent="0.25">
      <c r="A739" s="4" t="s">
        <v>5292</v>
      </c>
      <c r="B739" s="4" t="s">
        <v>4944</v>
      </c>
      <c r="C739" s="4" t="s">
        <v>5293</v>
      </c>
      <c r="D739" s="3" t="str">
        <f t="shared" si="66"/>
        <v>PNL</v>
      </c>
      <c r="E739" s="3" t="str">
        <f t="shared" si="67"/>
        <v>B</v>
      </c>
      <c r="F739" s="3" t="str">
        <f t="shared" si="68"/>
        <v>010</v>
      </c>
      <c r="G739" s="3" t="str">
        <f t="shared" si="69"/>
        <v>DI</v>
      </c>
      <c r="H739" s="3" t="str">
        <f t="shared" si="70"/>
        <v>003</v>
      </c>
      <c r="I739" s="3" t="str">
        <f t="shared" si="71"/>
        <v>00</v>
      </c>
      <c r="L739" s="3" t="s">
        <v>3309</v>
      </c>
      <c r="R739" s="3" t="s">
        <v>5294</v>
      </c>
      <c r="S739" s="15" t="s">
        <v>3247</v>
      </c>
    </row>
    <row r="740" spans="1:19" x14ac:dyDescent="0.25">
      <c r="A740" s="4" t="s">
        <v>5295</v>
      </c>
      <c r="B740" s="4" t="s">
        <v>4944</v>
      </c>
      <c r="C740" s="4" t="s">
        <v>5296</v>
      </c>
      <c r="D740" s="3" t="str">
        <f t="shared" si="66"/>
        <v>PNL</v>
      </c>
      <c r="E740" s="3" t="str">
        <f t="shared" si="67"/>
        <v>O</v>
      </c>
      <c r="F740" s="3" t="str">
        <f t="shared" si="68"/>
        <v>018</v>
      </c>
      <c r="G740" s="3" t="str">
        <f t="shared" si="69"/>
        <v>KR</v>
      </c>
      <c r="H740" s="3" t="str">
        <f t="shared" si="70"/>
        <v>000</v>
      </c>
      <c r="I740" s="3" t="str">
        <f t="shared" si="71"/>
        <v>00</v>
      </c>
      <c r="L740" s="3" t="s">
        <v>3309</v>
      </c>
      <c r="R740" s="3" t="s">
        <v>5297</v>
      </c>
      <c r="S740" s="15" t="s">
        <v>3247</v>
      </c>
    </row>
    <row r="741" spans="1:19" ht="30" x14ac:dyDescent="0.25">
      <c r="A741" s="4" t="s">
        <v>5298</v>
      </c>
      <c r="B741" s="4" t="s">
        <v>4944</v>
      </c>
      <c r="C741" s="4" t="s">
        <v>5299</v>
      </c>
      <c r="D741" s="3" t="str">
        <f t="shared" si="66"/>
        <v>PNL</v>
      </c>
      <c r="E741" s="3" t="str">
        <f t="shared" si="67"/>
        <v>P</v>
      </c>
      <c r="F741" s="3" t="str">
        <f t="shared" si="68"/>
        <v>026</v>
      </c>
      <c r="G741" s="3" t="str">
        <f t="shared" si="69"/>
        <v>NA</v>
      </c>
      <c r="H741" s="3" t="str">
        <f t="shared" si="70"/>
        <v>000</v>
      </c>
      <c r="I741" s="3" t="str">
        <f t="shared" si="71"/>
        <v>00</v>
      </c>
      <c r="L741" s="3" t="s">
        <v>3309</v>
      </c>
      <c r="R741" s="3" t="s">
        <v>5300</v>
      </c>
      <c r="S741" s="15" t="s">
        <v>3247</v>
      </c>
    </row>
    <row r="742" spans="1:19" x14ac:dyDescent="0.25">
      <c r="A742" s="4" t="s">
        <v>5301</v>
      </c>
      <c r="B742" s="4" t="s">
        <v>4944</v>
      </c>
      <c r="C742" s="4" t="s">
        <v>5302</v>
      </c>
      <c r="D742" s="3" t="str">
        <f t="shared" si="66"/>
        <v>PNL</v>
      </c>
      <c r="E742" s="3" t="str">
        <f t="shared" si="67"/>
        <v>F</v>
      </c>
      <c r="F742" s="3" t="str">
        <f t="shared" si="68"/>
        <v>027</v>
      </c>
      <c r="G742" s="3" t="str">
        <f t="shared" si="69"/>
        <v>KR</v>
      </c>
      <c r="H742" s="3" t="str">
        <f t="shared" si="70"/>
        <v>004</v>
      </c>
      <c r="I742" s="3" t="str">
        <f t="shared" si="71"/>
        <v>00</v>
      </c>
      <c r="L742" s="3" t="s">
        <v>3309</v>
      </c>
      <c r="R742" s="3" t="s">
        <v>5303</v>
      </c>
      <c r="S742" s="15" t="s">
        <v>3247</v>
      </c>
    </row>
    <row r="743" spans="1:19" ht="30" x14ac:dyDescent="0.25">
      <c r="A743" s="4" t="s">
        <v>5304</v>
      </c>
      <c r="B743" s="4" t="s">
        <v>4944</v>
      </c>
      <c r="C743" s="4" t="s">
        <v>5305</v>
      </c>
      <c r="D743" s="3" t="str">
        <f t="shared" si="66"/>
        <v>PNL</v>
      </c>
      <c r="E743" s="3" t="str">
        <f t="shared" si="67"/>
        <v>O</v>
      </c>
      <c r="F743" s="3" t="str">
        <f t="shared" si="68"/>
        <v>019</v>
      </c>
      <c r="G743" s="3" t="str">
        <f t="shared" si="69"/>
        <v>NA</v>
      </c>
      <c r="H743" s="3" t="str">
        <f t="shared" si="70"/>
        <v>000</v>
      </c>
      <c r="I743" s="3" t="str">
        <f t="shared" si="71"/>
        <v>00</v>
      </c>
      <c r="L743" s="3" t="s">
        <v>3309</v>
      </c>
      <c r="R743" s="3" t="s">
        <v>5306</v>
      </c>
      <c r="S743" s="15" t="s">
        <v>3247</v>
      </c>
    </row>
    <row r="744" spans="1:19" ht="30" x14ac:dyDescent="0.25">
      <c r="A744" s="4" t="s">
        <v>5307</v>
      </c>
      <c r="B744" s="4" t="s">
        <v>4944</v>
      </c>
      <c r="C744" s="4" t="s">
        <v>5308</v>
      </c>
      <c r="D744" s="3" t="str">
        <f t="shared" si="66"/>
        <v>PNL</v>
      </c>
      <c r="E744" s="3" t="str">
        <f t="shared" si="67"/>
        <v>P</v>
      </c>
      <c r="F744" s="3" t="str">
        <f t="shared" si="68"/>
        <v>020</v>
      </c>
      <c r="G744" s="3" t="str">
        <f t="shared" si="69"/>
        <v>NA</v>
      </c>
      <c r="H744" s="3" t="str">
        <f t="shared" si="70"/>
        <v>010</v>
      </c>
      <c r="I744" s="3" t="str">
        <f t="shared" si="71"/>
        <v>00</v>
      </c>
      <c r="L744" s="3" t="s">
        <v>3309</v>
      </c>
      <c r="R744" s="3" t="s">
        <v>5309</v>
      </c>
      <c r="S744" s="15" t="s">
        <v>3247</v>
      </c>
    </row>
    <row r="745" spans="1:19" ht="30" x14ac:dyDescent="0.25">
      <c r="A745" s="4" t="s">
        <v>5310</v>
      </c>
      <c r="B745" s="4" t="s">
        <v>4944</v>
      </c>
      <c r="C745" s="4" t="s">
        <v>5311</v>
      </c>
      <c r="D745" s="3" t="str">
        <f t="shared" si="66"/>
        <v>PNL</v>
      </c>
      <c r="E745" s="3" t="str">
        <f t="shared" si="67"/>
        <v>P</v>
      </c>
      <c r="F745" s="3" t="str">
        <f t="shared" si="68"/>
        <v>021</v>
      </c>
      <c r="G745" s="3" t="str">
        <f t="shared" si="69"/>
        <v>NA</v>
      </c>
      <c r="H745" s="3" t="str">
        <f t="shared" si="70"/>
        <v>010</v>
      </c>
      <c r="I745" s="3" t="str">
        <f t="shared" si="71"/>
        <v>00</v>
      </c>
      <c r="L745" s="3" t="s">
        <v>3309</v>
      </c>
      <c r="R745" s="3" t="s">
        <v>5312</v>
      </c>
      <c r="S745" s="15" t="s">
        <v>3247</v>
      </c>
    </row>
    <row r="746" spans="1:19" ht="30" x14ac:dyDescent="0.25">
      <c r="A746" s="4" t="s">
        <v>5313</v>
      </c>
      <c r="B746" s="4" t="s">
        <v>4944</v>
      </c>
      <c r="C746" s="4" t="s">
        <v>5314</v>
      </c>
      <c r="D746" s="3" t="str">
        <f t="shared" si="66"/>
        <v>PNL</v>
      </c>
      <c r="E746" s="3" t="str">
        <f t="shared" si="67"/>
        <v>P</v>
      </c>
      <c r="F746" s="3" t="str">
        <f t="shared" si="68"/>
        <v>022</v>
      </c>
      <c r="G746" s="3" t="str">
        <f t="shared" si="69"/>
        <v>NA</v>
      </c>
      <c r="H746" s="3" t="str">
        <f t="shared" si="70"/>
        <v>010</v>
      </c>
      <c r="I746" s="3" t="str">
        <f t="shared" si="71"/>
        <v>00</v>
      </c>
      <c r="L746" s="3" t="s">
        <v>3309</v>
      </c>
      <c r="R746" s="3" t="s">
        <v>5315</v>
      </c>
      <c r="S746" s="15" t="s">
        <v>3247</v>
      </c>
    </row>
    <row r="747" spans="1:19" ht="30" x14ac:dyDescent="0.25">
      <c r="A747" s="4" t="s">
        <v>5316</v>
      </c>
      <c r="B747" s="4" t="s">
        <v>4944</v>
      </c>
      <c r="C747" s="4" t="s">
        <v>5317</v>
      </c>
      <c r="D747" s="3" t="str">
        <f t="shared" si="66"/>
        <v>PNL</v>
      </c>
      <c r="E747" s="3" t="str">
        <f t="shared" si="67"/>
        <v>P</v>
      </c>
      <c r="F747" s="3" t="str">
        <f t="shared" si="68"/>
        <v>001</v>
      </c>
      <c r="G747" s="3" t="str">
        <f t="shared" si="69"/>
        <v>NA</v>
      </c>
      <c r="H747" s="3" t="str">
        <f t="shared" si="70"/>
        <v>010</v>
      </c>
      <c r="I747" s="3" t="str">
        <f t="shared" si="71"/>
        <v>00</v>
      </c>
      <c r="L747" s="3" t="s">
        <v>3309</v>
      </c>
      <c r="R747" s="3" t="s">
        <v>5318</v>
      </c>
      <c r="S747" s="15" t="s">
        <v>3247</v>
      </c>
    </row>
    <row r="748" spans="1:19" ht="30" x14ac:dyDescent="0.25">
      <c r="A748" s="4" t="s">
        <v>5319</v>
      </c>
      <c r="B748" s="4" t="s">
        <v>4944</v>
      </c>
      <c r="C748" s="4" t="s">
        <v>5320</v>
      </c>
      <c r="D748" s="3" t="str">
        <f t="shared" si="66"/>
        <v>PNL</v>
      </c>
      <c r="E748" s="3" t="str">
        <f t="shared" si="67"/>
        <v>P</v>
      </c>
      <c r="F748" s="3" t="str">
        <f t="shared" si="68"/>
        <v>002</v>
      </c>
      <c r="G748" s="3" t="str">
        <f t="shared" si="69"/>
        <v>NA</v>
      </c>
      <c r="H748" s="3" t="str">
        <f t="shared" si="70"/>
        <v>010</v>
      </c>
      <c r="I748" s="3" t="str">
        <f t="shared" si="71"/>
        <v>00</v>
      </c>
      <c r="L748" s="3" t="s">
        <v>3309</v>
      </c>
      <c r="R748" s="3" t="s">
        <v>5321</v>
      </c>
      <c r="S748" s="15" t="s">
        <v>3247</v>
      </c>
    </row>
    <row r="749" spans="1:19" ht="30" x14ac:dyDescent="0.25">
      <c r="A749" s="4" t="s">
        <v>5322</v>
      </c>
      <c r="B749" s="4" t="s">
        <v>4944</v>
      </c>
      <c r="C749" s="4" t="s">
        <v>5323</v>
      </c>
      <c r="D749" s="3" t="str">
        <f t="shared" si="66"/>
        <v>PNL</v>
      </c>
      <c r="E749" s="3" t="str">
        <f t="shared" si="67"/>
        <v>P</v>
      </c>
      <c r="F749" s="3" t="str">
        <f t="shared" si="68"/>
        <v>023</v>
      </c>
      <c r="G749" s="3" t="str">
        <f t="shared" si="69"/>
        <v>NA</v>
      </c>
      <c r="H749" s="3" t="str">
        <f t="shared" si="70"/>
        <v>010</v>
      </c>
      <c r="I749" s="3" t="str">
        <f t="shared" si="71"/>
        <v>00</v>
      </c>
      <c r="L749" s="3" t="s">
        <v>3309</v>
      </c>
      <c r="R749" s="3" t="s">
        <v>5324</v>
      </c>
      <c r="S749" s="15" t="s">
        <v>3247</v>
      </c>
    </row>
    <row r="750" spans="1:19" ht="30" x14ac:dyDescent="0.25">
      <c r="A750" s="4" t="s">
        <v>5325</v>
      </c>
      <c r="B750" s="4" t="s">
        <v>4944</v>
      </c>
      <c r="C750" s="4" t="s">
        <v>5326</v>
      </c>
      <c r="D750" s="3" t="str">
        <f t="shared" si="66"/>
        <v>PNL</v>
      </c>
      <c r="E750" s="3" t="str">
        <f t="shared" si="67"/>
        <v>P</v>
      </c>
      <c r="F750" s="3" t="str">
        <f t="shared" si="68"/>
        <v>003</v>
      </c>
      <c r="G750" s="3" t="str">
        <f t="shared" si="69"/>
        <v>NA</v>
      </c>
      <c r="H750" s="3" t="str">
        <f t="shared" si="70"/>
        <v>010</v>
      </c>
      <c r="I750" s="3" t="str">
        <f t="shared" si="71"/>
        <v>00</v>
      </c>
      <c r="L750" s="3" t="s">
        <v>3309</v>
      </c>
      <c r="R750" s="3" t="s">
        <v>5327</v>
      </c>
      <c r="S750" s="15" t="s">
        <v>3247</v>
      </c>
    </row>
    <row r="751" spans="1:19" ht="30" x14ac:dyDescent="0.25">
      <c r="A751" s="4" t="s">
        <v>5328</v>
      </c>
      <c r="B751" s="4" t="s">
        <v>4944</v>
      </c>
      <c r="C751" s="4" t="s">
        <v>5329</v>
      </c>
      <c r="D751" s="3" t="str">
        <f t="shared" si="66"/>
        <v>PNL</v>
      </c>
      <c r="E751" s="3" t="str">
        <f t="shared" si="67"/>
        <v>P</v>
      </c>
      <c r="F751" s="3" t="str">
        <f t="shared" si="68"/>
        <v>004</v>
      </c>
      <c r="G751" s="3" t="str">
        <f t="shared" si="69"/>
        <v>NA</v>
      </c>
      <c r="H751" s="3" t="str">
        <f t="shared" si="70"/>
        <v>010</v>
      </c>
      <c r="I751" s="3" t="str">
        <f t="shared" si="71"/>
        <v>00</v>
      </c>
      <c r="L751" s="3" t="s">
        <v>3309</v>
      </c>
      <c r="R751" s="3" t="s">
        <v>5330</v>
      </c>
      <c r="S751" s="15" t="s">
        <v>3247</v>
      </c>
    </row>
    <row r="752" spans="1:19" ht="30" x14ac:dyDescent="0.25">
      <c r="A752" s="4" t="s">
        <v>5331</v>
      </c>
      <c r="B752" s="4" t="s">
        <v>4944</v>
      </c>
      <c r="C752" s="4" t="s">
        <v>5332</v>
      </c>
      <c r="D752" s="3" t="str">
        <f t="shared" si="66"/>
        <v>PNL</v>
      </c>
      <c r="E752" s="3" t="str">
        <f t="shared" si="67"/>
        <v>P</v>
      </c>
      <c r="F752" s="3" t="str">
        <f t="shared" si="68"/>
        <v>005</v>
      </c>
      <c r="G752" s="3" t="str">
        <f t="shared" si="69"/>
        <v>NA</v>
      </c>
      <c r="H752" s="3" t="str">
        <f t="shared" si="70"/>
        <v>010</v>
      </c>
      <c r="I752" s="3" t="str">
        <f t="shared" si="71"/>
        <v>00</v>
      </c>
      <c r="L752" s="3" t="s">
        <v>3309</v>
      </c>
      <c r="R752" s="3" t="s">
        <v>5333</v>
      </c>
      <c r="S752" s="15" t="s">
        <v>3247</v>
      </c>
    </row>
    <row r="753" spans="1:19" ht="30" x14ac:dyDescent="0.25">
      <c r="A753" s="4" t="s">
        <v>5334</v>
      </c>
      <c r="B753" s="4" t="s">
        <v>4944</v>
      </c>
      <c r="C753" s="4" t="s">
        <v>5335</v>
      </c>
      <c r="D753" s="3" t="str">
        <f t="shared" si="66"/>
        <v>PNL</v>
      </c>
      <c r="E753" s="3" t="str">
        <f t="shared" si="67"/>
        <v>F</v>
      </c>
      <c r="F753" s="3" t="str">
        <f t="shared" si="68"/>
        <v>002</v>
      </c>
      <c r="G753" s="3" t="str">
        <f t="shared" si="69"/>
        <v>NA</v>
      </c>
      <c r="H753" s="3" t="str">
        <f t="shared" si="70"/>
        <v>617</v>
      </c>
      <c r="I753" s="3" t="str">
        <f t="shared" si="71"/>
        <v>70</v>
      </c>
      <c r="L753" s="3" t="s">
        <v>3309</v>
      </c>
      <c r="R753" s="3" t="s">
        <v>5336</v>
      </c>
      <c r="S753" s="15" t="s">
        <v>3247</v>
      </c>
    </row>
    <row r="754" spans="1:19" x14ac:dyDescent="0.25">
      <c r="A754" s="4" t="s">
        <v>5337</v>
      </c>
      <c r="B754" s="4" t="s">
        <v>4944</v>
      </c>
      <c r="C754" s="4" t="s">
        <v>5338</v>
      </c>
      <c r="D754" s="3" t="str">
        <f t="shared" si="66"/>
        <v>PNL</v>
      </c>
      <c r="E754" s="3" t="str">
        <f t="shared" si="67"/>
        <v>Q</v>
      </c>
      <c r="F754" s="3" t="str">
        <f t="shared" si="68"/>
        <v>004</v>
      </c>
      <c r="G754" s="3" t="str">
        <f t="shared" si="69"/>
        <v>RI</v>
      </c>
      <c r="H754" s="3" t="str">
        <f t="shared" si="70"/>
        <v>000</v>
      </c>
      <c r="I754" s="3" t="str">
        <f t="shared" si="71"/>
        <v>00</v>
      </c>
      <c r="L754" s="3" t="s">
        <v>3309</v>
      </c>
      <c r="R754" s="3" t="s">
        <v>5339</v>
      </c>
      <c r="S754" s="15" t="s">
        <v>3247</v>
      </c>
    </row>
    <row r="755" spans="1:19" x14ac:dyDescent="0.25">
      <c r="A755" s="4" t="s">
        <v>5340</v>
      </c>
      <c r="B755" s="4" t="s">
        <v>4944</v>
      </c>
      <c r="C755" s="4" t="s">
        <v>5341</v>
      </c>
      <c r="D755" s="3" t="str">
        <f t="shared" si="66"/>
        <v>PNL</v>
      </c>
      <c r="E755" s="3" t="str">
        <f t="shared" si="67"/>
        <v>N</v>
      </c>
      <c r="F755" s="3" t="str">
        <f t="shared" si="68"/>
        <v>007</v>
      </c>
      <c r="G755" s="3" t="str">
        <f t="shared" si="69"/>
        <v>NA</v>
      </c>
      <c r="H755" s="3" t="str">
        <f t="shared" si="70"/>
        <v>000</v>
      </c>
      <c r="I755" s="3" t="str">
        <f t="shared" si="71"/>
        <v>00</v>
      </c>
      <c r="L755" s="3" t="s">
        <v>3309</v>
      </c>
      <c r="R755" s="3" t="s">
        <v>5342</v>
      </c>
      <c r="S755" s="15" t="s">
        <v>3247</v>
      </c>
    </row>
    <row r="756" spans="1:19" x14ac:dyDescent="0.25">
      <c r="A756" s="4" t="s">
        <v>5343</v>
      </c>
      <c r="B756" s="4" t="s">
        <v>4944</v>
      </c>
      <c r="C756" s="4" t="s">
        <v>5344</v>
      </c>
      <c r="D756" s="3" t="str">
        <f t="shared" si="66"/>
        <v>PNL</v>
      </c>
      <c r="E756" s="3" t="str">
        <f t="shared" si="67"/>
        <v>A</v>
      </c>
      <c r="F756" s="3" t="str">
        <f t="shared" si="68"/>
        <v>006</v>
      </c>
      <c r="G756" s="3" t="str">
        <f t="shared" si="69"/>
        <v>DI</v>
      </c>
      <c r="H756" s="3" t="str">
        <f t="shared" si="70"/>
        <v>000</v>
      </c>
      <c r="I756" s="3" t="str">
        <f t="shared" si="71"/>
        <v>00</v>
      </c>
      <c r="L756" s="3" t="s">
        <v>3309</v>
      </c>
      <c r="R756" s="3" t="s">
        <v>5345</v>
      </c>
      <c r="S756" s="15" t="s">
        <v>3247</v>
      </c>
    </row>
    <row r="757" spans="1:19" x14ac:dyDescent="0.25">
      <c r="A757" s="4" t="s">
        <v>5346</v>
      </c>
      <c r="B757" s="4" t="s">
        <v>4944</v>
      </c>
      <c r="C757" s="4" t="s">
        <v>5347</v>
      </c>
      <c r="D757" s="3" t="str">
        <f t="shared" si="66"/>
        <v>PNL</v>
      </c>
      <c r="E757" s="3" t="str">
        <f t="shared" si="67"/>
        <v>O</v>
      </c>
      <c r="F757" s="3" t="str">
        <f t="shared" si="68"/>
        <v>002</v>
      </c>
      <c r="G757" s="3" t="str">
        <f t="shared" si="69"/>
        <v>NA</v>
      </c>
      <c r="H757" s="3" t="str">
        <f t="shared" si="70"/>
        <v>009</v>
      </c>
      <c r="I757" s="3" t="str">
        <f t="shared" si="71"/>
        <v>00</v>
      </c>
      <c r="L757" s="3" t="s">
        <v>3309</v>
      </c>
      <c r="R757" s="3" t="s">
        <v>5348</v>
      </c>
      <c r="S757" s="15" t="s">
        <v>3247</v>
      </c>
    </row>
    <row r="758" spans="1:19" x14ac:dyDescent="0.25">
      <c r="A758" s="4" t="s">
        <v>5349</v>
      </c>
      <c r="B758" s="4" t="s">
        <v>4944</v>
      </c>
      <c r="C758" s="4" t="s">
        <v>5350</v>
      </c>
      <c r="D758" s="3" t="str">
        <f t="shared" si="66"/>
        <v>PNL</v>
      </c>
      <c r="E758" s="3" t="str">
        <f t="shared" si="67"/>
        <v>B</v>
      </c>
      <c r="F758" s="3" t="str">
        <f t="shared" si="68"/>
        <v>000</v>
      </c>
      <c r="G758" s="3" t="str">
        <f t="shared" si="69"/>
        <v>NA</v>
      </c>
      <c r="H758" s="3" t="str">
        <f t="shared" si="70"/>
        <v>000</v>
      </c>
      <c r="I758" s="3" t="str">
        <f t="shared" si="71"/>
        <v>00</v>
      </c>
      <c r="L758" s="3" t="s">
        <v>3309</v>
      </c>
      <c r="R758" s="3" t="s">
        <v>5351</v>
      </c>
      <c r="S758" s="15" t="s">
        <v>3247</v>
      </c>
    </row>
    <row r="759" spans="1:19" x14ac:dyDescent="0.25">
      <c r="A759" s="4" t="s">
        <v>5352</v>
      </c>
      <c r="B759" s="4" t="s">
        <v>4944</v>
      </c>
      <c r="C759" s="4" t="s">
        <v>5353</v>
      </c>
      <c r="D759" s="3" t="str">
        <f t="shared" si="66"/>
        <v>PNL</v>
      </c>
      <c r="E759" s="3" t="str">
        <f t="shared" si="67"/>
        <v>C</v>
      </c>
      <c r="F759" s="3" t="str">
        <f t="shared" si="68"/>
        <v>003</v>
      </c>
      <c r="G759" s="3" t="str">
        <f t="shared" si="69"/>
        <v>NA</v>
      </c>
      <c r="H759" s="3" t="str">
        <f t="shared" si="70"/>
        <v>003</v>
      </c>
      <c r="I759" s="3" t="str">
        <f t="shared" si="71"/>
        <v>00</v>
      </c>
      <c r="L759" s="3" t="s">
        <v>3309</v>
      </c>
      <c r="R759" s="3" t="s">
        <v>5354</v>
      </c>
      <c r="S759" s="15" t="s">
        <v>3247</v>
      </c>
    </row>
    <row r="760" spans="1:19" x14ac:dyDescent="0.25">
      <c r="A760" s="4" t="s">
        <v>5355</v>
      </c>
      <c r="B760" s="4" t="s">
        <v>4944</v>
      </c>
      <c r="C760" s="4" t="s">
        <v>5356</v>
      </c>
      <c r="D760" s="3" t="str">
        <f t="shared" si="66"/>
        <v>PNL</v>
      </c>
      <c r="E760" s="3" t="str">
        <f t="shared" si="67"/>
        <v>C</v>
      </c>
      <c r="F760" s="3" t="str">
        <f t="shared" si="68"/>
        <v>007</v>
      </c>
      <c r="G760" s="3" t="str">
        <f t="shared" si="69"/>
        <v>NA</v>
      </c>
      <c r="H760" s="3" t="str">
        <f t="shared" si="70"/>
        <v>003</v>
      </c>
      <c r="I760" s="3" t="str">
        <f t="shared" si="71"/>
        <v>00</v>
      </c>
      <c r="L760" s="3" t="s">
        <v>3309</v>
      </c>
      <c r="R760" s="3" t="s">
        <v>5357</v>
      </c>
      <c r="S760" s="15" t="s">
        <v>3247</v>
      </c>
    </row>
    <row r="761" spans="1:19" x14ac:dyDescent="0.25">
      <c r="A761" s="4" t="s">
        <v>5358</v>
      </c>
      <c r="B761" s="4" t="s">
        <v>4944</v>
      </c>
      <c r="C761" s="4" t="s">
        <v>5359</v>
      </c>
      <c r="D761" s="3" t="str">
        <f t="shared" si="66"/>
        <v>PNL</v>
      </c>
      <c r="E761" s="3" t="str">
        <f t="shared" si="67"/>
        <v>C</v>
      </c>
      <c r="F761" s="3" t="str">
        <f t="shared" si="68"/>
        <v>008</v>
      </c>
      <c r="G761" s="3" t="str">
        <f t="shared" si="69"/>
        <v>NA</v>
      </c>
      <c r="H761" s="3" t="str">
        <f t="shared" si="70"/>
        <v>003</v>
      </c>
      <c r="I761" s="3" t="str">
        <f t="shared" si="71"/>
        <v>00</v>
      </c>
      <c r="L761" s="3" t="s">
        <v>3309</v>
      </c>
      <c r="R761" s="3" t="s">
        <v>5360</v>
      </c>
      <c r="S761" s="15" t="s">
        <v>3247</v>
      </c>
    </row>
    <row r="762" spans="1:19" x14ac:dyDescent="0.25">
      <c r="A762" s="4" t="s">
        <v>5361</v>
      </c>
      <c r="B762" s="4" t="s">
        <v>4944</v>
      </c>
      <c r="C762" s="4" t="s">
        <v>1040</v>
      </c>
      <c r="D762" s="3" t="str">
        <f t="shared" si="66"/>
        <v>PNL</v>
      </c>
      <c r="E762" s="3" t="str">
        <f t="shared" si="67"/>
        <v>E</v>
      </c>
      <c r="F762" s="3" t="str">
        <f t="shared" si="68"/>
        <v>002</v>
      </c>
      <c r="G762" s="3" t="str">
        <f t="shared" si="69"/>
        <v>NA</v>
      </c>
      <c r="H762" s="3" t="str">
        <f t="shared" si="70"/>
        <v>005</v>
      </c>
      <c r="I762" s="3" t="str">
        <f t="shared" si="71"/>
        <v>00</v>
      </c>
      <c r="L762" s="3" t="s">
        <v>3309</v>
      </c>
      <c r="R762" s="3" t="s">
        <v>5362</v>
      </c>
      <c r="S762" s="15" t="s">
        <v>3247</v>
      </c>
    </row>
    <row r="763" spans="1:19" x14ac:dyDescent="0.25">
      <c r="A763" s="4" t="s">
        <v>5363</v>
      </c>
      <c r="B763" s="4" t="s">
        <v>4944</v>
      </c>
      <c r="C763" s="4" t="s">
        <v>1022</v>
      </c>
      <c r="D763" s="3" t="str">
        <f t="shared" si="66"/>
        <v>PNL</v>
      </c>
      <c r="E763" s="3" t="str">
        <f t="shared" si="67"/>
        <v>C</v>
      </c>
      <c r="F763" s="3" t="str">
        <f t="shared" si="68"/>
        <v>009</v>
      </c>
      <c r="G763" s="3" t="str">
        <f t="shared" si="69"/>
        <v>NA</v>
      </c>
      <c r="H763" s="3" t="str">
        <f t="shared" si="70"/>
        <v>003</v>
      </c>
      <c r="I763" s="3" t="str">
        <f t="shared" si="71"/>
        <v>00</v>
      </c>
      <c r="L763" s="3" t="s">
        <v>3309</v>
      </c>
      <c r="R763" s="3" t="s">
        <v>5364</v>
      </c>
      <c r="S763" s="15" t="s">
        <v>3247</v>
      </c>
    </row>
    <row r="764" spans="1:19" x14ac:dyDescent="0.25">
      <c r="A764" s="4" t="s">
        <v>5365</v>
      </c>
      <c r="B764" s="4" t="s">
        <v>4944</v>
      </c>
      <c r="C764" s="4" t="s">
        <v>5344</v>
      </c>
      <c r="D764" s="3" t="str">
        <f t="shared" si="66"/>
        <v>PNL</v>
      </c>
      <c r="E764" s="3" t="str">
        <f t="shared" si="67"/>
        <v>A</v>
      </c>
      <c r="F764" s="3" t="str">
        <f t="shared" si="68"/>
        <v>006</v>
      </c>
      <c r="G764" s="3" t="str">
        <f t="shared" si="69"/>
        <v>KR</v>
      </c>
      <c r="H764" s="3" t="str">
        <f t="shared" si="70"/>
        <v>000</v>
      </c>
      <c r="I764" s="3" t="str">
        <f t="shared" si="71"/>
        <v>00</v>
      </c>
      <c r="L764" s="3" t="s">
        <v>3245</v>
      </c>
      <c r="R764" s="3" t="s">
        <v>5366</v>
      </c>
      <c r="S764" s="15" t="s">
        <v>3247</v>
      </c>
    </row>
    <row r="765" spans="1:19" x14ac:dyDescent="0.25">
      <c r="A765" s="4" t="s">
        <v>5367</v>
      </c>
      <c r="B765" s="4" t="s">
        <v>4944</v>
      </c>
      <c r="C765" s="4" t="s">
        <v>5368</v>
      </c>
      <c r="D765" s="3" t="str">
        <f t="shared" si="66"/>
        <v>PNL</v>
      </c>
      <c r="E765" s="3" t="str">
        <f t="shared" si="67"/>
        <v>B</v>
      </c>
      <c r="F765" s="3" t="str">
        <f t="shared" si="68"/>
        <v>010</v>
      </c>
      <c r="G765" s="3" t="str">
        <f t="shared" si="69"/>
        <v>NA</v>
      </c>
      <c r="H765" s="3" t="str">
        <f t="shared" si="70"/>
        <v>001</v>
      </c>
      <c r="I765" s="3" t="str">
        <f t="shared" si="71"/>
        <v>00</v>
      </c>
      <c r="L765" s="3" t="s">
        <v>3309</v>
      </c>
      <c r="R765" s="3" t="s">
        <v>5369</v>
      </c>
      <c r="S765" s="15" t="s">
        <v>3247</v>
      </c>
    </row>
    <row r="766" spans="1:19" x14ac:dyDescent="0.25">
      <c r="A766" s="4" t="s">
        <v>5370</v>
      </c>
      <c r="B766" s="4" t="s">
        <v>4944</v>
      </c>
      <c r="C766" s="4" t="s">
        <v>5371</v>
      </c>
      <c r="D766" s="3" t="str">
        <f t="shared" si="66"/>
        <v>PNL</v>
      </c>
      <c r="E766" s="3" t="str">
        <f t="shared" si="67"/>
        <v>J</v>
      </c>
      <c r="F766" s="3" t="str">
        <f t="shared" si="68"/>
        <v>000</v>
      </c>
      <c r="G766" s="3" t="str">
        <f t="shared" si="69"/>
        <v>NA</v>
      </c>
      <c r="H766" s="3" t="str">
        <f t="shared" si="70"/>
        <v>000</v>
      </c>
      <c r="I766" s="3" t="str">
        <f t="shared" si="71"/>
        <v>00</v>
      </c>
      <c r="L766" s="3" t="s">
        <v>3309</v>
      </c>
      <c r="R766" s="3" t="s">
        <v>5372</v>
      </c>
      <c r="S766" s="15">
        <v>3</v>
      </c>
    </row>
    <row r="767" spans="1:19" ht="30" x14ac:dyDescent="0.25">
      <c r="A767" s="4" t="s">
        <v>5373</v>
      </c>
      <c r="B767" s="4" t="s">
        <v>4944</v>
      </c>
      <c r="C767" s="4" t="s">
        <v>1188</v>
      </c>
      <c r="D767" s="3" t="str">
        <f t="shared" si="66"/>
        <v>PNL</v>
      </c>
      <c r="E767" s="3" t="str">
        <f t="shared" si="67"/>
        <v>Y</v>
      </c>
      <c r="F767" s="3" t="str">
        <f t="shared" si="68"/>
        <v>012</v>
      </c>
      <c r="G767" s="3" t="str">
        <f t="shared" si="69"/>
        <v>NA</v>
      </c>
      <c r="H767" s="3" t="str">
        <f t="shared" si="70"/>
        <v>004</v>
      </c>
      <c r="I767" s="3" t="str">
        <f t="shared" si="71"/>
        <v>00</v>
      </c>
      <c r="L767" s="3" t="s">
        <v>3309</v>
      </c>
      <c r="R767" s="3" t="s">
        <v>5374</v>
      </c>
      <c r="S767" s="15" t="s">
        <v>3247</v>
      </c>
    </row>
    <row r="768" spans="1:19" ht="30" x14ac:dyDescent="0.25">
      <c r="A768" s="4" t="s">
        <v>5375</v>
      </c>
      <c r="B768" s="4" t="s">
        <v>4944</v>
      </c>
      <c r="C768" s="4" t="s">
        <v>1189</v>
      </c>
      <c r="D768" s="3" t="str">
        <f t="shared" si="66"/>
        <v>PNL</v>
      </c>
      <c r="E768" s="3" t="str">
        <f t="shared" si="67"/>
        <v>Y</v>
      </c>
      <c r="F768" s="3" t="str">
        <f t="shared" si="68"/>
        <v>013</v>
      </c>
      <c r="G768" s="3" t="str">
        <f t="shared" si="69"/>
        <v>NA</v>
      </c>
      <c r="H768" s="3" t="str">
        <f t="shared" si="70"/>
        <v>004</v>
      </c>
      <c r="I768" s="3" t="str">
        <f t="shared" si="71"/>
        <v>00</v>
      </c>
      <c r="L768" s="3" t="s">
        <v>3309</v>
      </c>
      <c r="R768" s="3" t="s">
        <v>5376</v>
      </c>
      <c r="S768" s="15" t="s">
        <v>3247</v>
      </c>
    </row>
    <row r="769" spans="1:19" ht="30" x14ac:dyDescent="0.25">
      <c r="A769" s="4" t="s">
        <v>5377</v>
      </c>
      <c r="B769" s="4" t="s">
        <v>4944</v>
      </c>
      <c r="C769" s="4" t="s">
        <v>1190</v>
      </c>
      <c r="D769" s="3" t="str">
        <f t="shared" si="66"/>
        <v>PNL</v>
      </c>
      <c r="E769" s="3" t="str">
        <f t="shared" si="67"/>
        <v>Y</v>
      </c>
      <c r="F769" s="3" t="str">
        <f t="shared" si="68"/>
        <v>014</v>
      </c>
      <c r="G769" s="3" t="str">
        <f t="shared" si="69"/>
        <v>NA</v>
      </c>
      <c r="H769" s="3" t="str">
        <f t="shared" si="70"/>
        <v>004</v>
      </c>
      <c r="I769" s="3" t="str">
        <f t="shared" si="71"/>
        <v>00</v>
      </c>
      <c r="L769" s="3" t="s">
        <v>3309</v>
      </c>
      <c r="R769" s="3" t="s">
        <v>5378</v>
      </c>
      <c r="S769" s="15" t="s">
        <v>3247</v>
      </c>
    </row>
    <row r="770" spans="1:19" x14ac:dyDescent="0.25">
      <c r="A770" s="4" t="s">
        <v>5379</v>
      </c>
      <c r="B770" s="4" t="s">
        <v>4944</v>
      </c>
      <c r="C770" s="4" t="s">
        <v>5380</v>
      </c>
      <c r="D770" s="3" t="str">
        <f t="shared" ref="D770:D833" si="72">LEFT(A770,3)</f>
        <v>PNL</v>
      </c>
      <c r="E770" s="3" t="str">
        <f t="shared" ref="E770:E833" si="73">MID(A770,4,1)</f>
        <v>H</v>
      </c>
      <c r="F770" s="3" t="str">
        <f t="shared" ref="F770:F833" si="74">MID(A770,5,3)</f>
        <v>004</v>
      </c>
      <c r="G770" s="3" t="str">
        <f t="shared" ref="G770:G833" si="75">MID(A770,8,2)</f>
        <v>NA</v>
      </c>
      <c r="H770" s="3" t="str">
        <f t="shared" ref="H770:H833" si="76">MID(A770,10,3)</f>
        <v>000</v>
      </c>
      <c r="I770" s="3" t="str">
        <f t="shared" ref="I770:I833" si="77">MID(A770,13,2)</f>
        <v>00</v>
      </c>
      <c r="L770" s="3" t="s">
        <v>3309</v>
      </c>
      <c r="R770" s="3" t="s">
        <v>5381</v>
      </c>
      <c r="S770" s="15" t="s">
        <v>3247</v>
      </c>
    </row>
    <row r="771" spans="1:19" x14ac:dyDescent="0.25">
      <c r="A771" s="4" t="s">
        <v>5382</v>
      </c>
      <c r="B771" s="4" t="s">
        <v>4944</v>
      </c>
      <c r="C771" s="4" t="s">
        <v>5383</v>
      </c>
      <c r="D771" s="3" t="str">
        <f t="shared" si="72"/>
        <v>PNL</v>
      </c>
      <c r="E771" s="3" t="str">
        <f t="shared" si="73"/>
        <v>H</v>
      </c>
      <c r="F771" s="3" t="str">
        <f t="shared" si="74"/>
        <v>011</v>
      </c>
      <c r="G771" s="3" t="str">
        <f t="shared" si="75"/>
        <v>NA</v>
      </c>
      <c r="H771" s="3" t="str">
        <f t="shared" si="76"/>
        <v>000</v>
      </c>
      <c r="I771" s="3" t="str">
        <f t="shared" si="77"/>
        <v>00</v>
      </c>
      <c r="L771" s="3" t="s">
        <v>3309</v>
      </c>
      <c r="R771" s="3" t="s">
        <v>5384</v>
      </c>
      <c r="S771" s="15" t="s">
        <v>3247</v>
      </c>
    </row>
    <row r="772" spans="1:19" x14ac:dyDescent="0.25">
      <c r="A772" s="4" t="s">
        <v>5385</v>
      </c>
      <c r="B772" s="4" t="s">
        <v>4944</v>
      </c>
      <c r="C772" s="4" t="s">
        <v>5386</v>
      </c>
      <c r="D772" s="3" t="str">
        <f t="shared" si="72"/>
        <v>PNL</v>
      </c>
      <c r="E772" s="3" t="str">
        <f t="shared" si="73"/>
        <v>H</v>
      </c>
      <c r="F772" s="3" t="str">
        <f t="shared" si="74"/>
        <v>006</v>
      </c>
      <c r="G772" s="3" t="str">
        <f t="shared" si="75"/>
        <v>NA</v>
      </c>
      <c r="H772" s="3" t="str">
        <f t="shared" si="76"/>
        <v>000</v>
      </c>
      <c r="I772" s="3" t="str">
        <f t="shared" si="77"/>
        <v>00</v>
      </c>
      <c r="L772" s="3" t="s">
        <v>3309</v>
      </c>
      <c r="R772" s="3" t="s">
        <v>5387</v>
      </c>
      <c r="S772" s="15" t="s">
        <v>3247</v>
      </c>
    </row>
    <row r="773" spans="1:19" ht="30" x14ac:dyDescent="0.25">
      <c r="A773" s="4" t="s">
        <v>5388</v>
      </c>
      <c r="B773" s="4" t="s">
        <v>4944</v>
      </c>
      <c r="C773" s="4" t="s">
        <v>1081</v>
      </c>
      <c r="D773" s="3" t="str">
        <f t="shared" si="72"/>
        <v>PNL</v>
      </c>
      <c r="E773" s="3" t="str">
        <f t="shared" si="73"/>
        <v>F</v>
      </c>
      <c r="F773" s="3" t="str">
        <f t="shared" si="74"/>
        <v>040</v>
      </c>
      <c r="G773" s="3" t="str">
        <f t="shared" si="75"/>
        <v>NA</v>
      </c>
      <c r="H773" s="3" t="str">
        <f t="shared" si="76"/>
        <v>004</v>
      </c>
      <c r="I773" s="3" t="str">
        <f t="shared" si="77"/>
        <v>00</v>
      </c>
      <c r="L773" s="3" t="s">
        <v>3309</v>
      </c>
      <c r="R773" s="3" t="s">
        <v>5389</v>
      </c>
      <c r="S773" s="15" t="s">
        <v>3247</v>
      </c>
    </row>
    <row r="774" spans="1:19" ht="30" x14ac:dyDescent="0.25">
      <c r="A774" s="4" t="s">
        <v>5390</v>
      </c>
      <c r="B774" s="4" t="s">
        <v>4944</v>
      </c>
      <c r="C774" s="4" t="s">
        <v>1082</v>
      </c>
      <c r="D774" s="3" t="str">
        <f t="shared" si="72"/>
        <v>PNL</v>
      </c>
      <c r="E774" s="3" t="str">
        <f t="shared" si="73"/>
        <v>F</v>
      </c>
      <c r="F774" s="3" t="str">
        <f t="shared" si="74"/>
        <v>041</v>
      </c>
      <c r="G774" s="3" t="str">
        <f t="shared" si="75"/>
        <v>NA</v>
      </c>
      <c r="H774" s="3" t="str">
        <f t="shared" si="76"/>
        <v>004</v>
      </c>
      <c r="I774" s="3" t="str">
        <f t="shared" si="77"/>
        <v>00</v>
      </c>
      <c r="L774" s="3" t="s">
        <v>3309</v>
      </c>
      <c r="R774" s="3" t="s">
        <v>5391</v>
      </c>
      <c r="S774" s="15" t="s">
        <v>3247</v>
      </c>
    </row>
    <row r="775" spans="1:19" x14ac:dyDescent="0.25">
      <c r="A775" s="4" t="s">
        <v>5392</v>
      </c>
      <c r="B775" s="4" t="s">
        <v>4944</v>
      </c>
      <c r="C775" s="4" t="s">
        <v>5393</v>
      </c>
      <c r="D775" s="3" t="str">
        <f t="shared" si="72"/>
        <v>PNL</v>
      </c>
      <c r="E775" s="3" t="str">
        <f t="shared" si="73"/>
        <v>F</v>
      </c>
      <c r="F775" s="3" t="str">
        <f t="shared" si="74"/>
        <v>001</v>
      </c>
      <c r="G775" s="3" t="str">
        <f t="shared" si="75"/>
        <v>NA</v>
      </c>
      <c r="H775" s="3" t="str">
        <f t="shared" si="76"/>
        <v>000</v>
      </c>
      <c r="I775" s="3" t="str">
        <f t="shared" si="77"/>
        <v>00</v>
      </c>
      <c r="L775" s="3" t="s">
        <v>3309</v>
      </c>
      <c r="R775" s="3" t="s">
        <v>5394</v>
      </c>
      <c r="S775" s="15" t="s">
        <v>3247</v>
      </c>
    </row>
    <row r="776" spans="1:19" x14ac:dyDescent="0.25">
      <c r="A776" s="4" t="s">
        <v>5395</v>
      </c>
      <c r="B776" s="4" t="s">
        <v>4944</v>
      </c>
      <c r="C776" s="4" t="s">
        <v>5396</v>
      </c>
      <c r="D776" s="3" t="str">
        <f t="shared" si="72"/>
        <v>PNL</v>
      </c>
      <c r="E776" s="3" t="str">
        <f t="shared" si="73"/>
        <v>F</v>
      </c>
      <c r="F776" s="3" t="str">
        <f t="shared" si="74"/>
        <v>003</v>
      </c>
      <c r="G776" s="3" t="str">
        <f t="shared" si="75"/>
        <v>NA</v>
      </c>
      <c r="H776" s="3" t="str">
        <f t="shared" si="76"/>
        <v>000</v>
      </c>
      <c r="I776" s="3" t="str">
        <f t="shared" si="77"/>
        <v>00</v>
      </c>
      <c r="L776" s="3" t="s">
        <v>3309</v>
      </c>
      <c r="R776" s="3" t="s">
        <v>5397</v>
      </c>
      <c r="S776" s="15" t="s">
        <v>3247</v>
      </c>
    </row>
    <row r="777" spans="1:19" x14ac:dyDescent="0.25">
      <c r="A777" s="4" t="s">
        <v>5398</v>
      </c>
      <c r="B777" s="4" t="s">
        <v>4944</v>
      </c>
      <c r="C777" s="4" t="s">
        <v>5399</v>
      </c>
      <c r="D777" s="3" t="str">
        <f t="shared" si="72"/>
        <v>PNL</v>
      </c>
      <c r="E777" s="3" t="str">
        <f t="shared" si="73"/>
        <v>F</v>
      </c>
      <c r="F777" s="3" t="str">
        <f t="shared" si="74"/>
        <v>006</v>
      </c>
      <c r="G777" s="3" t="str">
        <f t="shared" si="75"/>
        <v>NA</v>
      </c>
      <c r="H777" s="3" t="str">
        <f t="shared" si="76"/>
        <v>000</v>
      </c>
      <c r="I777" s="3" t="str">
        <f t="shared" si="77"/>
        <v>00</v>
      </c>
      <c r="L777" s="3" t="s">
        <v>3309</v>
      </c>
      <c r="R777" s="3" t="s">
        <v>5400</v>
      </c>
      <c r="S777" s="15" t="s">
        <v>3247</v>
      </c>
    </row>
    <row r="778" spans="1:19" ht="30" x14ac:dyDescent="0.25">
      <c r="A778" s="4" t="s">
        <v>5401</v>
      </c>
      <c r="B778" s="4" t="s">
        <v>4944</v>
      </c>
      <c r="C778" s="4" t="s">
        <v>5402</v>
      </c>
      <c r="D778" s="3" t="str">
        <f t="shared" si="72"/>
        <v>PNL</v>
      </c>
      <c r="E778" s="3" t="str">
        <f t="shared" si="73"/>
        <v>F</v>
      </c>
      <c r="F778" s="3" t="str">
        <f t="shared" si="74"/>
        <v>007</v>
      </c>
      <c r="G778" s="3" t="str">
        <f t="shared" si="75"/>
        <v>ST</v>
      </c>
      <c r="H778" s="3" t="str">
        <f t="shared" si="76"/>
        <v>000</v>
      </c>
      <c r="I778" s="3" t="str">
        <f t="shared" si="77"/>
        <v>03</v>
      </c>
      <c r="L778" s="3" t="s">
        <v>3309</v>
      </c>
      <c r="R778" s="3" t="s">
        <v>5403</v>
      </c>
      <c r="S778" s="15" t="s">
        <v>3247</v>
      </c>
    </row>
    <row r="779" spans="1:19" x14ac:dyDescent="0.25">
      <c r="A779" s="4" t="s">
        <v>5404</v>
      </c>
      <c r="B779" s="4" t="s">
        <v>4944</v>
      </c>
      <c r="C779" s="4" t="s">
        <v>5405</v>
      </c>
      <c r="D779" s="3" t="str">
        <f t="shared" si="72"/>
        <v>PNL</v>
      </c>
      <c r="E779" s="3" t="str">
        <f t="shared" si="73"/>
        <v>A</v>
      </c>
      <c r="F779" s="3" t="str">
        <f t="shared" si="74"/>
        <v>008</v>
      </c>
      <c r="G779" s="3" t="str">
        <f t="shared" si="75"/>
        <v>ST</v>
      </c>
      <c r="H779" s="3" t="str">
        <f t="shared" si="76"/>
        <v>525</v>
      </c>
      <c r="I779" s="3" t="str">
        <f t="shared" si="77"/>
        <v>60</v>
      </c>
      <c r="L779" s="3" t="s">
        <v>3309</v>
      </c>
      <c r="R779" s="3" t="s">
        <v>5406</v>
      </c>
      <c r="S779" s="15" t="s">
        <v>3247</v>
      </c>
    </row>
    <row r="780" spans="1:19" x14ac:dyDescent="0.25">
      <c r="A780" s="4" t="s">
        <v>5407</v>
      </c>
      <c r="B780" s="4" t="s">
        <v>4944</v>
      </c>
      <c r="C780" s="4" t="s">
        <v>5408</v>
      </c>
      <c r="D780" s="3" t="str">
        <f t="shared" si="72"/>
        <v>PNL</v>
      </c>
      <c r="E780" s="3" t="str">
        <f t="shared" si="73"/>
        <v>A</v>
      </c>
      <c r="F780" s="3" t="str">
        <f t="shared" si="74"/>
        <v>007</v>
      </c>
      <c r="G780" s="3" t="str">
        <f t="shared" si="75"/>
        <v>ST</v>
      </c>
      <c r="H780" s="3" t="str">
        <f t="shared" si="76"/>
        <v>525</v>
      </c>
      <c r="I780" s="3" t="str">
        <f t="shared" si="77"/>
        <v>60</v>
      </c>
      <c r="L780" s="3" t="s">
        <v>3309</v>
      </c>
      <c r="R780" s="3" t="s">
        <v>5409</v>
      </c>
      <c r="S780" s="15" t="s">
        <v>3247</v>
      </c>
    </row>
    <row r="781" spans="1:19" x14ac:dyDescent="0.25">
      <c r="A781" s="4" t="s">
        <v>5410</v>
      </c>
      <c r="B781" s="4" t="s">
        <v>4944</v>
      </c>
      <c r="C781" s="4" t="s">
        <v>5411</v>
      </c>
      <c r="D781" s="3" t="str">
        <f t="shared" si="72"/>
        <v>PNL</v>
      </c>
      <c r="E781" s="3" t="str">
        <f t="shared" si="73"/>
        <v>Q</v>
      </c>
      <c r="F781" s="3" t="str">
        <f t="shared" si="74"/>
        <v>007</v>
      </c>
      <c r="G781" s="3" t="str">
        <f t="shared" si="75"/>
        <v>ST</v>
      </c>
      <c r="H781" s="3" t="str">
        <f t="shared" si="76"/>
        <v>525</v>
      </c>
      <c r="I781" s="3" t="str">
        <f t="shared" si="77"/>
        <v>60</v>
      </c>
      <c r="L781" s="3" t="s">
        <v>3309</v>
      </c>
      <c r="R781" s="3" t="s">
        <v>5412</v>
      </c>
      <c r="S781" s="15" t="s">
        <v>3247</v>
      </c>
    </row>
    <row r="782" spans="1:19" x14ac:dyDescent="0.25">
      <c r="A782" s="4" t="s">
        <v>5413</v>
      </c>
      <c r="B782" s="4" t="s">
        <v>4944</v>
      </c>
      <c r="C782" s="4" t="s">
        <v>5414</v>
      </c>
      <c r="D782" s="3" t="str">
        <f t="shared" si="72"/>
        <v>PNL</v>
      </c>
      <c r="E782" s="3" t="str">
        <f t="shared" si="73"/>
        <v>F</v>
      </c>
      <c r="F782" s="3" t="str">
        <f t="shared" si="74"/>
        <v>042</v>
      </c>
      <c r="G782" s="3" t="str">
        <f t="shared" si="75"/>
        <v>NA</v>
      </c>
      <c r="H782" s="3" t="str">
        <f t="shared" si="76"/>
        <v>000</v>
      </c>
      <c r="I782" s="3" t="str">
        <f t="shared" si="77"/>
        <v>00</v>
      </c>
      <c r="L782" s="3" t="s">
        <v>3309</v>
      </c>
      <c r="R782" s="3" t="s">
        <v>5415</v>
      </c>
      <c r="S782" s="15" t="s">
        <v>3247</v>
      </c>
    </row>
    <row r="783" spans="1:19" x14ac:dyDescent="0.25">
      <c r="A783" s="4" t="s">
        <v>5416</v>
      </c>
      <c r="B783" s="4" t="s">
        <v>4944</v>
      </c>
      <c r="C783" s="4" t="s">
        <v>5417</v>
      </c>
      <c r="D783" s="3" t="str">
        <f t="shared" si="72"/>
        <v>PNL</v>
      </c>
      <c r="E783" s="3" t="str">
        <f t="shared" si="73"/>
        <v>F</v>
      </c>
      <c r="F783" s="3" t="str">
        <f t="shared" si="74"/>
        <v>043</v>
      </c>
      <c r="G783" s="3" t="str">
        <f t="shared" si="75"/>
        <v>NA</v>
      </c>
      <c r="H783" s="3" t="str">
        <f t="shared" si="76"/>
        <v>000</v>
      </c>
      <c r="I783" s="3" t="str">
        <f t="shared" si="77"/>
        <v>00</v>
      </c>
      <c r="L783" s="3" t="s">
        <v>3309</v>
      </c>
      <c r="R783" s="3" t="s">
        <v>5418</v>
      </c>
      <c r="S783" s="15" t="s">
        <v>3247</v>
      </c>
    </row>
    <row r="784" spans="1:19" x14ac:dyDescent="0.25">
      <c r="A784" s="4" t="s">
        <v>5419</v>
      </c>
      <c r="B784" s="4" t="s">
        <v>4944</v>
      </c>
      <c r="C784" s="4" t="s">
        <v>5420</v>
      </c>
      <c r="D784" s="3" t="str">
        <f t="shared" si="72"/>
        <v>PNL</v>
      </c>
      <c r="E784" s="3" t="str">
        <f t="shared" si="73"/>
        <v>U</v>
      </c>
      <c r="F784" s="3" t="str">
        <f t="shared" si="74"/>
        <v>010</v>
      </c>
      <c r="G784" s="3" t="str">
        <f t="shared" si="75"/>
        <v>NA</v>
      </c>
      <c r="H784" s="3" t="str">
        <f t="shared" si="76"/>
        <v>004</v>
      </c>
      <c r="I784" s="3" t="str">
        <f t="shared" si="77"/>
        <v>00</v>
      </c>
      <c r="L784" s="3" t="s">
        <v>3309</v>
      </c>
      <c r="R784" s="3" t="s">
        <v>5421</v>
      </c>
      <c r="S784" s="15" t="s">
        <v>3247</v>
      </c>
    </row>
    <row r="785" spans="1:19" x14ac:dyDescent="0.25">
      <c r="A785" s="4" t="s">
        <v>5422</v>
      </c>
      <c r="B785" s="4" t="s">
        <v>4944</v>
      </c>
      <c r="C785" s="4" t="s">
        <v>5423</v>
      </c>
      <c r="D785" s="3" t="str">
        <f t="shared" si="72"/>
        <v>PNL</v>
      </c>
      <c r="E785" s="3" t="str">
        <f t="shared" si="73"/>
        <v>B</v>
      </c>
      <c r="F785" s="3" t="str">
        <f t="shared" si="74"/>
        <v>014</v>
      </c>
      <c r="G785" s="3" t="str">
        <f t="shared" si="75"/>
        <v>DI</v>
      </c>
      <c r="H785" s="3" t="str">
        <f t="shared" si="76"/>
        <v>003</v>
      </c>
      <c r="I785" s="3" t="str">
        <f t="shared" si="77"/>
        <v>00</v>
      </c>
      <c r="L785" s="3" t="s">
        <v>3309</v>
      </c>
      <c r="R785" s="3" t="s">
        <v>5424</v>
      </c>
      <c r="S785" s="15" t="s">
        <v>3247</v>
      </c>
    </row>
    <row r="786" spans="1:19" x14ac:dyDescent="0.25">
      <c r="A786" s="4" t="s">
        <v>5425</v>
      </c>
      <c r="B786" s="4" t="s">
        <v>4944</v>
      </c>
      <c r="C786" s="4" t="s">
        <v>5423</v>
      </c>
      <c r="D786" s="3" t="str">
        <f t="shared" si="72"/>
        <v>PNL</v>
      </c>
      <c r="E786" s="3" t="str">
        <f t="shared" si="73"/>
        <v>A</v>
      </c>
      <c r="F786" s="3" t="str">
        <f t="shared" si="74"/>
        <v>001</v>
      </c>
      <c r="G786" s="3" t="str">
        <f t="shared" si="75"/>
        <v>DI</v>
      </c>
      <c r="H786" s="3" t="str">
        <f t="shared" si="76"/>
        <v>001</v>
      </c>
      <c r="I786" s="3" t="str">
        <f t="shared" si="77"/>
        <v>00</v>
      </c>
      <c r="L786" s="3" t="s">
        <v>3309</v>
      </c>
      <c r="R786" s="3" t="s">
        <v>5426</v>
      </c>
      <c r="S786" s="15" t="s">
        <v>3247</v>
      </c>
    </row>
    <row r="787" spans="1:19" ht="30" x14ac:dyDescent="0.25">
      <c r="A787" s="4" t="s">
        <v>5427</v>
      </c>
      <c r="B787" s="4" t="s">
        <v>4944</v>
      </c>
      <c r="C787" s="4" t="s">
        <v>5428</v>
      </c>
      <c r="D787" s="3" t="str">
        <f t="shared" si="72"/>
        <v>PNL</v>
      </c>
      <c r="E787" s="3" t="str">
        <f t="shared" si="73"/>
        <v>G</v>
      </c>
      <c r="F787" s="3" t="str">
        <f t="shared" si="74"/>
        <v>009</v>
      </c>
      <c r="G787" s="3" t="str">
        <f t="shared" si="75"/>
        <v>NA</v>
      </c>
      <c r="H787" s="3" t="str">
        <f t="shared" si="76"/>
        <v>000</v>
      </c>
      <c r="I787" s="3" t="str">
        <f t="shared" si="77"/>
        <v>00</v>
      </c>
      <c r="L787" s="3" t="s">
        <v>3309</v>
      </c>
      <c r="R787" s="3" t="s">
        <v>5429</v>
      </c>
      <c r="S787" s="15" t="s">
        <v>3247</v>
      </c>
    </row>
    <row r="788" spans="1:19" ht="30" x14ac:dyDescent="0.25">
      <c r="A788" s="4" t="s">
        <v>5430</v>
      </c>
      <c r="B788" s="4" t="s">
        <v>4944</v>
      </c>
      <c r="C788" s="4" t="s">
        <v>5431</v>
      </c>
      <c r="D788" s="3" t="str">
        <f t="shared" si="72"/>
        <v>PNL</v>
      </c>
      <c r="E788" s="3" t="str">
        <f t="shared" si="73"/>
        <v>G</v>
      </c>
      <c r="F788" s="3" t="str">
        <f t="shared" si="74"/>
        <v>010</v>
      </c>
      <c r="G788" s="3" t="str">
        <f t="shared" si="75"/>
        <v>NA</v>
      </c>
      <c r="H788" s="3" t="str">
        <f t="shared" si="76"/>
        <v>000</v>
      </c>
      <c r="I788" s="3" t="str">
        <f t="shared" si="77"/>
        <v>00</v>
      </c>
      <c r="L788" s="3" t="s">
        <v>3309</v>
      </c>
      <c r="R788" s="3" t="s">
        <v>5432</v>
      </c>
      <c r="S788" s="15" t="s">
        <v>3247</v>
      </c>
    </row>
    <row r="789" spans="1:19" ht="30" x14ac:dyDescent="0.25">
      <c r="A789" s="4" t="s">
        <v>5433</v>
      </c>
      <c r="B789" s="4" t="s">
        <v>4944</v>
      </c>
      <c r="C789" s="4" t="s">
        <v>5434</v>
      </c>
      <c r="D789" s="3" t="str">
        <f t="shared" si="72"/>
        <v>PNL</v>
      </c>
      <c r="E789" s="3" t="str">
        <f t="shared" si="73"/>
        <v>G</v>
      </c>
      <c r="F789" s="3" t="str">
        <f t="shared" si="74"/>
        <v>011</v>
      </c>
      <c r="G789" s="3" t="str">
        <f t="shared" si="75"/>
        <v>NA</v>
      </c>
      <c r="H789" s="3" t="str">
        <f t="shared" si="76"/>
        <v>000</v>
      </c>
      <c r="I789" s="3" t="str">
        <f t="shared" si="77"/>
        <v>00</v>
      </c>
      <c r="L789" s="3" t="s">
        <v>3309</v>
      </c>
      <c r="R789" s="3" t="s">
        <v>5435</v>
      </c>
      <c r="S789" s="15" t="s">
        <v>3247</v>
      </c>
    </row>
    <row r="790" spans="1:19" ht="30" x14ac:dyDescent="0.25">
      <c r="A790" s="4" t="s">
        <v>5436</v>
      </c>
      <c r="B790" s="4" t="s">
        <v>4944</v>
      </c>
      <c r="C790" s="4" t="s">
        <v>5437</v>
      </c>
      <c r="D790" s="3" t="str">
        <f t="shared" si="72"/>
        <v>PNL</v>
      </c>
      <c r="E790" s="3" t="str">
        <f t="shared" si="73"/>
        <v>A</v>
      </c>
      <c r="F790" s="3" t="str">
        <f t="shared" si="74"/>
        <v>B01</v>
      </c>
      <c r="G790" s="3" t="str">
        <f t="shared" si="75"/>
        <v>2N</v>
      </c>
      <c r="H790" s="3" t="str">
        <f t="shared" si="76"/>
        <v>A00</v>
      </c>
      <c r="I790" s="3" t="str">
        <f t="shared" si="77"/>
        <v>00</v>
      </c>
      <c r="L790" s="3" t="s">
        <v>3309</v>
      </c>
      <c r="R790" s="3" t="s">
        <v>5438</v>
      </c>
      <c r="S790" s="15" t="s">
        <v>3247</v>
      </c>
    </row>
    <row r="791" spans="1:19" ht="30" x14ac:dyDescent="0.25">
      <c r="A791" s="4" t="s">
        <v>5439</v>
      </c>
      <c r="B791" s="4" t="s">
        <v>4944</v>
      </c>
      <c r="C791" s="4" t="s">
        <v>5440</v>
      </c>
      <c r="D791" s="3" t="str">
        <f t="shared" si="72"/>
        <v>PNL</v>
      </c>
      <c r="E791" s="3" t="str">
        <f t="shared" si="73"/>
        <v>Z</v>
      </c>
      <c r="F791" s="3" t="str">
        <f t="shared" si="74"/>
        <v>004</v>
      </c>
      <c r="G791" s="3" t="str">
        <f t="shared" si="75"/>
        <v>ST</v>
      </c>
      <c r="H791" s="3" t="str">
        <f t="shared" si="76"/>
        <v>000</v>
      </c>
      <c r="I791" s="3" t="str">
        <f t="shared" si="77"/>
        <v>00</v>
      </c>
      <c r="L791" s="3" t="s">
        <v>3309</v>
      </c>
      <c r="R791" s="3" t="s">
        <v>5441</v>
      </c>
      <c r="S791" s="15" t="s">
        <v>3247</v>
      </c>
    </row>
    <row r="792" spans="1:19" x14ac:dyDescent="0.25">
      <c r="A792" s="4" t="s">
        <v>5442</v>
      </c>
      <c r="B792" s="4" t="s">
        <v>4944</v>
      </c>
      <c r="C792" s="4" t="s">
        <v>5443</v>
      </c>
      <c r="D792" s="3" t="str">
        <f t="shared" si="72"/>
        <v>PNL</v>
      </c>
      <c r="E792" s="3" t="str">
        <f t="shared" si="73"/>
        <v>O</v>
      </c>
      <c r="F792" s="3" t="str">
        <f t="shared" si="74"/>
        <v>002</v>
      </c>
      <c r="G792" s="3" t="str">
        <f t="shared" si="75"/>
        <v>KR</v>
      </c>
      <c r="H792" s="3" t="str">
        <f t="shared" si="76"/>
        <v>005</v>
      </c>
      <c r="I792" s="3" t="str">
        <f t="shared" si="77"/>
        <v>00</v>
      </c>
      <c r="L792" s="3" t="s">
        <v>3309</v>
      </c>
      <c r="R792" s="3" t="s">
        <v>5444</v>
      </c>
      <c r="S792" s="15" t="s">
        <v>3247</v>
      </c>
    </row>
    <row r="793" spans="1:19" ht="30" x14ac:dyDescent="0.25">
      <c r="A793" s="4" t="s">
        <v>5445</v>
      </c>
      <c r="B793" s="4" t="s">
        <v>4944</v>
      </c>
      <c r="C793" s="4" t="s">
        <v>5446</v>
      </c>
      <c r="D793" s="3" t="str">
        <f t="shared" si="72"/>
        <v>PNL</v>
      </c>
      <c r="E793" s="3" t="str">
        <f t="shared" si="73"/>
        <v>Q</v>
      </c>
      <c r="F793" s="3" t="str">
        <f t="shared" si="74"/>
        <v>000</v>
      </c>
      <c r="G793" s="3" t="str">
        <f t="shared" si="75"/>
        <v>ST</v>
      </c>
      <c r="H793" s="3" t="str">
        <f t="shared" si="76"/>
        <v>000</v>
      </c>
      <c r="I793" s="3" t="str">
        <f t="shared" si="77"/>
        <v>00</v>
      </c>
      <c r="L793" s="3" t="s">
        <v>3309</v>
      </c>
      <c r="R793" s="3" t="s">
        <v>5447</v>
      </c>
      <c r="S793" s="15" t="s">
        <v>3247</v>
      </c>
    </row>
    <row r="794" spans="1:19" x14ac:dyDescent="0.25">
      <c r="A794" s="4" t="s">
        <v>5448</v>
      </c>
      <c r="B794" s="4" t="s">
        <v>4944</v>
      </c>
      <c r="C794" s="4" t="s">
        <v>5449</v>
      </c>
      <c r="D794" s="3" t="str">
        <f t="shared" si="72"/>
        <v>PNL</v>
      </c>
      <c r="E794" s="3" t="str">
        <f t="shared" si="73"/>
        <v>C</v>
      </c>
      <c r="F794" s="3" t="str">
        <f t="shared" si="74"/>
        <v>011</v>
      </c>
      <c r="G794" s="3" t="str">
        <f t="shared" si="75"/>
        <v>ST</v>
      </c>
      <c r="H794" s="3" t="str">
        <f t="shared" si="76"/>
        <v>000</v>
      </c>
      <c r="I794" s="3" t="str">
        <f t="shared" si="77"/>
        <v>00</v>
      </c>
      <c r="L794" s="3" t="s">
        <v>3309</v>
      </c>
      <c r="R794" s="3" t="s">
        <v>5450</v>
      </c>
      <c r="S794" s="15" t="s">
        <v>3247</v>
      </c>
    </row>
    <row r="795" spans="1:19" x14ac:dyDescent="0.25">
      <c r="A795" s="4" t="s">
        <v>5451</v>
      </c>
      <c r="B795" s="4" t="s">
        <v>4944</v>
      </c>
      <c r="C795" s="4" t="s">
        <v>5452</v>
      </c>
      <c r="D795" s="3" t="str">
        <f t="shared" si="72"/>
        <v>PNL</v>
      </c>
      <c r="E795" s="3" t="str">
        <f t="shared" si="73"/>
        <v>D</v>
      </c>
      <c r="F795" s="3" t="str">
        <f t="shared" si="74"/>
        <v>003</v>
      </c>
      <c r="G795" s="3" t="str">
        <f t="shared" si="75"/>
        <v>ST</v>
      </c>
      <c r="H795" s="3" t="str">
        <f t="shared" si="76"/>
        <v>000</v>
      </c>
      <c r="I795" s="3" t="str">
        <f t="shared" si="77"/>
        <v>00</v>
      </c>
      <c r="L795" s="3" t="s">
        <v>3309</v>
      </c>
      <c r="R795" s="3" t="s">
        <v>5453</v>
      </c>
      <c r="S795" s="15" t="s">
        <v>3247</v>
      </c>
    </row>
    <row r="796" spans="1:19" x14ac:dyDescent="0.25">
      <c r="A796" s="4" t="s">
        <v>5454</v>
      </c>
      <c r="B796" s="4" t="s">
        <v>4944</v>
      </c>
      <c r="C796" s="4" t="s">
        <v>5455</v>
      </c>
      <c r="D796" s="3" t="str">
        <f t="shared" si="72"/>
        <v>PNL</v>
      </c>
      <c r="E796" s="3" t="str">
        <f t="shared" si="73"/>
        <v>U</v>
      </c>
      <c r="F796" s="3" t="str">
        <f t="shared" si="74"/>
        <v>011</v>
      </c>
      <c r="G796" s="3" t="str">
        <f t="shared" si="75"/>
        <v>NA</v>
      </c>
      <c r="H796" s="3" t="str">
        <f t="shared" si="76"/>
        <v>004</v>
      </c>
      <c r="I796" s="3" t="str">
        <f t="shared" si="77"/>
        <v>00</v>
      </c>
      <c r="L796" s="3" t="s">
        <v>3309</v>
      </c>
      <c r="R796" s="3" t="s">
        <v>5456</v>
      </c>
      <c r="S796" s="15" t="s">
        <v>3247</v>
      </c>
    </row>
    <row r="797" spans="1:19" x14ac:dyDescent="0.25">
      <c r="A797" s="4" t="s">
        <v>5457</v>
      </c>
      <c r="B797" s="4" t="s">
        <v>4944</v>
      </c>
      <c r="C797" s="4" t="s">
        <v>5458</v>
      </c>
      <c r="D797" s="3" t="str">
        <f t="shared" si="72"/>
        <v>PNL</v>
      </c>
      <c r="E797" s="3" t="str">
        <f t="shared" si="73"/>
        <v>A</v>
      </c>
      <c r="F797" s="3" t="str">
        <f t="shared" si="74"/>
        <v>005</v>
      </c>
      <c r="G797" s="3" t="str">
        <f t="shared" si="75"/>
        <v>NA</v>
      </c>
      <c r="H797" s="3" t="str">
        <f t="shared" si="76"/>
        <v>006</v>
      </c>
      <c r="I797" s="3" t="str">
        <f t="shared" si="77"/>
        <v>00</v>
      </c>
      <c r="L797" s="3" t="s">
        <v>3309</v>
      </c>
      <c r="R797" s="3" t="s">
        <v>5459</v>
      </c>
      <c r="S797" s="15" t="s">
        <v>3247</v>
      </c>
    </row>
    <row r="798" spans="1:19" x14ac:dyDescent="0.25">
      <c r="A798" s="4" t="s">
        <v>5460</v>
      </c>
      <c r="B798" s="4" t="s">
        <v>4944</v>
      </c>
      <c r="C798" s="4" t="s">
        <v>5461</v>
      </c>
      <c r="D798" s="3" t="str">
        <f t="shared" si="72"/>
        <v>PNL</v>
      </c>
      <c r="E798" s="3" t="str">
        <f t="shared" si="73"/>
        <v>A</v>
      </c>
      <c r="F798" s="3" t="str">
        <f t="shared" si="74"/>
        <v>007</v>
      </c>
      <c r="G798" s="3" t="str">
        <f t="shared" si="75"/>
        <v>ST</v>
      </c>
      <c r="H798" s="3" t="str">
        <f t="shared" si="76"/>
        <v>010</v>
      </c>
      <c r="I798" s="3" t="str">
        <f t="shared" si="77"/>
        <v>03</v>
      </c>
      <c r="L798" s="3" t="s">
        <v>3309</v>
      </c>
      <c r="R798" s="3" t="s">
        <v>5462</v>
      </c>
      <c r="S798" s="15" t="s">
        <v>3247</v>
      </c>
    </row>
    <row r="799" spans="1:19" ht="30" x14ac:dyDescent="0.25">
      <c r="A799" s="4" t="s">
        <v>5463</v>
      </c>
      <c r="B799" s="4" t="s">
        <v>4944</v>
      </c>
      <c r="C799" s="4" t="s">
        <v>5464</v>
      </c>
      <c r="D799" s="3" t="str">
        <f t="shared" si="72"/>
        <v>PNL</v>
      </c>
      <c r="E799" s="3" t="str">
        <f t="shared" si="73"/>
        <v>B</v>
      </c>
      <c r="F799" s="3" t="str">
        <f t="shared" si="74"/>
        <v>007</v>
      </c>
      <c r="G799" s="3" t="str">
        <f t="shared" si="75"/>
        <v>NA</v>
      </c>
      <c r="H799" s="3" t="str">
        <f t="shared" si="76"/>
        <v>004</v>
      </c>
      <c r="I799" s="3" t="str">
        <f t="shared" si="77"/>
        <v>04</v>
      </c>
      <c r="L799" s="3" t="s">
        <v>3309</v>
      </c>
      <c r="R799" s="3" t="s">
        <v>5465</v>
      </c>
      <c r="S799" s="15" t="s">
        <v>3247</v>
      </c>
    </row>
    <row r="800" spans="1:19" ht="30" x14ac:dyDescent="0.25">
      <c r="A800" s="4" t="s">
        <v>5466</v>
      </c>
      <c r="B800" s="4" t="s">
        <v>4944</v>
      </c>
      <c r="C800" s="4" t="s">
        <v>5467</v>
      </c>
      <c r="D800" s="3" t="str">
        <f t="shared" si="72"/>
        <v>PNL</v>
      </c>
      <c r="E800" s="3" t="str">
        <f t="shared" si="73"/>
        <v>B</v>
      </c>
      <c r="F800" s="3" t="str">
        <f t="shared" si="74"/>
        <v>008</v>
      </c>
      <c r="G800" s="3" t="str">
        <f t="shared" si="75"/>
        <v>NA</v>
      </c>
      <c r="H800" s="3" t="str">
        <f t="shared" si="76"/>
        <v>000</v>
      </c>
      <c r="I800" s="3" t="str">
        <f t="shared" si="77"/>
        <v>05</v>
      </c>
      <c r="L800" s="3" t="s">
        <v>3309</v>
      </c>
      <c r="R800" s="3" t="s">
        <v>5468</v>
      </c>
      <c r="S800" s="15" t="s">
        <v>3247</v>
      </c>
    </row>
    <row r="801" spans="1:19" x14ac:dyDescent="0.25">
      <c r="A801" s="4" t="s">
        <v>5469</v>
      </c>
      <c r="B801" s="4" t="s">
        <v>4944</v>
      </c>
      <c r="C801" s="4" t="s">
        <v>5470</v>
      </c>
      <c r="D801" s="3" t="str">
        <f t="shared" si="72"/>
        <v>PNL</v>
      </c>
      <c r="E801" s="3" t="str">
        <f t="shared" si="73"/>
        <v>A</v>
      </c>
      <c r="F801" s="3" t="str">
        <f t="shared" si="74"/>
        <v>B01</v>
      </c>
      <c r="G801" s="3" t="str">
        <f t="shared" si="75"/>
        <v>2N</v>
      </c>
      <c r="H801" s="3" t="str">
        <f t="shared" si="76"/>
        <v>A00</v>
      </c>
      <c r="I801" s="3" t="str">
        <f t="shared" si="77"/>
        <v>01</v>
      </c>
      <c r="L801" s="3" t="s">
        <v>3309</v>
      </c>
      <c r="R801" s="3" t="s">
        <v>5471</v>
      </c>
      <c r="S801" s="15" t="s">
        <v>3247</v>
      </c>
    </row>
    <row r="802" spans="1:19" x14ac:dyDescent="0.25">
      <c r="A802" s="4" t="s">
        <v>5472</v>
      </c>
      <c r="B802" s="4" t="s">
        <v>4944</v>
      </c>
      <c r="C802" s="4" t="s">
        <v>5473</v>
      </c>
      <c r="D802" s="3" t="str">
        <f t="shared" si="72"/>
        <v>PNL</v>
      </c>
      <c r="E802" s="3" t="str">
        <f t="shared" si="73"/>
        <v>A</v>
      </c>
      <c r="F802" s="3" t="str">
        <f t="shared" si="74"/>
        <v>B01</v>
      </c>
      <c r="G802" s="3" t="str">
        <f t="shared" si="75"/>
        <v>2N</v>
      </c>
      <c r="H802" s="3" t="str">
        <f t="shared" si="76"/>
        <v>A00</v>
      </c>
      <c r="I802" s="3" t="str">
        <f t="shared" si="77"/>
        <v>02</v>
      </c>
      <c r="L802" s="3" t="s">
        <v>3309</v>
      </c>
      <c r="R802" s="3" t="s">
        <v>5474</v>
      </c>
      <c r="S802" s="15" t="s">
        <v>3247</v>
      </c>
    </row>
    <row r="803" spans="1:19" x14ac:dyDescent="0.25">
      <c r="A803" s="4" t="s">
        <v>5475</v>
      </c>
      <c r="B803" s="4" t="s">
        <v>4944</v>
      </c>
      <c r="C803" s="4" t="s">
        <v>5476</v>
      </c>
      <c r="D803" s="3" t="str">
        <f t="shared" si="72"/>
        <v>PNL</v>
      </c>
      <c r="E803" s="3" t="str">
        <f t="shared" si="73"/>
        <v>A</v>
      </c>
      <c r="F803" s="3" t="str">
        <f t="shared" si="74"/>
        <v>B01</v>
      </c>
      <c r="G803" s="3" t="str">
        <f t="shared" si="75"/>
        <v>2N</v>
      </c>
      <c r="H803" s="3" t="str">
        <f t="shared" si="76"/>
        <v>A00</v>
      </c>
      <c r="I803" s="3" t="str">
        <f t="shared" si="77"/>
        <v>03</v>
      </c>
      <c r="L803" s="3" t="s">
        <v>3309</v>
      </c>
      <c r="R803" s="3" t="s">
        <v>5477</v>
      </c>
      <c r="S803" s="15" t="s">
        <v>3247</v>
      </c>
    </row>
    <row r="804" spans="1:19" ht="45" x14ac:dyDescent="0.25">
      <c r="A804" s="4" t="s">
        <v>5478</v>
      </c>
      <c r="B804" s="4" t="s">
        <v>4944</v>
      </c>
      <c r="C804" s="4" t="s">
        <v>5479</v>
      </c>
      <c r="D804" s="3" t="str">
        <f t="shared" si="72"/>
        <v>PNL</v>
      </c>
      <c r="E804" s="3" t="str">
        <f t="shared" si="73"/>
        <v>R</v>
      </c>
      <c r="F804" s="3" t="str">
        <f t="shared" si="74"/>
        <v>006</v>
      </c>
      <c r="G804" s="3" t="str">
        <f t="shared" si="75"/>
        <v>NA</v>
      </c>
      <c r="H804" s="3" t="str">
        <f t="shared" si="76"/>
        <v>000</v>
      </c>
      <c r="I804" s="3" t="str">
        <f t="shared" si="77"/>
        <v>00</v>
      </c>
      <c r="L804" s="3" t="s">
        <v>3309</v>
      </c>
      <c r="R804" s="3" t="s">
        <v>5480</v>
      </c>
      <c r="S804" s="15" t="s">
        <v>3247</v>
      </c>
    </row>
    <row r="805" spans="1:19" ht="30" x14ac:dyDescent="0.25">
      <c r="A805" s="4" t="s">
        <v>5481</v>
      </c>
      <c r="B805" s="4" t="s">
        <v>4944</v>
      </c>
      <c r="C805" s="4" t="s">
        <v>5482</v>
      </c>
      <c r="D805" s="3" t="str">
        <f t="shared" si="72"/>
        <v>PNL</v>
      </c>
      <c r="E805" s="3" t="str">
        <f t="shared" si="73"/>
        <v>P</v>
      </c>
      <c r="F805" s="3" t="str">
        <f t="shared" si="74"/>
        <v>027</v>
      </c>
      <c r="G805" s="3" t="str">
        <f t="shared" si="75"/>
        <v>NA</v>
      </c>
      <c r="H805" s="3" t="str">
        <f t="shared" si="76"/>
        <v>000</v>
      </c>
      <c r="I805" s="3" t="str">
        <f t="shared" si="77"/>
        <v>00</v>
      </c>
      <c r="L805" s="3" t="s">
        <v>3309</v>
      </c>
      <c r="R805" s="3" t="s">
        <v>5483</v>
      </c>
      <c r="S805" s="15" t="s">
        <v>3247</v>
      </c>
    </row>
    <row r="806" spans="1:19" ht="30" x14ac:dyDescent="0.25">
      <c r="A806" s="4" t="s">
        <v>5484</v>
      </c>
      <c r="B806" s="4" t="s">
        <v>4944</v>
      </c>
      <c r="C806" s="4" t="s">
        <v>5485</v>
      </c>
      <c r="D806" s="3" t="str">
        <f t="shared" si="72"/>
        <v>PNL</v>
      </c>
      <c r="E806" s="3" t="str">
        <f t="shared" si="73"/>
        <v>P</v>
      </c>
      <c r="F806" s="3" t="str">
        <f t="shared" si="74"/>
        <v>028</v>
      </c>
      <c r="G806" s="3" t="str">
        <f t="shared" si="75"/>
        <v>NA</v>
      </c>
      <c r="H806" s="3" t="str">
        <f t="shared" si="76"/>
        <v>000</v>
      </c>
      <c r="I806" s="3" t="str">
        <f t="shared" si="77"/>
        <v>00</v>
      </c>
      <c r="L806" s="3" t="s">
        <v>3309</v>
      </c>
      <c r="R806" s="3" t="s">
        <v>5486</v>
      </c>
      <c r="S806" s="15" t="s">
        <v>3247</v>
      </c>
    </row>
    <row r="807" spans="1:19" x14ac:dyDescent="0.25">
      <c r="A807" s="4" t="s">
        <v>5487</v>
      </c>
      <c r="B807" s="4" t="s">
        <v>4944</v>
      </c>
      <c r="C807" s="4" t="s">
        <v>5488</v>
      </c>
      <c r="D807" s="3" t="str">
        <f t="shared" si="72"/>
        <v>PNL</v>
      </c>
      <c r="E807" s="3" t="str">
        <f t="shared" si="73"/>
        <v>H</v>
      </c>
      <c r="F807" s="3" t="str">
        <f t="shared" si="74"/>
        <v>002</v>
      </c>
      <c r="G807" s="3" t="str">
        <f t="shared" si="75"/>
        <v>NA</v>
      </c>
      <c r="H807" s="3" t="str">
        <f t="shared" si="76"/>
        <v>000</v>
      </c>
      <c r="I807" s="3" t="str">
        <f t="shared" si="77"/>
        <v>00</v>
      </c>
      <c r="L807" s="3" t="s">
        <v>3309</v>
      </c>
      <c r="R807" s="3" t="s">
        <v>5489</v>
      </c>
      <c r="S807" s="15" t="s">
        <v>3247</v>
      </c>
    </row>
    <row r="808" spans="1:19" x14ac:dyDescent="0.25">
      <c r="A808" s="4" t="s">
        <v>5490</v>
      </c>
      <c r="B808" s="4" t="s">
        <v>4944</v>
      </c>
      <c r="C808" s="4" t="s">
        <v>5491</v>
      </c>
      <c r="D808" s="3" t="str">
        <f t="shared" si="72"/>
        <v>PNL</v>
      </c>
      <c r="E808" s="3" t="str">
        <f t="shared" si="73"/>
        <v>B</v>
      </c>
      <c r="F808" s="3" t="str">
        <f t="shared" si="74"/>
        <v>004</v>
      </c>
      <c r="G808" s="3" t="str">
        <f t="shared" si="75"/>
        <v>NA</v>
      </c>
      <c r="H808" s="3" t="str">
        <f t="shared" si="76"/>
        <v>003</v>
      </c>
      <c r="I808" s="3" t="str">
        <f t="shared" si="77"/>
        <v>00</v>
      </c>
      <c r="L808" s="3" t="s">
        <v>3309</v>
      </c>
      <c r="R808" s="3" t="s">
        <v>5492</v>
      </c>
      <c r="S808" s="15" t="s">
        <v>3247</v>
      </c>
    </row>
    <row r="809" spans="1:19" x14ac:dyDescent="0.25">
      <c r="A809" s="4" t="s">
        <v>5493</v>
      </c>
      <c r="B809" s="4" t="s">
        <v>4944</v>
      </c>
      <c r="C809" s="4" t="s">
        <v>5494</v>
      </c>
      <c r="D809" s="3" t="str">
        <f t="shared" si="72"/>
        <v>PNL</v>
      </c>
      <c r="E809" s="3" t="str">
        <f t="shared" si="73"/>
        <v>B</v>
      </c>
      <c r="F809" s="3" t="str">
        <f t="shared" si="74"/>
        <v>003</v>
      </c>
      <c r="G809" s="3" t="str">
        <f t="shared" si="75"/>
        <v>NA</v>
      </c>
      <c r="H809" s="3" t="str">
        <f t="shared" si="76"/>
        <v>003</v>
      </c>
      <c r="I809" s="3" t="str">
        <f t="shared" si="77"/>
        <v>00</v>
      </c>
      <c r="L809" s="3" t="s">
        <v>3309</v>
      </c>
      <c r="R809" s="3" t="s">
        <v>5495</v>
      </c>
      <c r="S809" s="15" t="s">
        <v>3247</v>
      </c>
    </row>
    <row r="810" spans="1:19" x14ac:dyDescent="0.25">
      <c r="A810" s="4" t="s">
        <v>5496</v>
      </c>
      <c r="B810" s="4" t="s">
        <v>4944</v>
      </c>
      <c r="C810" s="4" t="s">
        <v>1005</v>
      </c>
      <c r="D810" s="3" t="str">
        <f t="shared" si="72"/>
        <v>PNL</v>
      </c>
      <c r="E810" s="3" t="str">
        <f t="shared" si="73"/>
        <v>A</v>
      </c>
      <c r="F810" s="3" t="str">
        <f t="shared" si="74"/>
        <v>016</v>
      </c>
      <c r="G810" s="3" t="str">
        <f t="shared" si="75"/>
        <v>ST</v>
      </c>
      <c r="H810" s="3" t="str">
        <f t="shared" si="76"/>
        <v>000</v>
      </c>
      <c r="I810" s="3" t="str">
        <f t="shared" si="77"/>
        <v>00</v>
      </c>
      <c r="L810" s="3" t="s">
        <v>3309</v>
      </c>
      <c r="R810" s="3" t="s">
        <v>5497</v>
      </c>
      <c r="S810" s="15" t="s">
        <v>3247</v>
      </c>
    </row>
    <row r="811" spans="1:19" x14ac:dyDescent="0.25">
      <c r="A811" s="4" t="s">
        <v>5498</v>
      </c>
      <c r="B811" s="4" t="s">
        <v>4944</v>
      </c>
      <c r="C811" s="4" t="s">
        <v>1006</v>
      </c>
      <c r="D811" s="3" t="str">
        <f t="shared" si="72"/>
        <v>PNL</v>
      </c>
      <c r="E811" s="3" t="str">
        <f t="shared" si="73"/>
        <v>A</v>
      </c>
      <c r="F811" s="3" t="str">
        <f t="shared" si="74"/>
        <v>017</v>
      </c>
      <c r="G811" s="3" t="str">
        <f t="shared" si="75"/>
        <v>ST</v>
      </c>
      <c r="H811" s="3" t="str">
        <f t="shared" si="76"/>
        <v>000</v>
      </c>
      <c r="I811" s="3" t="str">
        <f t="shared" si="77"/>
        <v>00</v>
      </c>
      <c r="L811" s="3" t="s">
        <v>3309</v>
      </c>
      <c r="R811" s="3" t="s">
        <v>5499</v>
      </c>
      <c r="S811" s="15" t="s">
        <v>3247</v>
      </c>
    </row>
    <row r="812" spans="1:19" x14ac:dyDescent="0.25">
      <c r="A812" s="4" t="s">
        <v>5500</v>
      </c>
      <c r="B812" s="4" t="s">
        <v>4944</v>
      </c>
      <c r="C812" s="4" t="s">
        <v>1007</v>
      </c>
      <c r="D812" s="3" t="str">
        <f t="shared" si="72"/>
        <v>PNL</v>
      </c>
      <c r="E812" s="3" t="str">
        <f t="shared" si="73"/>
        <v>A</v>
      </c>
      <c r="F812" s="3" t="str">
        <f t="shared" si="74"/>
        <v>018</v>
      </c>
      <c r="G812" s="3" t="str">
        <f t="shared" si="75"/>
        <v>ST</v>
      </c>
      <c r="H812" s="3" t="str">
        <f t="shared" si="76"/>
        <v>000</v>
      </c>
      <c r="I812" s="3" t="str">
        <f t="shared" si="77"/>
        <v>00</v>
      </c>
      <c r="L812" s="3" t="s">
        <v>3309</v>
      </c>
      <c r="R812" s="3" t="s">
        <v>5501</v>
      </c>
      <c r="S812" s="15" t="s">
        <v>3247</v>
      </c>
    </row>
    <row r="813" spans="1:19" x14ac:dyDescent="0.25">
      <c r="A813" s="4" t="s">
        <v>5502</v>
      </c>
      <c r="B813" s="4" t="s">
        <v>4944</v>
      </c>
      <c r="C813" s="4" t="s">
        <v>1008</v>
      </c>
      <c r="D813" s="3" t="str">
        <f t="shared" si="72"/>
        <v>PNL</v>
      </c>
      <c r="E813" s="3" t="str">
        <f t="shared" si="73"/>
        <v>A</v>
      </c>
      <c r="F813" s="3" t="str">
        <f t="shared" si="74"/>
        <v>019</v>
      </c>
      <c r="G813" s="3" t="str">
        <f t="shared" si="75"/>
        <v>ST</v>
      </c>
      <c r="H813" s="3" t="str">
        <f t="shared" si="76"/>
        <v>000</v>
      </c>
      <c r="I813" s="3" t="str">
        <f t="shared" si="77"/>
        <v>00</v>
      </c>
      <c r="L813" s="3" t="s">
        <v>3309</v>
      </c>
      <c r="R813" s="3" t="s">
        <v>5503</v>
      </c>
      <c r="S813" s="15" t="s">
        <v>3247</v>
      </c>
    </row>
    <row r="814" spans="1:19" x14ac:dyDescent="0.25">
      <c r="A814" s="4" t="s">
        <v>5504</v>
      </c>
      <c r="B814" s="4" t="s">
        <v>4944</v>
      </c>
      <c r="C814" s="4" t="s">
        <v>1009</v>
      </c>
      <c r="D814" s="3" t="str">
        <f t="shared" si="72"/>
        <v>PNL</v>
      </c>
      <c r="E814" s="3" t="str">
        <f t="shared" si="73"/>
        <v>A</v>
      </c>
      <c r="F814" s="3" t="str">
        <f t="shared" si="74"/>
        <v>020</v>
      </c>
      <c r="G814" s="3" t="str">
        <f t="shared" si="75"/>
        <v>ST</v>
      </c>
      <c r="H814" s="3" t="str">
        <f t="shared" si="76"/>
        <v>000</v>
      </c>
      <c r="I814" s="3" t="str">
        <f t="shared" si="77"/>
        <v>00</v>
      </c>
      <c r="L814" s="3" t="s">
        <v>3309</v>
      </c>
      <c r="R814" s="3" t="s">
        <v>5505</v>
      </c>
      <c r="S814" s="15" t="s">
        <v>3247</v>
      </c>
    </row>
    <row r="815" spans="1:19" x14ac:dyDescent="0.25">
      <c r="A815" s="4" t="s">
        <v>5506</v>
      </c>
      <c r="B815" s="4" t="s">
        <v>4944</v>
      </c>
      <c r="C815" s="4" t="s">
        <v>1010</v>
      </c>
      <c r="D815" s="3" t="str">
        <f t="shared" si="72"/>
        <v>PNL</v>
      </c>
      <c r="E815" s="3" t="str">
        <f t="shared" si="73"/>
        <v>A</v>
      </c>
      <c r="F815" s="3" t="str">
        <f t="shared" si="74"/>
        <v>021</v>
      </c>
      <c r="G815" s="3" t="str">
        <f t="shared" si="75"/>
        <v>ST</v>
      </c>
      <c r="H815" s="3" t="str">
        <f t="shared" si="76"/>
        <v>000</v>
      </c>
      <c r="I815" s="3" t="str">
        <f t="shared" si="77"/>
        <v>00</v>
      </c>
      <c r="L815" s="3" t="s">
        <v>3309</v>
      </c>
      <c r="R815" s="3" t="s">
        <v>5507</v>
      </c>
      <c r="S815" s="15" t="s">
        <v>3247</v>
      </c>
    </row>
    <row r="816" spans="1:19" x14ac:dyDescent="0.25">
      <c r="A816" s="7" t="s">
        <v>5508</v>
      </c>
      <c r="B816" s="4" t="s">
        <v>4944</v>
      </c>
      <c r="C816" s="4" t="s">
        <v>1011</v>
      </c>
      <c r="D816" s="3" t="str">
        <f t="shared" si="72"/>
        <v>PNL</v>
      </c>
      <c r="E816" s="3" t="str">
        <f t="shared" si="73"/>
        <v>A</v>
      </c>
      <c r="F816" s="3" t="str">
        <f t="shared" si="74"/>
        <v>022</v>
      </c>
      <c r="G816" s="3" t="str">
        <f t="shared" si="75"/>
        <v>ST</v>
      </c>
      <c r="H816" s="3" t="str">
        <f t="shared" si="76"/>
        <v>000</v>
      </c>
      <c r="I816" s="3" t="str">
        <f t="shared" si="77"/>
        <v>00</v>
      </c>
      <c r="L816" s="3" t="s">
        <v>3309</v>
      </c>
      <c r="R816" s="3" t="s">
        <v>5509</v>
      </c>
      <c r="S816" s="15" t="s">
        <v>3247</v>
      </c>
    </row>
    <row r="817" spans="1:19" x14ac:dyDescent="0.25">
      <c r="A817" s="4" t="s">
        <v>5510</v>
      </c>
      <c r="B817" s="4" t="s">
        <v>4944</v>
      </c>
      <c r="C817" s="4" t="s">
        <v>1012</v>
      </c>
      <c r="D817" s="3" t="str">
        <f t="shared" si="72"/>
        <v>PNL</v>
      </c>
      <c r="E817" s="3" t="str">
        <f t="shared" si="73"/>
        <v>A</v>
      </c>
      <c r="F817" s="3" t="str">
        <f t="shared" si="74"/>
        <v>023</v>
      </c>
      <c r="G817" s="3" t="str">
        <f t="shared" si="75"/>
        <v>ST</v>
      </c>
      <c r="H817" s="3" t="str">
        <f t="shared" si="76"/>
        <v>000</v>
      </c>
      <c r="I817" s="3" t="str">
        <f t="shared" si="77"/>
        <v>00</v>
      </c>
      <c r="L817" s="3" t="s">
        <v>3309</v>
      </c>
      <c r="R817" s="3" t="s">
        <v>5511</v>
      </c>
      <c r="S817" s="15" t="s">
        <v>3247</v>
      </c>
    </row>
    <row r="818" spans="1:19" x14ac:dyDescent="0.25">
      <c r="A818" s="4" t="s">
        <v>5512</v>
      </c>
      <c r="B818" s="4" t="s">
        <v>4944</v>
      </c>
      <c r="C818" s="4" t="s">
        <v>1013</v>
      </c>
      <c r="D818" s="3" t="str">
        <f t="shared" si="72"/>
        <v>PNL</v>
      </c>
      <c r="E818" s="3" t="str">
        <f t="shared" si="73"/>
        <v>A</v>
      </c>
      <c r="F818" s="3" t="str">
        <f t="shared" si="74"/>
        <v>024</v>
      </c>
      <c r="G818" s="3" t="str">
        <f t="shared" si="75"/>
        <v>ST</v>
      </c>
      <c r="H818" s="3" t="str">
        <f t="shared" si="76"/>
        <v>000</v>
      </c>
      <c r="I818" s="3" t="str">
        <f t="shared" si="77"/>
        <v>00</v>
      </c>
      <c r="L818" s="3" t="s">
        <v>3309</v>
      </c>
      <c r="R818" s="3" t="s">
        <v>5513</v>
      </c>
      <c r="S818" s="15" t="s">
        <v>3247</v>
      </c>
    </row>
    <row r="819" spans="1:19" x14ac:dyDescent="0.25">
      <c r="A819" s="4" t="s">
        <v>5514</v>
      </c>
      <c r="B819" s="4" t="s">
        <v>4944</v>
      </c>
      <c r="C819" s="4" t="s">
        <v>5515</v>
      </c>
      <c r="D819" s="3" t="str">
        <f t="shared" si="72"/>
        <v>PNL</v>
      </c>
      <c r="E819" s="3" t="str">
        <f t="shared" si="73"/>
        <v>A</v>
      </c>
      <c r="F819" s="3" t="str">
        <f t="shared" si="74"/>
        <v>025</v>
      </c>
      <c r="G819" s="3" t="str">
        <f t="shared" si="75"/>
        <v>ST</v>
      </c>
      <c r="H819" s="3" t="str">
        <f t="shared" si="76"/>
        <v>000</v>
      </c>
      <c r="I819" s="3" t="str">
        <f t="shared" si="77"/>
        <v>00</v>
      </c>
      <c r="L819" s="3" t="s">
        <v>3309</v>
      </c>
      <c r="R819" s="3" t="s">
        <v>5516</v>
      </c>
      <c r="S819" s="15" t="s">
        <v>3247</v>
      </c>
    </row>
    <row r="820" spans="1:19" x14ac:dyDescent="0.25">
      <c r="A820" s="4" t="s">
        <v>5517</v>
      </c>
      <c r="B820" s="4" t="s">
        <v>4944</v>
      </c>
      <c r="C820" s="4" t="s">
        <v>5518</v>
      </c>
      <c r="D820" s="3" t="str">
        <f t="shared" si="72"/>
        <v>PNL</v>
      </c>
      <c r="E820" s="3" t="str">
        <f t="shared" si="73"/>
        <v>A</v>
      </c>
      <c r="F820" s="3" t="str">
        <f t="shared" si="74"/>
        <v>026</v>
      </c>
      <c r="G820" s="3" t="str">
        <f t="shared" si="75"/>
        <v>ST</v>
      </c>
      <c r="H820" s="3" t="str">
        <f t="shared" si="76"/>
        <v>000</v>
      </c>
      <c r="I820" s="3" t="str">
        <f t="shared" si="77"/>
        <v>00</v>
      </c>
      <c r="L820" s="3" t="s">
        <v>3309</v>
      </c>
      <c r="R820" s="3" t="s">
        <v>5519</v>
      </c>
      <c r="S820" s="15" t="s">
        <v>3247</v>
      </c>
    </row>
    <row r="821" spans="1:19" x14ac:dyDescent="0.25">
      <c r="A821" s="4" t="s">
        <v>5520</v>
      </c>
      <c r="B821" s="4" t="s">
        <v>4944</v>
      </c>
      <c r="C821" s="4" t="s">
        <v>5521</v>
      </c>
      <c r="D821" s="3" t="str">
        <f t="shared" si="72"/>
        <v>PNL</v>
      </c>
      <c r="E821" s="3" t="str">
        <f t="shared" si="73"/>
        <v>C</v>
      </c>
      <c r="F821" s="3" t="str">
        <f t="shared" si="74"/>
        <v>013</v>
      </c>
      <c r="G821" s="3" t="str">
        <f t="shared" si="75"/>
        <v>ST</v>
      </c>
      <c r="H821" s="3" t="str">
        <f t="shared" si="76"/>
        <v>000</v>
      </c>
      <c r="I821" s="3" t="str">
        <f t="shared" si="77"/>
        <v>00</v>
      </c>
      <c r="L821" s="3" t="s">
        <v>3309</v>
      </c>
      <c r="R821" s="3" t="s">
        <v>5522</v>
      </c>
      <c r="S821" s="15" t="s">
        <v>3247</v>
      </c>
    </row>
    <row r="822" spans="1:19" x14ac:dyDescent="0.25">
      <c r="A822" s="4" t="s">
        <v>5523</v>
      </c>
      <c r="B822" s="4" t="s">
        <v>4944</v>
      </c>
      <c r="C822" s="4" t="s">
        <v>5524</v>
      </c>
      <c r="D822" s="3" t="str">
        <f t="shared" si="72"/>
        <v>PNL</v>
      </c>
      <c r="E822" s="3" t="str">
        <f t="shared" si="73"/>
        <v>C</v>
      </c>
      <c r="F822" s="3" t="str">
        <f t="shared" si="74"/>
        <v>014</v>
      </c>
      <c r="G822" s="3" t="str">
        <f t="shared" si="75"/>
        <v>ST</v>
      </c>
      <c r="H822" s="3" t="str">
        <f t="shared" si="76"/>
        <v>000</v>
      </c>
      <c r="I822" s="3" t="str">
        <f t="shared" si="77"/>
        <v>00</v>
      </c>
      <c r="L822" s="3" t="s">
        <v>3309</v>
      </c>
      <c r="R822" s="3" t="s">
        <v>5525</v>
      </c>
      <c r="S822" s="15" t="s">
        <v>3247</v>
      </c>
    </row>
    <row r="823" spans="1:19" ht="45" x14ac:dyDescent="0.25">
      <c r="A823" s="4" t="s">
        <v>5526</v>
      </c>
      <c r="B823" s="4" t="s">
        <v>4944</v>
      </c>
      <c r="C823" s="4" t="s">
        <v>5527</v>
      </c>
      <c r="D823" s="3" t="str">
        <f t="shared" si="72"/>
        <v>PNL</v>
      </c>
      <c r="E823" s="3" t="str">
        <f t="shared" si="73"/>
        <v>Q</v>
      </c>
      <c r="F823" s="3" t="str">
        <f t="shared" si="74"/>
        <v>004</v>
      </c>
      <c r="G823" s="3" t="str">
        <f t="shared" si="75"/>
        <v>ST</v>
      </c>
      <c r="H823" s="3" t="str">
        <f t="shared" si="76"/>
        <v>000</v>
      </c>
      <c r="I823" s="3" t="str">
        <f t="shared" si="77"/>
        <v>00</v>
      </c>
      <c r="L823" s="3" t="s">
        <v>3608</v>
      </c>
      <c r="R823" s="3" t="s">
        <v>5528</v>
      </c>
      <c r="S823" s="15" t="s">
        <v>3247</v>
      </c>
    </row>
    <row r="824" spans="1:19" ht="30" x14ac:dyDescent="0.25">
      <c r="A824" s="4" t="s">
        <v>5529</v>
      </c>
      <c r="B824" s="4" t="s">
        <v>4944</v>
      </c>
      <c r="C824" s="4" t="s">
        <v>5530</v>
      </c>
      <c r="D824" s="3" t="str">
        <f t="shared" si="72"/>
        <v>PNL</v>
      </c>
      <c r="E824" s="3" t="str">
        <f t="shared" si="73"/>
        <v>N</v>
      </c>
      <c r="F824" s="3" t="str">
        <f t="shared" si="74"/>
        <v>001</v>
      </c>
      <c r="G824" s="3" t="str">
        <f t="shared" si="75"/>
        <v>ST</v>
      </c>
      <c r="H824" s="3" t="str">
        <f t="shared" si="76"/>
        <v>000</v>
      </c>
      <c r="I824" s="3" t="str">
        <f t="shared" si="77"/>
        <v>00</v>
      </c>
      <c r="L824" s="3" t="s">
        <v>3608</v>
      </c>
      <c r="R824" s="3" t="s">
        <v>5531</v>
      </c>
      <c r="S824" s="15" t="s">
        <v>3247</v>
      </c>
    </row>
    <row r="825" spans="1:19" x14ac:dyDescent="0.25">
      <c r="A825" s="4" t="s">
        <v>5532</v>
      </c>
      <c r="B825" s="4" t="s">
        <v>4944</v>
      </c>
      <c r="C825" s="4" t="s">
        <v>5533</v>
      </c>
      <c r="D825" s="3" t="str">
        <f t="shared" si="72"/>
        <v>PNL</v>
      </c>
      <c r="E825" s="3" t="str">
        <f t="shared" si="73"/>
        <v>H</v>
      </c>
      <c r="F825" s="3" t="str">
        <f t="shared" si="74"/>
        <v>006</v>
      </c>
      <c r="G825" s="3" t="str">
        <f t="shared" si="75"/>
        <v>ST</v>
      </c>
      <c r="H825" s="3" t="str">
        <f t="shared" si="76"/>
        <v>000</v>
      </c>
      <c r="I825" s="3" t="str">
        <f t="shared" si="77"/>
        <v>00</v>
      </c>
      <c r="L825" s="3" t="s">
        <v>3608</v>
      </c>
      <c r="R825" s="3" t="s">
        <v>5534</v>
      </c>
      <c r="S825" s="15" t="s">
        <v>3247</v>
      </c>
    </row>
    <row r="826" spans="1:19" x14ac:dyDescent="0.25">
      <c r="A826" s="4" t="s">
        <v>5535</v>
      </c>
      <c r="B826" s="4" t="s">
        <v>4944</v>
      </c>
      <c r="C826" s="4" t="s">
        <v>5536</v>
      </c>
      <c r="D826" s="3" t="str">
        <f t="shared" si="72"/>
        <v>PNL</v>
      </c>
      <c r="E826" s="3" t="str">
        <f t="shared" si="73"/>
        <v>N</v>
      </c>
      <c r="F826" s="3" t="str">
        <f t="shared" si="74"/>
        <v>008</v>
      </c>
      <c r="G826" s="3" t="str">
        <f t="shared" si="75"/>
        <v>CS</v>
      </c>
      <c r="H826" s="3" t="str">
        <f t="shared" si="76"/>
        <v>000</v>
      </c>
      <c r="I826" s="3" t="str">
        <f t="shared" si="77"/>
        <v>00</v>
      </c>
      <c r="L826" s="3" t="s">
        <v>3309</v>
      </c>
      <c r="R826" s="3" t="s">
        <v>5537</v>
      </c>
      <c r="S826" s="15" t="s">
        <v>3247</v>
      </c>
    </row>
    <row r="827" spans="1:19" x14ac:dyDescent="0.25">
      <c r="A827" s="4" t="s">
        <v>5538</v>
      </c>
      <c r="B827" s="4" t="s">
        <v>4944</v>
      </c>
      <c r="C827" s="4" t="s">
        <v>5539</v>
      </c>
      <c r="D827" s="3" t="str">
        <f t="shared" si="72"/>
        <v>PNL</v>
      </c>
      <c r="E827" s="3" t="str">
        <f t="shared" si="73"/>
        <v>A</v>
      </c>
      <c r="F827" s="3" t="str">
        <f t="shared" si="74"/>
        <v>027</v>
      </c>
      <c r="G827" s="3" t="str">
        <f t="shared" si="75"/>
        <v>ST</v>
      </c>
      <c r="H827" s="3" t="str">
        <f t="shared" si="76"/>
        <v>000</v>
      </c>
      <c r="I827" s="3" t="str">
        <f t="shared" si="77"/>
        <v>00</v>
      </c>
      <c r="L827" s="3" t="s">
        <v>3309</v>
      </c>
      <c r="R827" s="3" t="s">
        <v>5540</v>
      </c>
      <c r="S827" s="15" t="s">
        <v>3247</v>
      </c>
    </row>
    <row r="828" spans="1:19" ht="30" x14ac:dyDescent="0.25">
      <c r="A828" s="4" t="s">
        <v>5541</v>
      </c>
      <c r="B828" s="4" t="s">
        <v>4944</v>
      </c>
      <c r="C828" s="4" t="s">
        <v>5542</v>
      </c>
      <c r="D828" s="3" t="str">
        <f t="shared" si="72"/>
        <v>PNL</v>
      </c>
      <c r="E828" s="3" t="str">
        <f t="shared" si="73"/>
        <v>J</v>
      </c>
      <c r="F828" s="3" t="str">
        <f t="shared" si="74"/>
        <v>010</v>
      </c>
      <c r="G828" s="3" t="str">
        <f t="shared" si="75"/>
        <v>ST</v>
      </c>
      <c r="H828" s="3" t="str">
        <f t="shared" si="76"/>
        <v>000</v>
      </c>
      <c r="I828" s="3" t="str">
        <f t="shared" si="77"/>
        <v>00</v>
      </c>
      <c r="L828" s="3" t="s">
        <v>3309</v>
      </c>
      <c r="R828" s="3" t="s">
        <v>5543</v>
      </c>
      <c r="S828" s="15" t="s">
        <v>3247</v>
      </c>
    </row>
    <row r="829" spans="1:19" x14ac:dyDescent="0.25">
      <c r="A829" s="4" t="s">
        <v>5544</v>
      </c>
      <c r="B829" s="4" t="s">
        <v>4944</v>
      </c>
      <c r="C829" s="4" t="s">
        <v>5545</v>
      </c>
      <c r="D829" s="3" t="str">
        <f t="shared" si="72"/>
        <v>PNL</v>
      </c>
      <c r="E829" s="3" t="str">
        <f t="shared" si="73"/>
        <v>J</v>
      </c>
      <c r="F829" s="3" t="str">
        <f t="shared" si="74"/>
        <v>000</v>
      </c>
      <c r="G829" s="3" t="str">
        <f t="shared" si="75"/>
        <v>AI</v>
      </c>
      <c r="H829" s="3" t="str">
        <f t="shared" si="76"/>
        <v>013</v>
      </c>
      <c r="I829" s="3" t="str">
        <f t="shared" si="77"/>
        <v>10</v>
      </c>
      <c r="L829" s="3" t="s">
        <v>3309</v>
      </c>
      <c r="R829" s="3" t="s">
        <v>5546</v>
      </c>
      <c r="S829" s="15" t="s">
        <v>3247</v>
      </c>
    </row>
    <row r="830" spans="1:19" x14ac:dyDescent="0.25">
      <c r="A830" s="4" t="s">
        <v>5547</v>
      </c>
      <c r="B830" s="4" t="s">
        <v>4944</v>
      </c>
      <c r="C830" s="4" t="s">
        <v>5548</v>
      </c>
      <c r="D830" s="3" t="str">
        <f t="shared" si="72"/>
        <v>PNL</v>
      </c>
      <c r="E830" s="3" t="str">
        <f t="shared" si="73"/>
        <v>J</v>
      </c>
      <c r="F830" s="3" t="str">
        <f t="shared" si="74"/>
        <v>000</v>
      </c>
      <c r="G830" s="3" t="str">
        <f t="shared" si="75"/>
        <v>AI</v>
      </c>
      <c r="H830" s="3" t="str">
        <f t="shared" si="76"/>
        <v>014</v>
      </c>
      <c r="I830" s="3" t="str">
        <f t="shared" si="77"/>
        <v>11</v>
      </c>
      <c r="L830" s="3" t="s">
        <v>3309</v>
      </c>
      <c r="R830" s="3" t="s">
        <v>5549</v>
      </c>
      <c r="S830" s="15" t="s">
        <v>3247</v>
      </c>
    </row>
    <row r="831" spans="1:19" x14ac:dyDescent="0.25">
      <c r="A831" s="4" t="s">
        <v>5550</v>
      </c>
      <c r="B831" s="4" t="s">
        <v>4944</v>
      </c>
      <c r="C831" s="4" t="s">
        <v>5551</v>
      </c>
      <c r="D831" s="3" t="str">
        <f t="shared" si="72"/>
        <v>PNL</v>
      </c>
      <c r="E831" s="3" t="str">
        <f t="shared" si="73"/>
        <v>B</v>
      </c>
      <c r="F831" s="3" t="str">
        <f t="shared" si="74"/>
        <v>011</v>
      </c>
      <c r="G831" s="3" t="str">
        <f t="shared" si="75"/>
        <v>NA</v>
      </c>
      <c r="H831" s="3" t="str">
        <f t="shared" si="76"/>
        <v>003</v>
      </c>
      <c r="I831" s="3" t="str">
        <f t="shared" si="77"/>
        <v>00</v>
      </c>
      <c r="L831" s="3" t="s">
        <v>3309</v>
      </c>
      <c r="R831" s="3" t="s">
        <v>5552</v>
      </c>
      <c r="S831" s="15">
        <v>2</v>
      </c>
    </row>
    <row r="832" spans="1:19" x14ac:dyDescent="0.25">
      <c r="A832" s="4" t="s">
        <v>5553</v>
      </c>
      <c r="B832" s="4" t="s">
        <v>4944</v>
      </c>
      <c r="C832" s="4" t="s">
        <v>5554</v>
      </c>
      <c r="D832" s="3" t="str">
        <f t="shared" si="72"/>
        <v>PNL</v>
      </c>
      <c r="E832" s="3" t="str">
        <f t="shared" si="73"/>
        <v>A</v>
      </c>
      <c r="F832" s="3" t="str">
        <f t="shared" si="74"/>
        <v>008</v>
      </c>
      <c r="G832" s="3" t="str">
        <f t="shared" si="75"/>
        <v>NA</v>
      </c>
      <c r="H832" s="3" t="str">
        <f t="shared" si="76"/>
        <v>000</v>
      </c>
      <c r="I832" s="3" t="str">
        <f t="shared" si="77"/>
        <v>00</v>
      </c>
      <c r="L832" s="3" t="s">
        <v>3309</v>
      </c>
      <c r="R832" s="3" t="s">
        <v>5555</v>
      </c>
      <c r="S832" s="15">
        <v>18</v>
      </c>
    </row>
    <row r="833" spans="1:20" ht="30" x14ac:dyDescent="0.25">
      <c r="A833" s="4" t="s">
        <v>5556</v>
      </c>
      <c r="B833" s="4" t="s">
        <v>5557</v>
      </c>
      <c r="C833" s="4" t="s">
        <v>5558</v>
      </c>
      <c r="D833" s="3" t="str">
        <f t="shared" si="72"/>
        <v>PPA</v>
      </c>
      <c r="E833" s="3" t="str">
        <f t="shared" si="73"/>
        <v>A</v>
      </c>
      <c r="F833" s="3" t="str">
        <f t="shared" si="74"/>
        <v>002</v>
      </c>
      <c r="G833" s="3" t="str">
        <f t="shared" si="75"/>
        <v>PH</v>
      </c>
      <c r="H833" s="3" t="str">
        <f t="shared" si="76"/>
        <v>001</v>
      </c>
      <c r="I833" s="3" t="str">
        <f t="shared" si="77"/>
        <v>00</v>
      </c>
      <c r="L833" s="3" t="s">
        <v>3245</v>
      </c>
      <c r="R833" s="3" t="s">
        <v>5559</v>
      </c>
      <c r="S833" s="15" t="s">
        <v>3247</v>
      </c>
    </row>
    <row r="834" spans="1:20" x14ac:dyDescent="0.25">
      <c r="A834" s="4" t="s">
        <v>5560</v>
      </c>
      <c r="B834" s="4" t="s">
        <v>5557</v>
      </c>
      <c r="C834" s="4" t="s">
        <v>5561</v>
      </c>
      <c r="D834" s="3" t="str">
        <f t="shared" ref="D834:D897" si="78">LEFT(A834,3)</f>
        <v>PPA</v>
      </c>
      <c r="E834" s="3" t="str">
        <f t="shared" ref="E834:E897" si="79">MID(A834,4,1)</f>
        <v>A</v>
      </c>
      <c r="F834" s="3" t="str">
        <f t="shared" ref="F834:F897" si="80">MID(A834,5,3)</f>
        <v>001</v>
      </c>
      <c r="G834" s="3" t="str">
        <f t="shared" ref="G834:G897" si="81">MID(A834,8,2)</f>
        <v>PH</v>
      </c>
      <c r="H834" s="3" t="str">
        <f t="shared" ref="H834:H897" si="82">MID(A834,10,3)</f>
        <v>002</v>
      </c>
      <c r="I834" s="3" t="str">
        <f t="shared" ref="I834:I897" si="83">MID(A834,13,2)</f>
        <v>00</v>
      </c>
      <c r="L834" s="3" t="s">
        <v>3245</v>
      </c>
      <c r="R834" s="3" t="s">
        <v>5562</v>
      </c>
      <c r="S834" s="15" t="s">
        <v>3247</v>
      </c>
    </row>
    <row r="835" spans="1:20" x14ac:dyDescent="0.25">
      <c r="A835" s="4" t="s">
        <v>5563</v>
      </c>
      <c r="B835" s="4" t="s">
        <v>5557</v>
      </c>
      <c r="C835" s="4" t="s">
        <v>5564</v>
      </c>
      <c r="D835" s="3" t="str">
        <f t="shared" si="78"/>
        <v>PPA</v>
      </c>
      <c r="E835" s="3" t="str">
        <f t="shared" si="79"/>
        <v>D</v>
      </c>
      <c r="F835" s="3" t="str">
        <f t="shared" si="80"/>
        <v>003</v>
      </c>
      <c r="G835" s="3" t="str">
        <f t="shared" si="81"/>
        <v>AP</v>
      </c>
      <c r="H835" s="3" t="str">
        <f t="shared" si="82"/>
        <v>000</v>
      </c>
      <c r="I835" s="3" t="str">
        <f t="shared" si="83"/>
        <v>00</v>
      </c>
      <c r="L835" s="3" t="s">
        <v>3245</v>
      </c>
      <c r="R835" s="3" t="s">
        <v>5565</v>
      </c>
      <c r="S835" s="15" t="s">
        <v>3247</v>
      </c>
    </row>
    <row r="836" spans="1:20" x14ac:dyDescent="0.25">
      <c r="A836" s="4" t="s">
        <v>5566</v>
      </c>
      <c r="B836" s="4" t="s">
        <v>5557</v>
      </c>
      <c r="C836" s="4" t="s">
        <v>5567</v>
      </c>
      <c r="D836" s="3" t="str">
        <f t="shared" si="78"/>
        <v>PPA</v>
      </c>
      <c r="E836" s="3" t="str">
        <f t="shared" si="79"/>
        <v>H</v>
      </c>
      <c r="F836" s="3" t="str">
        <f t="shared" si="80"/>
        <v>009</v>
      </c>
      <c r="G836" s="3" t="str">
        <f t="shared" si="81"/>
        <v>VA</v>
      </c>
      <c r="H836" s="3" t="str">
        <f t="shared" si="82"/>
        <v>000</v>
      </c>
      <c r="I836" s="3" t="str">
        <f t="shared" si="83"/>
        <v>00</v>
      </c>
      <c r="L836" s="3" t="s">
        <v>3245</v>
      </c>
      <c r="R836" s="3" t="s">
        <v>5568</v>
      </c>
      <c r="S836" s="15" t="s">
        <v>3247</v>
      </c>
    </row>
    <row r="837" spans="1:20" x14ac:dyDescent="0.25">
      <c r="A837" s="4" t="s">
        <v>5569</v>
      </c>
      <c r="B837" s="4" t="s">
        <v>5557</v>
      </c>
      <c r="C837" s="4" t="s">
        <v>5570</v>
      </c>
      <c r="D837" s="3" t="str">
        <f t="shared" si="78"/>
        <v>PPA</v>
      </c>
      <c r="E837" s="3" t="str">
        <f t="shared" si="79"/>
        <v>I</v>
      </c>
      <c r="F837" s="3" t="str">
        <f t="shared" si="80"/>
        <v>010</v>
      </c>
      <c r="G837" s="3" t="str">
        <f t="shared" si="81"/>
        <v>RI</v>
      </c>
      <c r="H837" s="3" t="str">
        <f t="shared" si="82"/>
        <v>004</v>
      </c>
      <c r="I837" s="3" t="str">
        <f t="shared" si="83"/>
        <v>00</v>
      </c>
      <c r="L837" s="3" t="s">
        <v>3245</v>
      </c>
      <c r="R837" s="3" t="s">
        <v>5571</v>
      </c>
      <c r="S837" s="15" t="s">
        <v>3247</v>
      </c>
    </row>
    <row r="838" spans="1:20" x14ac:dyDescent="0.25">
      <c r="A838" s="4" t="s">
        <v>5572</v>
      </c>
      <c r="B838" s="4" t="s">
        <v>5557</v>
      </c>
      <c r="C838" s="4" t="s">
        <v>5573</v>
      </c>
      <c r="D838" s="3" t="str">
        <f t="shared" si="78"/>
        <v>PPA</v>
      </c>
      <c r="E838" s="3" t="str">
        <f t="shared" si="79"/>
        <v>G</v>
      </c>
      <c r="F838" s="3" t="str">
        <f t="shared" si="80"/>
        <v>301</v>
      </c>
      <c r="G838" s="3" t="str">
        <f t="shared" si="81"/>
        <v>SL</v>
      </c>
      <c r="H838" s="3" t="str">
        <f t="shared" si="82"/>
        <v>003</v>
      </c>
      <c r="I838" s="3" t="str">
        <f t="shared" si="83"/>
        <v>00</v>
      </c>
      <c r="L838" s="3" t="s">
        <v>3245</v>
      </c>
      <c r="R838" s="3" t="s">
        <v>5574</v>
      </c>
      <c r="S838" s="15">
        <v>107</v>
      </c>
    </row>
    <row r="839" spans="1:20" x14ac:dyDescent="0.25">
      <c r="A839" s="4" t="s">
        <v>5575</v>
      </c>
      <c r="B839" s="4" t="s">
        <v>5557</v>
      </c>
      <c r="C839" s="4" t="s">
        <v>5576</v>
      </c>
      <c r="D839" s="3" t="str">
        <f t="shared" si="78"/>
        <v>PPA</v>
      </c>
      <c r="E839" s="3" t="str">
        <f t="shared" si="79"/>
        <v>J</v>
      </c>
      <c r="F839" s="3" t="str">
        <f t="shared" si="80"/>
        <v>012</v>
      </c>
      <c r="G839" s="3" t="str">
        <f t="shared" si="81"/>
        <v>EX</v>
      </c>
      <c r="H839" s="3" t="str">
        <f t="shared" si="82"/>
        <v>006</v>
      </c>
      <c r="I839" s="3" t="str">
        <f t="shared" si="83"/>
        <v>00</v>
      </c>
      <c r="L839" s="3" t="s">
        <v>3309</v>
      </c>
      <c r="R839" s="3" t="s">
        <v>5577</v>
      </c>
      <c r="S839" s="15" t="s">
        <v>3247</v>
      </c>
    </row>
    <row r="840" spans="1:20" x14ac:dyDescent="0.25">
      <c r="A840" s="4" t="s">
        <v>5578</v>
      </c>
      <c r="B840" s="4" t="s">
        <v>5557</v>
      </c>
      <c r="C840" s="4" t="s">
        <v>5579</v>
      </c>
      <c r="D840" s="3" t="str">
        <f t="shared" si="78"/>
        <v>PPA</v>
      </c>
      <c r="E840" s="3" t="str">
        <f t="shared" si="79"/>
        <v>K</v>
      </c>
      <c r="F840" s="3" t="str">
        <f t="shared" si="80"/>
        <v>014</v>
      </c>
      <c r="G840" s="3" t="str">
        <f t="shared" si="81"/>
        <v>PA</v>
      </c>
      <c r="H840" s="3" t="str">
        <f t="shared" si="82"/>
        <v>000</v>
      </c>
      <c r="I840" s="3" t="str">
        <f t="shared" si="83"/>
        <v>00</v>
      </c>
      <c r="L840" s="3" t="s">
        <v>3309</v>
      </c>
      <c r="R840" s="3" t="s">
        <v>5580</v>
      </c>
      <c r="S840" s="15" t="s">
        <v>3247</v>
      </c>
    </row>
    <row r="841" spans="1:20" ht="30" x14ac:dyDescent="0.25">
      <c r="A841" s="4" t="s">
        <v>5581</v>
      </c>
      <c r="B841" s="4" t="s">
        <v>5557</v>
      </c>
      <c r="C841" s="4" t="s">
        <v>5582</v>
      </c>
      <c r="D841" s="3" t="str">
        <f t="shared" si="78"/>
        <v>PPA</v>
      </c>
      <c r="E841" s="3" t="str">
        <f t="shared" si="79"/>
        <v>G</v>
      </c>
      <c r="F841" s="3" t="str">
        <f t="shared" si="80"/>
        <v>301</v>
      </c>
      <c r="G841" s="3" t="str">
        <f t="shared" si="81"/>
        <v>SE</v>
      </c>
      <c r="H841" s="3" t="str">
        <f t="shared" si="82"/>
        <v>007</v>
      </c>
      <c r="I841" s="3" t="str">
        <f t="shared" si="83"/>
        <v>00</v>
      </c>
      <c r="L841" s="3" t="s">
        <v>3309</v>
      </c>
      <c r="R841" s="3" t="s">
        <v>5583</v>
      </c>
      <c r="S841" s="15" t="s">
        <v>3247</v>
      </c>
    </row>
    <row r="842" spans="1:20" ht="30" x14ac:dyDescent="0.25">
      <c r="A842" s="4" t="s">
        <v>5584</v>
      </c>
      <c r="B842" s="4" t="s">
        <v>5557</v>
      </c>
      <c r="C842" s="4" t="s">
        <v>5585</v>
      </c>
      <c r="D842" s="3" t="str">
        <f t="shared" si="78"/>
        <v>PPA</v>
      </c>
      <c r="E842" s="3" t="str">
        <f t="shared" si="79"/>
        <v>J</v>
      </c>
      <c r="F842" s="3" t="str">
        <f t="shared" si="80"/>
        <v>011</v>
      </c>
      <c r="G842" s="3" t="str">
        <f t="shared" si="81"/>
        <v>EX</v>
      </c>
      <c r="H842" s="3" t="str">
        <f t="shared" si="82"/>
        <v>005</v>
      </c>
      <c r="I842" s="3" t="str">
        <f t="shared" si="83"/>
        <v>00</v>
      </c>
      <c r="L842" s="3" t="s">
        <v>3309</v>
      </c>
      <c r="R842" s="3" t="s">
        <v>5586</v>
      </c>
      <c r="S842" s="15">
        <v>3</v>
      </c>
      <c r="T842" s="14"/>
    </row>
    <row r="843" spans="1:20" x14ac:dyDescent="0.25">
      <c r="A843" s="4" t="s">
        <v>5587</v>
      </c>
      <c r="B843" s="4" t="s">
        <v>5557</v>
      </c>
      <c r="C843" s="4" t="s">
        <v>601</v>
      </c>
      <c r="D843" s="3" t="str">
        <f t="shared" si="78"/>
        <v>PPA</v>
      </c>
      <c r="E843" s="3" t="str">
        <f t="shared" si="79"/>
        <v>L</v>
      </c>
      <c r="F843" s="3" t="str">
        <f t="shared" si="80"/>
        <v>001</v>
      </c>
      <c r="G843" s="3" t="str">
        <f t="shared" si="81"/>
        <v>LT</v>
      </c>
      <c r="H843" s="3" t="str">
        <f t="shared" si="82"/>
        <v>000</v>
      </c>
      <c r="I843" s="3" t="str">
        <f t="shared" si="83"/>
        <v>00</v>
      </c>
      <c r="L843" s="3" t="s">
        <v>3309</v>
      </c>
      <c r="R843" s="3" t="s">
        <v>5588</v>
      </c>
      <c r="S843" s="15" t="s">
        <v>3247</v>
      </c>
    </row>
    <row r="844" spans="1:20" x14ac:dyDescent="0.25">
      <c r="A844" s="4" t="s">
        <v>5589</v>
      </c>
      <c r="B844" s="4" t="s">
        <v>5557</v>
      </c>
      <c r="C844" s="4" t="s">
        <v>5590</v>
      </c>
      <c r="D844" s="3" t="str">
        <f t="shared" si="78"/>
        <v>PPA</v>
      </c>
      <c r="E844" s="3" t="str">
        <f t="shared" si="79"/>
        <v>M</v>
      </c>
      <c r="F844" s="3" t="str">
        <f t="shared" si="80"/>
        <v>002</v>
      </c>
      <c r="G844" s="3" t="str">
        <f t="shared" si="81"/>
        <v>LT</v>
      </c>
      <c r="H844" s="3" t="str">
        <f t="shared" si="82"/>
        <v>000</v>
      </c>
      <c r="I844" s="3" t="str">
        <f t="shared" si="83"/>
        <v>00</v>
      </c>
      <c r="L844" s="3" t="s">
        <v>3309</v>
      </c>
      <c r="R844" s="3" t="s">
        <v>5591</v>
      </c>
      <c r="S844" s="15" t="s">
        <v>3247</v>
      </c>
    </row>
    <row r="845" spans="1:20" x14ac:dyDescent="0.25">
      <c r="A845" s="4" t="s">
        <v>5592</v>
      </c>
      <c r="B845" s="4" t="s">
        <v>5557</v>
      </c>
      <c r="C845" s="4" t="s">
        <v>5593</v>
      </c>
      <c r="D845" s="3" t="str">
        <f t="shared" si="78"/>
        <v>PPA</v>
      </c>
      <c r="E845" s="3" t="str">
        <f t="shared" si="79"/>
        <v>M</v>
      </c>
      <c r="F845" s="3" t="str">
        <f t="shared" si="80"/>
        <v>001</v>
      </c>
      <c r="G845" s="3" t="str">
        <f t="shared" si="81"/>
        <v>LT</v>
      </c>
      <c r="H845" s="3" t="str">
        <f t="shared" si="82"/>
        <v>000</v>
      </c>
      <c r="I845" s="3" t="str">
        <f t="shared" si="83"/>
        <v>00</v>
      </c>
      <c r="L845" s="3" t="s">
        <v>3309</v>
      </c>
      <c r="R845" s="3" t="s">
        <v>5594</v>
      </c>
      <c r="S845" s="15" t="s">
        <v>3247</v>
      </c>
    </row>
    <row r="846" spans="1:20" x14ac:dyDescent="0.25">
      <c r="A846" s="4" t="s">
        <v>5595</v>
      </c>
      <c r="B846" s="4" t="s">
        <v>5557</v>
      </c>
      <c r="C846" s="4" t="s">
        <v>5596</v>
      </c>
      <c r="D846" s="3" t="str">
        <f t="shared" si="78"/>
        <v>PPA</v>
      </c>
      <c r="E846" s="3" t="str">
        <f t="shared" si="79"/>
        <v>N</v>
      </c>
      <c r="F846" s="3" t="str">
        <f t="shared" si="80"/>
        <v>001</v>
      </c>
      <c r="G846" s="3" t="str">
        <f t="shared" si="81"/>
        <v>LO</v>
      </c>
      <c r="H846" s="3" t="str">
        <f t="shared" si="82"/>
        <v>000</v>
      </c>
      <c r="I846" s="3" t="str">
        <f t="shared" si="83"/>
        <v>00</v>
      </c>
      <c r="L846" s="3" t="s">
        <v>3309</v>
      </c>
      <c r="R846" s="3" t="s">
        <v>5597</v>
      </c>
      <c r="S846" s="15" t="s">
        <v>3247</v>
      </c>
    </row>
    <row r="847" spans="1:20" x14ac:dyDescent="0.25">
      <c r="A847" s="4" t="s">
        <v>5598</v>
      </c>
      <c r="B847" s="4" t="s">
        <v>5557</v>
      </c>
      <c r="C847" s="4" t="s">
        <v>5599</v>
      </c>
      <c r="D847" s="3" t="str">
        <f t="shared" si="78"/>
        <v>PPA</v>
      </c>
      <c r="E847" s="3" t="str">
        <f t="shared" si="79"/>
        <v>J</v>
      </c>
      <c r="F847" s="3" t="str">
        <f t="shared" si="80"/>
        <v>014</v>
      </c>
      <c r="G847" s="3" t="str">
        <f t="shared" si="81"/>
        <v>ST</v>
      </c>
      <c r="H847" s="3" t="str">
        <f t="shared" si="82"/>
        <v>000</v>
      </c>
      <c r="I847" s="3" t="str">
        <f t="shared" si="83"/>
        <v>00</v>
      </c>
      <c r="L847" s="3" t="s">
        <v>3309</v>
      </c>
      <c r="R847" s="3" t="s">
        <v>5600</v>
      </c>
      <c r="S847" s="15" t="s">
        <v>3247</v>
      </c>
    </row>
    <row r="848" spans="1:20" x14ac:dyDescent="0.25">
      <c r="A848" s="4" t="s">
        <v>5601</v>
      </c>
      <c r="B848" s="4" t="s">
        <v>5557</v>
      </c>
      <c r="C848" s="4" t="s">
        <v>5602</v>
      </c>
      <c r="D848" s="3" t="str">
        <f t="shared" si="78"/>
        <v>PPA</v>
      </c>
      <c r="E848" s="3" t="str">
        <f t="shared" si="79"/>
        <v>O</v>
      </c>
      <c r="F848" s="3" t="str">
        <f t="shared" si="80"/>
        <v>007</v>
      </c>
      <c r="G848" s="3" t="str">
        <f t="shared" si="81"/>
        <v>CG</v>
      </c>
      <c r="H848" s="3" t="str">
        <f t="shared" si="82"/>
        <v>010</v>
      </c>
      <c r="I848" s="3" t="str">
        <f t="shared" si="83"/>
        <v>00</v>
      </c>
      <c r="L848" s="3" t="s">
        <v>3245</v>
      </c>
      <c r="R848" s="3" t="s">
        <v>5603</v>
      </c>
      <c r="S848" s="15" t="s">
        <v>3247</v>
      </c>
    </row>
    <row r="849" spans="1:19" x14ac:dyDescent="0.25">
      <c r="A849" s="4" t="s">
        <v>5604</v>
      </c>
      <c r="B849" s="4" t="s">
        <v>5557</v>
      </c>
      <c r="C849" s="4" t="s">
        <v>5605</v>
      </c>
      <c r="D849" s="3" t="str">
        <f t="shared" si="78"/>
        <v>PPA</v>
      </c>
      <c r="E849" s="3" t="str">
        <f t="shared" si="79"/>
        <v>O</v>
      </c>
      <c r="F849" s="3" t="str">
        <f t="shared" si="80"/>
        <v>008</v>
      </c>
      <c r="G849" s="3" t="str">
        <f t="shared" si="81"/>
        <v>CG</v>
      </c>
      <c r="H849" s="3" t="str">
        <f t="shared" si="82"/>
        <v>011</v>
      </c>
      <c r="I849" s="3" t="str">
        <f t="shared" si="83"/>
        <v>00</v>
      </c>
      <c r="L849" s="3" t="s">
        <v>3309</v>
      </c>
      <c r="R849" s="3" t="s">
        <v>5606</v>
      </c>
      <c r="S849" s="15" t="s">
        <v>3247</v>
      </c>
    </row>
    <row r="850" spans="1:19" x14ac:dyDescent="0.25">
      <c r="A850" s="4" t="s">
        <v>5607</v>
      </c>
      <c r="B850" s="4" t="s">
        <v>5557</v>
      </c>
      <c r="C850" s="4" t="s">
        <v>5608</v>
      </c>
      <c r="D850" s="3" t="str">
        <f t="shared" si="78"/>
        <v>PPA</v>
      </c>
      <c r="E850" s="3" t="str">
        <f t="shared" si="79"/>
        <v>P</v>
      </c>
      <c r="F850" s="3" t="str">
        <f t="shared" si="80"/>
        <v>000</v>
      </c>
      <c r="G850" s="3" t="str">
        <f t="shared" si="81"/>
        <v>ST</v>
      </c>
      <c r="H850" s="3" t="str">
        <f t="shared" si="82"/>
        <v>000</v>
      </c>
      <c r="I850" s="3" t="str">
        <f t="shared" si="83"/>
        <v>00</v>
      </c>
      <c r="L850" s="3" t="s">
        <v>3309</v>
      </c>
      <c r="R850" s="3" t="s">
        <v>5609</v>
      </c>
      <c r="S850" s="15" t="s">
        <v>3247</v>
      </c>
    </row>
    <row r="851" spans="1:19" x14ac:dyDescent="0.25">
      <c r="A851" s="4" t="s">
        <v>5610</v>
      </c>
      <c r="B851" s="4" t="s">
        <v>5557</v>
      </c>
      <c r="C851" s="4" t="s">
        <v>5611</v>
      </c>
      <c r="D851" s="3" t="str">
        <f t="shared" si="78"/>
        <v>PPA</v>
      </c>
      <c r="E851" s="3" t="str">
        <f t="shared" si="79"/>
        <v>E</v>
      </c>
      <c r="F851" s="3" t="str">
        <f t="shared" si="80"/>
        <v>005</v>
      </c>
      <c r="G851" s="3" t="str">
        <f t="shared" si="81"/>
        <v>OM</v>
      </c>
      <c r="H851" s="3" t="str">
        <f t="shared" si="82"/>
        <v>000</v>
      </c>
      <c r="I851" s="3" t="str">
        <f t="shared" si="83"/>
        <v>00</v>
      </c>
      <c r="L851" s="3" t="s">
        <v>3309</v>
      </c>
      <c r="R851" s="3" t="s">
        <v>5612</v>
      </c>
      <c r="S851" s="15" t="s">
        <v>3247</v>
      </c>
    </row>
    <row r="852" spans="1:19" x14ac:dyDescent="0.25">
      <c r="A852" s="4" t="s">
        <v>5613</v>
      </c>
      <c r="B852" s="4" t="s">
        <v>5557</v>
      </c>
      <c r="C852" s="4" t="s">
        <v>5614</v>
      </c>
      <c r="D852" s="3" t="str">
        <f t="shared" si="78"/>
        <v>PPA</v>
      </c>
      <c r="E852" s="3" t="str">
        <f t="shared" si="79"/>
        <v>O</v>
      </c>
      <c r="F852" s="3" t="str">
        <f t="shared" si="80"/>
        <v>009</v>
      </c>
      <c r="G852" s="3" t="str">
        <f t="shared" si="81"/>
        <v>CI</v>
      </c>
      <c r="H852" s="3" t="str">
        <f t="shared" si="82"/>
        <v>013</v>
      </c>
      <c r="I852" s="3" t="str">
        <f t="shared" si="83"/>
        <v>00</v>
      </c>
      <c r="L852" s="3" t="s">
        <v>3309</v>
      </c>
      <c r="R852" s="3" t="s">
        <v>5615</v>
      </c>
      <c r="S852" s="15" t="s">
        <v>3247</v>
      </c>
    </row>
    <row r="853" spans="1:19" x14ac:dyDescent="0.25">
      <c r="A853" s="4" t="s">
        <v>5616</v>
      </c>
      <c r="B853" s="4" t="s">
        <v>5557</v>
      </c>
      <c r="C853" s="4" t="s">
        <v>5617</v>
      </c>
      <c r="D853" s="3" t="str">
        <f t="shared" si="78"/>
        <v>PPA</v>
      </c>
      <c r="E853" s="3" t="str">
        <f t="shared" si="79"/>
        <v>O</v>
      </c>
      <c r="F853" s="3" t="str">
        <f t="shared" si="80"/>
        <v>010</v>
      </c>
      <c r="G853" s="3" t="str">
        <f t="shared" si="81"/>
        <v>CI</v>
      </c>
      <c r="H853" s="3" t="str">
        <f t="shared" si="82"/>
        <v>014</v>
      </c>
      <c r="I853" s="3" t="str">
        <f t="shared" si="83"/>
        <v>00</v>
      </c>
      <c r="L853" s="3" t="s">
        <v>3309</v>
      </c>
      <c r="R853" s="3" t="s">
        <v>5618</v>
      </c>
      <c r="S853" s="15" t="s">
        <v>3247</v>
      </c>
    </row>
    <row r="854" spans="1:19" x14ac:dyDescent="0.25">
      <c r="A854" s="4" t="s">
        <v>5619</v>
      </c>
      <c r="B854" s="4" t="s">
        <v>5557</v>
      </c>
      <c r="C854" s="4" t="s">
        <v>603</v>
      </c>
      <c r="D854" s="3" t="str">
        <f t="shared" si="78"/>
        <v>PPA</v>
      </c>
      <c r="E854" s="3" t="str">
        <f t="shared" si="79"/>
        <v>0</v>
      </c>
      <c r="F854" s="3" t="str">
        <f t="shared" si="80"/>
        <v>03S</v>
      </c>
      <c r="G854" s="3" t="str">
        <f t="shared" si="81"/>
        <v>C0</v>
      </c>
      <c r="H854" s="3" t="str">
        <f t="shared" si="82"/>
        <v>150</v>
      </c>
      <c r="I854" s="3" t="str">
        <f t="shared" si="83"/>
        <v>0</v>
      </c>
      <c r="L854" s="3" t="s">
        <v>3309</v>
      </c>
      <c r="R854" s="3" t="s">
        <v>5620</v>
      </c>
      <c r="S854" s="15" t="s">
        <v>3247</v>
      </c>
    </row>
    <row r="855" spans="1:19" x14ac:dyDescent="0.25">
      <c r="A855" s="4" t="s">
        <v>5621</v>
      </c>
      <c r="B855" s="4" t="s">
        <v>5557</v>
      </c>
      <c r="C855" s="4" t="s">
        <v>604</v>
      </c>
      <c r="D855" s="3" t="str">
        <f t="shared" si="78"/>
        <v>PPA</v>
      </c>
      <c r="E855" s="3" t="str">
        <f t="shared" si="79"/>
        <v>0</v>
      </c>
      <c r="F855" s="3" t="str">
        <f t="shared" si="80"/>
        <v>04S</v>
      </c>
      <c r="G855" s="3" t="str">
        <f t="shared" si="81"/>
        <v>C0</v>
      </c>
      <c r="H855" s="3" t="str">
        <f t="shared" si="82"/>
        <v>150</v>
      </c>
      <c r="I855" s="3" t="str">
        <f t="shared" si="83"/>
        <v>0</v>
      </c>
      <c r="L855" s="3" t="s">
        <v>3309</v>
      </c>
      <c r="R855" s="3" t="s">
        <v>5622</v>
      </c>
      <c r="S855" s="15" t="s">
        <v>3247</v>
      </c>
    </row>
    <row r="856" spans="1:19" x14ac:dyDescent="0.25">
      <c r="A856" s="4" t="s">
        <v>5623</v>
      </c>
      <c r="B856" s="4" t="s">
        <v>5557</v>
      </c>
      <c r="C856" s="4" t="s">
        <v>605</v>
      </c>
      <c r="D856" s="3" t="str">
        <f t="shared" si="78"/>
        <v>PPA</v>
      </c>
      <c r="E856" s="3" t="str">
        <f t="shared" si="79"/>
        <v>0</v>
      </c>
      <c r="F856" s="3" t="str">
        <f t="shared" si="80"/>
        <v>05S</v>
      </c>
      <c r="G856" s="3" t="str">
        <f t="shared" si="81"/>
        <v>C0</v>
      </c>
      <c r="H856" s="3" t="str">
        <f t="shared" si="82"/>
        <v>150</v>
      </c>
      <c r="I856" s="3" t="str">
        <f t="shared" si="83"/>
        <v>0</v>
      </c>
      <c r="L856" s="3" t="s">
        <v>3309</v>
      </c>
      <c r="R856" s="3" t="s">
        <v>5624</v>
      </c>
      <c r="S856" s="15" t="s">
        <v>3247</v>
      </c>
    </row>
    <row r="857" spans="1:19" x14ac:dyDescent="0.25">
      <c r="A857" s="4" t="s">
        <v>5625</v>
      </c>
      <c r="B857" s="4" t="s">
        <v>5557</v>
      </c>
      <c r="C857" s="4" t="s">
        <v>606</v>
      </c>
      <c r="D857" s="3" t="str">
        <f t="shared" si="78"/>
        <v>PPA</v>
      </c>
      <c r="E857" s="3" t="str">
        <f t="shared" si="79"/>
        <v>0</v>
      </c>
      <c r="F857" s="3" t="str">
        <f t="shared" si="80"/>
        <v>06S</v>
      </c>
      <c r="G857" s="3" t="str">
        <f t="shared" si="81"/>
        <v>C0</v>
      </c>
      <c r="H857" s="3" t="str">
        <f t="shared" si="82"/>
        <v>150</v>
      </c>
      <c r="I857" s="3" t="str">
        <f t="shared" si="83"/>
        <v>0</v>
      </c>
      <c r="L857" s="3" t="s">
        <v>3309</v>
      </c>
      <c r="R857" s="3" t="s">
        <v>5626</v>
      </c>
      <c r="S857" s="15" t="s">
        <v>3247</v>
      </c>
    </row>
    <row r="858" spans="1:19" x14ac:dyDescent="0.25">
      <c r="A858" s="4" t="s">
        <v>5627</v>
      </c>
      <c r="B858" s="4" t="s">
        <v>5557</v>
      </c>
      <c r="C858" s="4" t="s">
        <v>607</v>
      </c>
      <c r="D858" s="3" t="str">
        <f t="shared" si="78"/>
        <v>PPA</v>
      </c>
      <c r="E858" s="3" t="str">
        <f t="shared" si="79"/>
        <v>0</v>
      </c>
      <c r="F858" s="3" t="str">
        <f t="shared" si="80"/>
        <v>07S</v>
      </c>
      <c r="G858" s="3" t="str">
        <f t="shared" si="81"/>
        <v>C0</v>
      </c>
      <c r="H858" s="3" t="str">
        <f t="shared" si="82"/>
        <v>150</v>
      </c>
      <c r="I858" s="3" t="str">
        <f t="shared" si="83"/>
        <v>0</v>
      </c>
      <c r="L858" s="3" t="s">
        <v>3309</v>
      </c>
      <c r="R858" s="3" t="s">
        <v>5628</v>
      </c>
      <c r="S858" s="15" t="s">
        <v>3247</v>
      </c>
    </row>
    <row r="859" spans="1:19" x14ac:dyDescent="0.25">
      <c r="A859" s="4" t="s">
        <v>5629</v>
      </c>
      <c r="B859" s="4" t="s">
        <v>5557</v>
      </c>
      <c r="C859" s="4" t="s">
        <v>5630</v>
      </c>
      <c r="D859" s="3" t="str">
        <f t="shared" si="78"/>
        <v>PPA</v>
      </c>
      <c r="E859" s="3" t="str">
        <f t="shared" si="79"/>
        <v>O</v>
      </c>
      <c r="F859" s="3" t="str">
        <f t="shared" si="80"/>
        <v>001</v>
      </c>
      <c r="G859" s="3" t="str">
        <f t="shared" si="81"/>
        <v>CG</v>
      </c>
      <c r="H859" s="3" t="str">
        <f t="shared" si="82"/>
        <v>016</v>
      </c>
      <c r="I859" s="3" t="str">
        <f t="shared" si="83"/>
        <v>00</v>
      </c>
      <c r="L859" s="3" t="s">
        <v>3309</v>
      </c>
      <c r="R859" s="3" t="s">
        <v>5631</v>
      </c>
      <c r="S859" s="15" t="s">
        <v>3247</v>
      </c>
    </row>
    <row r="860" spans="1:19" x14ac:dyDescent="0.25">
      <c r="A860" s="4" t="s">
        <v>5632</v>
      </c>
      <c r="B860" s="4" t="s">
        <v>5557</v>
      </c>
      <c r="C860" s="4" t="s">
        <v>5633</v>
      </c>
      <c r="D860" s="3" t="str">
        <f t="shared" si="78"/>
        <v>PPA</v>
      </c>
      <c r="E860" s="3" t="str">
        <f t="shared" si="79"/>
        <v>O</v>
      </c>
      <c r="F860" s="3" t="str">
        <f t="shared" si="80"/>
        <v>002</v>
      </c>
      <c r="G860" s="3" t="str">
        <f t="shared" si="81"/>
        <v>CG</v>
      </c>
      <c r="H860" s="3" t="str">
        <f t="shared" si="82"/>
        <v>017</v>
      </c>
      <c r="I860" s="3" t="str">
        <f t="shared" si="83"/>
        <v>00</v>
      </c>
      <c r="L860" s="3" t="s">
        <v>3309</v>
      </c>
      <c r="R860" s="3" t="s">
        <v>5634</v>
      </c>
      <c r="S860" s="15" t="s">
        <v>3247</v>
      </c>
    </row>
    <row r="861" spans="1:19" ht="30" x14ac:dyDescent="0.25">
      <c r="A861" s="4" t="s">
        <v>5635</v>
      </c>
      <c r="B861" s="4" t="s">
        <v>5557</v>
      </c>
      <c r="C861" s="4" t="s">
        <v>5636</v>
      </c>
      <c r="D861" s="3" t="str">
        <f t="shared" si="78"/>
        <v>PPA</v>
      </c>
      <c r="E861" s="3" t="str">
        <f t="shared" si="79"/>
        <v>B</v>
      </c>
      <c r="F861" s="3" t="str">
        <f t="shared" si="80"/>
        <v>001</v>
      </c>
      <c r="G861" s="3" t="str">
        <f t="shared" si="81"/>
        <v>MW</v>
      </c>
      <c r="H861" s="3" t="str">
        <f t="shared" si="82"/>
        <v>018</v>
      </c>
      <c r="I861" s="3" t="str">
        <f t="shared" si="83"/>
        <v>00</v>
      </c>
      <c r="L861" s="3" t="s">
        <v>3309</v>
      </c>
      <c r="R861" s="3" t="s">
        <v>5637</v>
      </c>
      <c r="S861" s="15" t="s">
        <v>3247</v>
      </c>
    </row>
    <row r="862" spans="1:19" x14ac:dyDescent="0.25">
      <c r="A862" s="4" t="s">
        <v>5638</v>
      </c>
      <c r="B862" s="4" t="s">
        <v>5557</v>
      </c>
      <c r="C862" s="4" t="s">
        <v>608</v>
      </c>
      <c r="D862" s="3" t="str">
        <f t="shared" si="78"/>
        <v>PPA</v>
      </c>
      <c r="E862" s="3" t="str">
        <f t="shared" si="79"/>
        <v>L</v>
      </c>
      <c r="F862" s="3" t="str">
        <f t="shared" si="80"/>
        <v>008</v>
      </c>
      <c r="G862" s="3" t="str">
        <f t="shared" si="81"/>
        <v>WO</v>
      </c>
      <c r="H862" s="3" t="str">
        <f t="shared" si="82"/>
        <v>019</v>
      </c>
      <c r="I862" s="3" t="str">
        <f t="shared" si="83"/>
        <v>00</v>
      </c>
      <c r="L862" s="3" t="s">
        <v>3309</v>
      </c>
      <c r="R862" s="3" t="s">
        <v>5639</v>
      </c>
      <c r="S862" s="15" t="s">
        <v>3247</v>
      </c>
    </row>
    <row r="863" spans="1:19" x14ac:dyDescent="0.25">
      <c r="A863" s="4" t="s">
        <v>5640</v>
      </c>
      <c r="B863" s="4" t="s">
        <v>5557</v>
      </c>
      <c r="C863" s="4" t="s">
        <v>5641</v>
      </c>
      <c r="D863" s="3" t="str">
        <f t="shared" si="78"/>
        <v>PPA</v>
      </c>
      <c r="E863" s="3" t="str">
        <f t="shared" si="79"/>
        <v>L</v>
      </c>
      <c r="F863" s="3" t="str">
        <f t="shared" si="80"/>
        <v>009</v>
      </c>
      <c r="G863" s="3" t="str">
        <f t="shared" si="81"/>
        <v>CH</v>
      </c>
      <c r="H863" s="3" t="str">
        <f t="shared" si="82"/>
        <v>020</v>
      </c>
      <c r="I863" s="3" t="str">
        <f t="shared" si="83"/>
        <v>00</v>
      </c>
      <c r="L863" s="3" t="s">
        <v>3309</v>
      </c>
      <c r="R863" s="3" t="s">
        <v>5642</v>
      </c>
      <c r="S863" s="15">
        <v>200</v>
      </c>
    </row>
    <row r="864" spans="1:19" x14ac:dyDescent="0.25">
      <c r="A864" s="4" t="s">
        <v>5643</v>
      </c>
      <c r="B864" s="4" t="s">
        <v>5557</v>
      </c>
      <c r="C864" s="4" t="s">
        <v>5644</v>
      </c>
      <c r="D864" s="3" t="str">
        <f t="shared" si="78"/>
        <v>PPA</v>
      </c>
      <c r="E864" s="3" t="str">
        <f t="shared" si="79"/>
        <v>S</v>
      </c>
      <c r="F864" s="3" t="str">
        <f t="shared" si="80"/>
        <v>001</v>
      </c>
      <c r="G864" s="3" t="str">
        <f t="shared" si="81"/>
        <v>ST</v>
      </c>
      <c r="H864" s="3" t="str">
        <f t="shared" si="82"/>
        <v>000</v>
      </c>
      <c r="I864" s="3" t="str">
        <f t="shared" si="83"/>
        <v>00</v>
      </c>
      <c r="L864" s="3" t="s">
        <v>3309</v>
      </c>
      <c r="R864" s="3" t="s">
        <v>5645</v>
      </c>
      <c r="S864" s="15" t="s">
        <v>3247</v>
      </c>
    </row>
    <row r="865" spans="1:19" x14ac:dyDescent="0.25">
      <c r="A865" s="4" t="s">
        <v>5646</v>
      </c>
      <c r="B865" s="4" t="s">
        <v>5557</v>
      </c>
      <c r="C865" s="4" t="s">
        <v>5647</v>
      </c>
      <c r="D865" s="3" t="str">
        <f t="shared" si="78"/>
        <v>PPA</v>
      </c>
      <c r="E865" s="3" t="str">
        <f t="shared" si="79"/>
        <v>A</v>
      </c>
      <c r="F865" s="3" t="str">
        <f t="shared" si="80"/>
        <v>003</v>
      </c>
      <c r="G865" s="3" t="str">
        <f t="shared" si="81"/>
        <v>CC</v>
      </c>
      <c r="H865" s="3" t="str">
        <f t="shared" si="82"/>
        <v>000</v>
      </c>
      <c r="I865" s="3" t="str">
        <f t="shared" si="83"/>
        <v>00</v>
      </c>
      <c r="L865" s="3" t="s">
        <v>3309</v>
      </c>
      <c r="R865" s="3" t="s">
        <v>5648</v>
      </c>
      <c r="S865" s="15">
        <v>287</v>
      </c>
    </row>
    <row r="866" spans="1:19" x14ac:dyDescent="0.25">
      <c r="A866" s="4" t="s">
        <v>5649</v>
      </c>
      <c r="B866" s="4" t="s">
        <v>5557</v>
      </c>
      <c r="C866" s="4" t="s">
        <v>5650</v>
      </c>
      <c r="D866" s="3" t="str">
        <f t="shared" si="78"/>
        <v>PPA</v>
      </c>
      <c r="E866" s="3" t="str">
        <f t="shared" si="79"/>
        <v>A</v>
      </c>
      <c r="F866" s="3" t="str">
        <f t="shared" si="80"/>
        <v>003</v>
      </c>
      <c r="G866" s="3" t="str">
        <f t="shared" si="81"/>
        <v>AC</v>
      </c>
      <c r="H866" s="3" t="str">
        <f t="shared" si="82"/>
        <v>000</v>
      </c>
      <c r="I866" s="3" t="str">
        <f t="shared" si="83"/>
        <v>00</v>
      </c>
      <c r="L866" s="3" t="s">
        <v>3309</v>
      </c>
      <c r="R866" s="3" t="s">
        <v>5651</v>
      </c>
      <c r="S866" s="15" t="s">
        <v>3247</v>
      </c>
    </row>
    <row r="867" spans="1:19" x14ac:dyDescent="0.25">
      <c r="A867" s="4" t="s">
        <v>5652</v>
      </c>
      <c r="B867" s="4" t="s">
        <v>5557</v>
      </c>
      <c r="C867" s="4" t="s">
        <v>611</v>
      </c>
      <c r="D867" s="3" t="str">
        <f t="shared" si="78"/>
        <v>PPA</v>
      </c>
      <c r="E867" s="3" t="str">
        <f t="shared" si="79"/>
        <v>L</v>
      </c>
      <c r="F867" s="3" t="str">
        <f t="shared" si="80"/>
        <v>010</v>
      </c>
      <c r="G867" s="3" t="str">
        <f t="shared" si="81"/>
        <v>CH</v>
      </c>
      <c r="H867" s="3" t="str">
        <f t="shared" si="82"/>
        <v>020</v>
      </c>
      <c r="I867" s="3" t="str">
        <f t="shared" si="83"/>
        <v>00</v>
      </c>
      <c r="L867" s="3" t="s">
        <v>3309</v>
      </c>
      <c r="R867" s="3" t="s">
        <v>5653</v>
      </c>
      <c r="S867" s="15" t="s">
        <v>3247</v>
      </c>
    </row>
    <row r="868" spans="1:19" x14ac:dyDescent="0.25">
      <c r="A868" s="4" t="s">
        <v>5654</v>
      </c>
      <c r="B868" s="4" t="s">
        <v>5557</v>
      </c>
      <c r="C868" s="4" t="s">
        <v>5655</v>
      </c>
      <c r="D868" s="3" t="str">
        <f t="shared" si="78"/>
        <v>PPA</v>
      </c>
      <c r="E868" s="3" t="str">
        <f t="shared" si="79"/>
        <v>B</v>
      </c>
      <c r="F868" s="3" t="str">
        <f t="shared" si="80"/>
        <v>002</v>
      </c>
      <c r="G868" s="3" t="str">
        <f t="shared" si="81"/>
        <v>SC</v>
      </c>
      <c r="H868" s="3" t="str">
        <f t="shared" si="82"/>
        <v>021</v>
      </c>
      <c r="I868" s="3" t="str">
        <f t="shared" si="83"/>
        <v>00</v>
      </c>
      <c r="L868" s="3" t="s">
        <v>3309</v>
      </c>
      <c r="R868" s="3" t="s">
        <v>5656</v>
      </c>
      <c r="S868" s="15" t="s">
        <v>3247</v>
      </c>
    </row>
    <row r="869" spans="1:19" x14ac:dyDescent="0.25">
      <c r="A869" s="4" t="s">
        <v>5657</v>
      </c>
      <c r="B869" s="4" t="s">
        <v>5557</v>
      </c>
      <c r="C869" s="4" t="s">
        <v>592</v>
      </c>
      <c r="D869" s="3" t="str">
        <f t="shared" si="78"/>
        <v>PPA</v>
      </c>
      <c r="E869" s="3" t="str">
        <f t="shared" si="79"/>
        <v>I</v>
      </c>
      <c r="F869" s="3" t="str">
        <f t="shared" si="80"/>
        <v>011</v>
      </c>
      <c r="G869" s="3" t="str">
        <f t="shared" si="81"/>
        <v>ST</v>
      </c>
      <c r="H869" s="3" t="str">
        <f t="shared" si="82"/>
        <v>022</v>
      </c>
      <c r="I869" s="3" t="str">
        <f t="shared" si="83"/>
        <v>00</v>
      </c>
      <c r="L869" s="3" t="s">
        <v>3309</v>
      </c>
      <c r="R869" s="3" t="s">
        <v>5658</v>
      </c>
      <c r="S869" s="15" t="s">
        <v>3247</v>
      </c>
    </row>
    <row r="870" spans="1:19" x14ac:dyDescent="0.25">
      <c r="A870" s="4" t="s">
        <v>5659</v>
      </c>
      <c r="B870" s="4" t="s">
        <v>5557</v>
      </c>
      <c r="C870" s="4" t="s">
        <v>5660</v>
      </c>
      <c r="D870" s="3" t="str">
        <f t="shared" si="78"/>
        <v>PPA</v>
      </c>
      <c r="E870" s="3" t="str">
        <f t="shared" si="79"/>
        <v>L</v>
      </c>
      <c r="F870" s="3" t="str">
        <f t="shared" si="80"/>
        <v>011</v>
      </c>
      <c r="G870" s="3" t="str">
        <f t="shared" si="81"/>
        <v>LT</v>
      </c>
      <c r="H870" s="3" t="str">
        <f t="shared" si="82"/>
        <v>000</v>
      </c>
      <c r="I870" s="3" t="str">
        <f t="shared" si="83"/>
        <v>00</v>
      </c>
      <c r="L870" s="3" t="s">
        <v>3309</v>
      </c>
      <c r="R870" s="3" t="s">
        <v>5661</v>
      </c>
      <c r="S870" s="15" t="s">
        <v>3247</v>
      </c>
    </row>
    <row r="871" spans="1:19" x14ac:dyDescent="0.25">
      <c r="A871" s="4" t="s">
        <v>5662</v>
      </c>
      <c r="B871" s="4" t="s">
        <v>5557</v>
      </c>
      <c r="C871" s="4" t="s">
        <v>5663</v>
      </c>
      <c r="D871" s="3" t="str">
        <f t="shared" si="78"/>
        <v>PPA</v>
      </c>
      <c r="E871" s="3" t="str">
        <f t="shared" si="79"/>
        <v>O</v>
      </c>
      <c r="F871" s="3" t="str">
        <f t="shared" si="80"/>
        <v>009</v>
      </c>
      <c r="G871" s="3" t="str">
        <f t="shared" si="81"/>
        <v>NA</v>
      </c>
      <c r="H871" s="3" t="str">
        <f t="shared" si="82"/>
        <v>000</v>
      </c>
      <c r="I871" s="3" t="str">
        <f t="shared" si="83"/>
        <v>00</v>
      </c>
      <c r="L871" s="3" t="s">
        <v>3309</v>
      </c>
      <c r="R871" s="3" t="s">
        <v>5664</v>
      </c>
      <c r="S871" s="15">
        <v>174</v>
      </c>
    </row>
    <row r="872" spans="1:19" x14ac:dyDescent="0.25">
      <c r="A872" s="4" t="s">
        <v>5665</v>
      </c>
      <c r="B872" s="4" t="s">
        <v>5557</v>
      </c>
      <c r="C872" s="4" t="s">
        <v>634</v>
      </c>
      <c r="D872" s="3" t="str">
        <f t="shared" si="78"/>
        <v>PPA</v>
      </c>
      <c r="E872" s="3" t="str">
        <f t="shared" si="79"/>
        <v>O</v>
      </c>
      <c r="F872" s="3" t="str">
        <f t="shared" si="80"/>
        <v>011</v>
      </c>
      <c r="G872" s="3" t="str">
        <f t="shared" si="81"/>
        <v>NA</v>
      </c>
      <c r="H872" s="3" t="str">
        <f t="shared" si="82"/>
        <v>000</v>
      </c>
      <c r="I872" s="3" t="str">
        <f t="shared" si="83"/>
        <v>00</v>
      </c>
      <c r="L872" s="3" t="s">
        <v>3309</v>
      </c>
      <c r="R872" s="3" t="s">
        <v>5666</v>
      </c>
      <c r="S872" s="15">
        <v>20</v>
      </c>
    </row>
    <row r="873" spans="1:19" x14ac:dyDescent="0.25">
      <c r="A873" s="4" t="s">
        <v>5667</v>
      </c>
      <c r="B873" s="4" t="s">
        <v>5557</v>
      </c>
      <c r="C873" s="4" t="s">
        <v>635</v>
      </c>
      <c r="D873" s="3" t="str">
        <f t="shared" si="78"/>
        <v>PPA</v>
      </c>
      <c r="E873" s="3" t="str">
        <f t="shared" si="79"/>
        <v>O</v>
      </c>
      <c r="F873" s="3" t="str">
        <f t="shared" si="80"/>
        <v>012</v>
      </c>
      <c r="G873" s="3" t="str">
        <f t="shared" si="81"/>
        <v>NA</v>
      </c>
      <c r="H873" s="3" t="str">
        <f t="shared" si="82"/>
        <v>000</v>
      </c>
      <c r="I873" s="3" t="str">
        <f t="shared" si="83"/>
        <v>00</v>
      </c>
      <c r="L873" s="3" t="s">
        <v>3309</v>
      </c>
      <c r="R873" s="3" t="s">
        <v>5668</v>
      </c>
      <c r="S873" s="15">
        <v>30</v>
      </c>
    </row>
    <row r="874" spans="1:19" x14ac:dyDescent="0.25">
      <c r="A874" s="4" t="s">
        <v>5669</v>
      </c>
      <c r="B874" s="4" t="s">
        <v>5557</v>
      </c>
      <c r="C874" s="4" t="s">
        <v>636</v>
      </c>
      <c r="D874" s="3" t="str">
        <f t="shared" si="78"/>
        <v>PPA</v>
      </c>
      <c r="E874" s="3" t="str">
        <f t="shared" si="79"/>
        <v>O</v>
      </c>
      <c r="F874" s="3" t="str">
        <f t="shared" si="80"/>
        <v>013</v>
      </c>
      <c r="G874" s="3" t="str">
        <f t="shared" si="81"/>
        <v>NA</v>
      </c>
      <c r="H874" s="3" t="str">
        <f t="shared" si="82"/>
        <v>000</v>
      </c>
      <c r="I874" s="3" t="str">
        <f t="shared" si="83"/>
        <v>00</v>
      </c>
      <c r="L874" s="3" t="s">
        <v>3309</v>
      </c>
      <c r="R874" s="3" t="s">
        <v>5670</v>
      </c>
      <c r="S874" s="15" t="s">
        <v>3247</v>
      </c>
    </row>
    <row r="875" spans="1:19" x14ac:dyDescent="0.25">
      <c r="A875" s="4" t="s">
        <v>5671</v>
      </c>
      <c r="B875" s="4" t="s">
        <v>5557</v>
      </c>
      <c r="C875" s="4" t="s">
        <v>637</v>
      </c>
      <c r="D875" s="3" t="str">
        <f t="shared" si="78"/>
        <v>PPA</v>
      </c>
      <c r="E875" s="3" t="str">
        <f t="shared" si="79"/>
        <v>O</v>
      </c>
      <c r="F875" s="3" t="str">
        <f t="shared" si="80"/>
        <v>014</v>
      </c>
      <c r="G875" s="3" t="str">
        <f t="shared" si="81"/>
        <v>NA</v>
      </c>
      <c r="H875" s="3" t="str">
        <f t="shared" si="82"/>
        <v>000</v>
      </c>
      <c r="I875" s="3" t="str">
        <f t="shared" si="83"/>
        <v>00</v>
      </c>
      <c r="L875" s="3" t="s">
        <v>3309</v>
      </c>
      <c r="R875" s="3" t="s">
        <v>5672</v>
      </c>
      <c r="S875" s="15">
        <v>95</v>
      </c>
    </row>
    <row r="876" spans="1:19" x14ac:dyDescent="0.25">
      <c r="A876" s="4" t="s">
        <v>5673</v>
      </c>
      <c r="B876" s="4" t="s">
        <v>5557</v>
      </c>
      <c r="C876" s="4" t="s">
        <v>638</v>
      </c>
      <c r="D876" s="3" t="str">
        <f t="shared" si="78"/>
        <v>PPA</v>
      </c>
      <c r="E876" s="3" t="str">
        <f t="shared" si="79"/>
        <v>O</v>
      </c>
      <c r="F876" s="3" t="str">
        <f t="shared" si="80"/>
        <v>015</v>
      </c>
      <c r="G876" s="3" t="str">
        <f t="shared" si="81"/>
        <v>NA</v>
      </c>
      <c r="H876" s="3" t="str">
        <f t="shared" si="82"/>
        <v>000</v>
      </c>
      <c r="I876" s="3" t="str">
        <f t="shared" si="83"/>
        <v>00</v>
      </c>
      <c r="L876" s="3" t="s">
        <v>3309</v>
      </c>
      <c r="R876" s="3" t="s">
        <v>5674</v>
      </c>
      <c r="S876" s="15" t="s">
        <v>3247</v>
      </c>
    </row>
    <row r="877" spans="1:19" x14ac:dyDescent="0.25">
      <c r="A877" s="4" t="s">
        <v>5675</v>
      </c>
      <c r="B877" s="4" t="s">
        <v>5557</v>
      </c>
      <c r="C877" s="4" t="s">
        <v>639</v>
      </c>
      <c r="D877" s="3" t="str">
        <f t="shared" si="78"/>
        <v>PPA</v>
      </c>
      <c r="E877" s="3" t="str">
        <f t="shared" si="79"/>
        <v>O</v>
      </c>
      <c r="F877" s="3" t="str">
        <f t="shared" si="80"/>
        <v>016</v>
      </c>
      <c r="G877" s="3" t="str">
        <f t="shared" si="81"/>
        <v>NA</v>
      </c>
      <c r="H877" s="3" t="str">
        <f t="shared" si="82"/>
        <v>000</v>
      </c>
      <c r="I877" s="3" t="str">
        <f t="shared" si="83"/>
        <v>00</v>
      </c>
      <c r="L877" s="3" t="s">
        <v>3309</v>
      </c>
      <c r="R877" s="3" t="s">
        <v>5676</v>
      </c>
      <c r="S877" s="15">
        <v>49</v>
      </c>
    </row>
    <row r="878" spans="1:19" x14ac:dyDescent="0.25">
      <c r="A878" s="4" t="s">
        <v>5677</v>
      </c>
      <c r="B878" s="4" t="s">
        <v>5557</v>
      </c>
      <c r="C878" s="4" t="s">
        <v>640</v>
      </c>
      <c r="D878" s="3" t="str">
        <f t="shared" si="78"/>
        <v>PPA</v>
      </c>
      <c r="E878" s="3" t="str">
        <f t="shared" si="79"/>
        <v>O</v>
      </c>
      <c r="F878" s="3" t="str">
        <f t="shared" si="80"/>
        <v>017</v>
      </c>
      <c r="G878" s="3" t="str">
        <f t="shared" si="81"/>
        <v>NA</v>
      </c>
      <c r="H878" s="3" t="str">
        <f t="shared" si="82"/>
        <v>000</v>
      </c>
      <c r="I878" s="3" t="str">
        <f t="shared" si="83"/>
        <v>00</v>
      </c>
      <c r="L878" s="3" t="s">
        <v>3309</v>
      </c>
      <c r="R878" s="3" t="s">
        <v>5678</v>
      </c>
      <c r="S878" s="15">
        <v>31</v>
      </c>
    </row>
    <row r="879" spans="1:19" x14ac:dyDescent="0.25">
      <c r="A879" s="4" t="s">
        <v>5679</v>
      </c>
      <c r="B879" s="4" t="s">
        <v>5557</v>
      </c>
      <c r="C879" s="4" t="s">
        <v>641</v>
      </c>
      <c r="D879" s="3" t="str">
        <f t="shared" si="78"/>
        <v>PPA</v>
      </c>
      <c r="E879" s="3" t="str">
        <f t="shared" si="79"/>
        <v>O</v>
      </c>
      <c r="F879" s="3" t="str">
        <f t="shared" si="80"/>
        <v>018</v>
      </c>
      <c r="G879" s="3" t="str">
        <f t="shared" si="81"/>
        <v>NA</v>
      </c>
      <c r="H879" s="3" t="str">
        <f t="shared" si="82"/>
        <v>000</v>
      </c>
      <c r="I879" s="3" t="str">
        <f t="shared" si="83"/>
        <v>00</v>
      </c>
      <c r="L879" s="3" t="s">
        <v>3309</v>
      </c>
      <c r="R879" s="3" t="s">
        <v>5680</v>
      </c>
      <c r="S879" s="15">
        <v>21</v>
      </c>
    </row>
    <row r="880" spans="1:19" x14ac:dyDescent="0.25">
      <c r="A880" s="4" t="s">
        <v>5681</v>
      </c>
      <c r="B880" s="4" t="s">
        <v>5557</v>
      </c>
      <c r="C880" s="4" t="s">
        <v>5682</v>
      </c>
      <c r="D880" s="3" t="str">
        <f t="shared" si="78"/>
        <v>PPA</v>
      </c>
      <c r="E880" s="3" t="str">
        <f t="shared" si="79"/>
        <v>T</v>
      </c>
      <c r="F880" s="3" t="str">
        <f t="shared" si="80"/>
        <v>001</v>
      </c>
      <c r="G880" s="3" t="str">
        <f t="shared" si="81"/>
        <v>LT</v>
      </c>
      <c r="H880" s="3" t="str">
        <f t="shared" si="82"/>
        <v>000</v>
      </c>
      <c r="I880" s="3" t="str">
        <f t="shared" si="83"/>
        <v>00</v>
      </c>
      <c r="L880" s="3" t="s">
        <v>3309</v>
      </c>
      <c r="R880" s="3" t="s">
        <v>5683</v>
      </c>
      <c r="S880" s="15" t="s">
        <v>3247</v>
      </c>
    </row>
    <row r="881" spans="1:19" x14ac:dyDescent="0.25">
      <c r="A881" s="4" t="s">
        <v>5684</v>
      </c>
      <c r="B881" s="4" t="s">
        <v>5557</v>
      </c>
      <c r="C881" s="4" t="s">
        <v>5685</v>
      </c>
      <c r="D881" s="3" t="str">
        <f t="shared" si="78"/>
        <v>PPA</v>
      </c>
      <c r="E881" s="3" t="str">
        <f t="shared" si="79"/>
        <v>T</v>
      </c>
      <c r="F881" s="3" t="str">
        <f t="shared" si="80"/>
        <v>002</v>
      </c>
      <c r="G881" s="3" t="str">
        <f t="shared" si="81"/>
        <v>LT</v>
      </c>
      <c r="H881" s="3" t="str">
        <f t="shared" si="82"/>
        <v>000</v>
      </c>
      <c r="I881" s="3" t="str">
        <f t="shared" si="83"/>
        <v>00</v>
      </c>
      <c r="L881" s="3" t="s">
        <v>3309</v>
      </c>
      <c r="R881" s="3" t="s">
        <v>5686</v>
      </c>
      <c r="S881" s="15" t="s">
        <v>3247</v>
      </c>
    </row>
    <row r="882" spans="1:19" x14ac:dyDescent="0.25">
      <c r="A882" s="4" t="s">
        <v>5687</v>
      </c>
      <c r="B882" s="4" t="s">
        <v>5557</v>
      </c>
      <c r="C882" s="4" t="s">
        <v>5688</v>
      </c>
      <c r="D882" s="3" t="str">
        <f t="shared" si="78"/>
        <v>PPA</v>
      </c>
      <c r="E882" s="3" t="str">
        <f t="shared" si="79"/>
        <v>E</v>
      </c>
      <c r="F882" s="3" t="str">
        <f t="shared" si="80"/>
        <v>006</v>
      </c>
      <c r="G882" s="3" t="str">
        <f t="shared" si="81"/>
        <v>ST</v>
      </c>
      <c r="H882" s="3" t="str">
        <f t="shared" si="82"/>
        <v>000</v>
      </c>
      <c r="I882" s="3" t="str">
        <f t="shared" si="83"/>
        <v>00</v>
      </c>
      <c r="L882" s="3" t="s">
        <v>3309</v>
      </c>
      <c r="R882" s="3" t="s">
        <v>5689</v>
      </c>
      <c r="S882" s="15" t="s">
        <v>3247</v>
      </c>
    </row>
    <row r="883" spans="1:19" x14ac:dyDescent="0.25">
      <c r="A883" s="4" t="s">
        <v>5690</v>
      </c>
      <c r="B883" s="4" t="s">
        <v>5557</v>
      </c>
      <c r="C883" s="4" t="s">
        <v>5691</v>
      </c>
      <c r="D883" s="3" t="str">
        <f t="shared" si="78"/>
        <v>PPA</v>
      </c>
      <c r="E883" s="3" t="str">
        <f t="shared" si="79"/>
        <v>J</v>
      </c>
      <c r="F883" s="3" t="str">
        <f t="shared" si="80"/>
        <v>015</v>
      </c>
      <c r="G883" s="3" t="str">
        <f t="shared" si="81"/>
        <v>EX</v>
      </c>
      <c r="H883" s="3" t="str">
        <f t="shared" si="82"/>
        <v>008</v>
      </c>
      <c r="I883" s="3" t="str">
        <f t="shared" si="83"/>
        <v>00</v>
      </c>
      <c r="L883" s="3" t="s">
        <v>3309</v>
      </c>
      <c r="R883" s="3" t="s">
        <v>5692</v>
      </c>
      <c r="S883" s="15">
        <v>2</v>
      </c>
    </row>
    <row r="884" spans="1:19" x14ac:dyDescent="0.25">
      <c r="A884" s="4" t="s">
        <v>5693</v>
      </c>
      <c r="B884" s="4" t="s">
        <v>5557</v>
      </c>
      <c r="C884" s="4" t="s">
        <v>5694</v>
      </c>
      <c r="D884" s="3" t="str">
        <f t="shared" si="78"/>
        <v>PPA</v>
      </c>
      <c r="E884" s="3" t="str">
        <f t="shared" si="79"/>
        <v>J</v>
      </c>
      <c r="F884" s="3" t="str">
        <f t="shared" si="80"/>
        <v>016</v>
      </c>
      <c r="G884" s="3" t="str">
        <f t="shared" si="81"/>
        <v>ST</v>
      </c>
      <c r="H884" s="3" t="str">
        <f t="shared" si="82"/>
        <v>000</v>
      </c>
      <c r="I884" s="3" t="str">
        <f t="shared" si="83"/>
        <v>00</v>
      </c>
      <c r="L884" s="3" t="s">
        <v>3309</v>
      </c>
      <c r="R884" s="3" t="s">
        <v>5695</v>
      </c>
      <c r="S884" s="15" t="s">
        <v>3247</v>
      </c>
    </row>
    <row r="885" spans="1:19" ht="30" x14ac:dyDescent="0.25">
      <c r="A885" s="4" t="s">
        <v>5696</v>
      </c>
      <c r="B885" s="4" t="s">
        <v>5557</v>
      </c>
      <c r="C885" s="4" t="s">
        <v>5697</v>
      </c>
      <c r="D885" s="3" t="str">
        <f t="shared" si="78"/>
        <v>PPA</v>
      </c>
      <c r="E885" s="3" t="str">
        <f t="shared" si="79"/>
        <v>B</v>
      </c>
      <c r="F885" s="3" t="str">
        <f t="shared" si="80"/>
        <v>003</v>
      </c>
      <c r="G885" s="3" t="str">
        <f t="shared" si="81"/>
        <v>MW</v>
      </c>
      <c r="H885" s="3" t="str">
        <f t="shared" si="82"/>
        <v>023</v>
      </c>
      <c r="I885" s="3" t="str">
        <f t="shared" si="83"/>
        <v>00</v>
      </c>
      <c r="L885" s="3" t="s">
        <v>3309</v>
      </c>
      <c r="R885" s="3" t="s">
        <v>5698</v>
      </c>
      <c r="S885" s="15" t="s">
        <v>3247</v>
      </c>
    </row>
    <row r="886" spans="1:19" x14ac:dyDescent="0.25">
      <c r="A886" s="4" t="s">
        <v>5699</v>
      </c>
      <c r="B886" s="4" t="s">
        <v>5557</v>
      </c>
      <c r="C886" s="4" t="s">
        <v>5700</v>
      </c>
      <c r="D886" s="3" t="str">
        <f t="shared" si="78"/>
        <v>PPA</v>
      </c>
      <c r="E886" s="3" t="str">
        <f t="shared" si="79"/>
        <v>S</v>
      </c>
      <c r="F886" s="3" t="str">
        <f t="shared" si="80"/>
        <v>002</v>
      </c>
      <c r="G886" s="3" t="str">
        <f t="shared" si="81"/>
        <v>RE</v>
      </c>
      <c r="H886" s="3" t="str">
        <f t="shared" si="82"/>
        <v>024</v>
      </c>
      <c r="I886" s="3" t="str">
        <f t="shared" si="83"/>
        <v>00</v>
      </c>
      <c r="L886" s="3" t="s">
        <v>3309</v>
      </c>
      <c r="R886" s="3" t="s">
        <v>5701</v>
      </c>
      <c r="S886" s="15">
        <v>5</v>
      </c>
    </row>
    <row r="887" spans="1:19" x14ac:dyDescent="0.25">
      <c r="A887" s="4" t="s">
        <v>5702</v>
      </c>
      <c r="B887" s="4" t="s">
        <v>5557</v>
      </c>
      <c r="C887" s="4" t="s">
        <v>2933</v>
      </c>
      <c r="D887" s="3" t="str">
        <f t="shared" si="78"/>
        <v>PPA</v>
      </c>
      <c r="E887" s="3" t="str">
        <f t="shared" si="79"/>
        <v>0</v>
      </c>
      <c r="F887" s="3" t="str">
        <f t="shared" si="80"/>
        <v>04M</v>
      </c>
      <c r="G887" s="3" t="str">
        <f t="shared" si="81"/>
        <v>P0</v>
      </c>
      <c r="H887" s="3" t="str">
        <f t="shared" si="82"/>
        <v>250</v>
      </c>
      <c r="I887" s="3" t="str">
        <f t="shared" si="83"/>
        <v>0</v>
      </c>
      <c r="L887" s="3" t="s">
        <v>3309</v>
      </c>
      <c r="R887" s="3" t="s">
        <v>5703</v>
      </c>
      <c r="S887" s="15" t="s">
        <v>3247</v>
      </c>
    </row>
    <row r="888" spans="1:19" ht="30" x14ac:dyDescent="0.25">
      <c r="A888" s="4" t="s">
        <v>5704</v>
      </c>
      <c r="B888" s="4" t="s">
        <v>5557</v>
      </c>
      <c r="C888" s="4" t="s">
        <v>5705</v>
      </c>
      <c r="D888" s="3" t="str">
        <f t="shared" si="78"/>
        <v>PPA</v>
      </c>
      <c r="E888" s="3" t="str">
        <f t="shared" si="79"/>
        <v>A</v>
      </c>
      <c r="F888" s="3" t="str">
        <f t="shared" si="80"/>
        <v>L00</v>
      </c>
      <c r="G888" s="3" t="str">
        <f t="shared" si="81"/>
        <v>00</v>
      </c>
      <c r="H888" s="3" t="str">
        <f t="shared" si="82"/>
        <v>619</v>
      </c>
      <c r="I888" s="3" t="str">
        <f t="shared" si="83"/>
        <v>10</v>
      </c>
      <c r="L888" s="3" t="s">
        <v>3309</v>
      </c>
      <c r="R888" s="3" t="s">
        <v>5706</v>
      </c>
      <c r="S888" s="15">
        <v>2</v>
      </c>
    </row>
    <row r="889" spans="1:19" ht="30" x14ac:dyDescent="0.25">
      <c r="A889" s="4" t="s">
        <v>5707</v>
      </c>
      <c r="B889" s="4" t="s">
        <v>5557</v>
      </c>
      <c r="C889" s="4" t="s">
        <v>5705</v>
      </c>
      <c r="D889" s="3" t="str">
        <f t="shared" si="78"/>
        <v>PPA</v>
      </c>
      <c r="E889" s="3" t="str">
        <f t="shared" si="79"/>
        <v>A</v>
      </c>
      <c r="F889" s="3" t="str">
        <f t="shared" si="80"/>
        <v>L00</v>
      </c>
      <c r="G889" s="3" t="str">
        <f t="shared" si="81"/>
        <v>00</v>
      </c>
      <c r="H889" s="3" t="str">
        <f t="shared" si="82"/>
        <v>619</v>
      </c>
      <c r="I889" s="3" t="str">
        <f t="shared" si="83"/>
        <v>11</v>
      </c>
      <c r="L889" s="3" t="s">
        <v>3309</v>
      </c>
      <c r="R889" s="3" t="s">
        <v>5708</v>
      </c>
      <c r="S889" s="15" t="s">
        <v>3247</v>
      </c>
    </row>
    <row r="890" spans="1:19" x14ac:dyDescent="0.25">
      <c r="A890" s="4" t="s">
        <v>5709</v>
      </c>
      <c r="B890" s="4" t="s">
        <v>5557</v>
      </c>
      <c r="C890" s="4" t="s">
        <v>5710</v>
      </c>
      <c r="D890" s="3" t="str">
        <f t="shared" si="78"/>
        <v>PPA</v>
      </c>
      <c r="E890" s="3" t="str">
        <f t="shared" si="79"/>
        <v>O</v>
      </c>
      <c r="F890" s="3" t="str">
        <f t="shared" si="80"/>
        <v>019</v>
      </c>
      <c r="G890" s="3" t="str">
        <f t="shared" si="81"/>
        <v>DE</v>
      </c>
      <c r="H890" s="3" t="str">
        <f t="shared" si="82"/>
        <v>026</v>
      </c>
      <c r="I890" s="3" t="str">
        <f t="shared" si="83"/>
        <v>00</v>
      </c>
      <c r="L890" s="3" t="s">
        <v>3309</v>
      </c>
      <c r="R890" s="3" t="s">
        <v>5711</v>
      </c>
      <c r="S890" s="15" t="s">
        <v>3247</v>
      </c>
    </row>
    <row r="891" spans="1:19" x14ac:dyDescent="0.25">
      <c r="A891" s="4" t="s">
        <v>5712</v>
      </c>
      <c r="B891" s="4" t="s">
        <v>5557</v>
      </c>
      <c r="C891" s="4" t="s">
        <v>5713</v>
      </c>
      <c r="D891" s="3" t="str">
        <f t="shared" si="78"/>
        <v>PPA</v>
      </c>
      <c r="E891" s="3" t="str">
        <f t="shared" si="79"/>
        <v>O</v>
      </c>
      <c r="F891" s="3" t="str">
        <f t="shared" si="80"/>
        <v>009</v>
      </c>
      <c r="G891" s="3" t="str">
        <f t="shared" si="81"/>
        <v>DE</v>
      </c>
      <c r="H891" s="3" t="str">
        <f t="shared" si="82"/>
        <v>027</v>
      </c>
      <c r="I891" s="3" t="str">
        <f t="shared" si="83"/>
        <v>00</v>
      </c>
      <c r="L891" s="3" t="s">
        <v>3309</v>
      </c>
      <c r="R891" s="3" t="s">
        <v>5714</v>
      </c>
      <c r="S891" s="15" t="s">
        <v>3247</v>
      </c>
    </row>
    <row r="892" spans="1:19" x14ac:dyDescent="0.25">
      <c r="A892" s="4" t="s">
        <v>5715</v>
      </c>
      <c r="B892" s="4" t="s">
        <v>5557</v>
      </c>
      <c r="C892" s="4" t="s">
        <v>5716</v>
      </c>
      <c r="D892" s="3" t="str">
        <f t="shared" si="78"/>
        <v>PPA</v>
      </c>
      <c r="E892" s="3" t="str">
        <f t="shared" si="79"/>
        <v>O</v>
      </c>
      <c r="F892" s="3" t="str">
        <f t="shared" si="80"/>
        <v>012</v>
      </c>
      <c r="G892" s="3" t="str">
        <f t="shared" si="81"/>
        <v>DE</v>
      </c>
      <c r="H892" s="3" t="str">
        <f t="shared" si="82"/>
        <v>028</v>
      </c>
      <c r="I892" s="3" t="str">
        <f t="shared" si="83"/>
        <v>00</v>
      </c>
      <c r="L892" s="3" t="s">
        <v>3309</v>
      </c>
      <c r="R892" s="3" t="s">
        <v>5717</v>
      </c>
      <c r="S892" s="15" t="s">
        <v>3247</v>
      </c>
    </row>
    <row r="893" spans="1:19" x14ac:dyDescent="0.25">
      <c r="A893" s="4" t="s">
        <v>5718</v>
      </c>
      <c r="B893" s="4" t="s">
        <v>5557</v>
      </c>
      <c r="C893" s="4" t="s">
        <v>5719</v>
      </c>
      <c r="D893" s="3" t="str">
        <f t="shared" si="78"/>
        <v>PPA</v>
      </c>
      <c r="E893" s="3" t="str">
        <f t="shared" si="79"/>
        <v>O</v>
      </c>
      <c r="F893" s="3" t="str">
        <f t="shared" si="80"/>
        <v>014</v>
      </c>
      <c r="G893" s="3" t="str">
        <f t="shared" si="81"/>
        <v>DE</v>
      </c>
      <c r="H893" s="3" t="str">
        <f t="shared" si="82"/>
        <v>029</v>
      </c>
      <c r="I893" s="3" t="str">
        <f t="shared" si="83"/>
        <v>00</v>
      </c>
      <c r="L893" s="3" t="s">
        <v>3309</v>
      </c>
      <c r="R893" s="3" t="s">
        <v>5720</v>
      </c>
      <c r="S893" s="15" t="s">
        <v>3247</v>
      </c>
    </row>
    <row r="894" spans="1:19" x14ac:dyDescent="0.25">
      <c r="A894" s="4" t="s">
        <v>5721</v>
      </c>
      <c r="B894" s="4" t="s">
        <v>5557</v>
      </c>
      <c r="C894" s="4" t="s">
        <v>5722</v>
      </c>
      <c r="D894" s="3" t="str">
        <f t="shared" si="78"/>
        <v>PPA</v>
      </c>
      <c r="E894" s="3" t="str">
        <f t="shared" si="79"/>
        <v>O</v>
      </c>
      <c r="F894" s="3" t="str">
        <f t="shared" si="80"/>
        <v>020</v>
      </c>
      <c r="G894" s="3" t="str">
        <f t="shared" si="81"/>
        <v>DE</v>
      </c>
      <c r="H894" s="3" t="str">
        <f t="shared" si="82"/>
        <v>030</v>
      </c>
      <c r="I894" s="3" t="str">
        <f t="shared" si="83"/>
        <v>00</v>
      </c>
      <c r="L894" s="3" t="s">
        <v>3309</v>
      </c>
      <c r="R894" s="3" t="s">
        <v>5723</v>
      </c>
      <c r="S894" s="15" t="s">
        <v>3247</v>
      </c>
    </row>
    <row r="895" spans="1:19" x14ac:dyDescent="0.25">
      <c r="A895" s="4" t="s">
        <v>5724</v>
      </c>
      <c r="B895" s="4" t="s">
        <v>5557</v>
      </c>
      <c r="C895" s="4" t="s">
        <v>614</v>
      </c>
      <c r="D895" s="3" t="str">
        <f t="shared" si="78"/>
        <v>PPA</v>
      </c>
      <c r="E895" s="3" t="str">
        <f t="shared" si="79"/>
        <v>L</v>
      </c>
      <c r="F895" s="3" t="str">
        <f t="shared" si="80"/>
        <v>013</v>
      </c>
      <c r="G895" s="3" t="str">
        <f t="shared" si="81"/>
        <v>SC</v>
      </c>
      <c r="H895" s="3" t="str">
        <f t="shared" si="82"/>
        <v>000</v>
      </c>
      <c r="I895" s="3" t="str">
        <f t="shared" si="83"/>
        <v>00</v>
      </c>
      <c r="L895" s="3" t="s">
        <v>3309</v>
      </c>
      <c r="R895" s="3" t="s">
        <v>5725</v>
      </c>
      <c r="S895" s="15" t="s">
        <v>3247</v>
      </c>
    </row>
    <row r="896" spans="1:19" x14ac:dyDescent="0.25">
      <c r="A896" s="4" t="s">
        <v>5726</v>
      </c>
      <c r="B896" s="4" t="s">
        <v>5557</v>
      </c>
      <c r="C896" s="4" t="s">
        <v>615</v>
      </c>
      <c r="D896" s="3" t="str">
        <f t="shared" si="78"/>
        <v>PPA</v>
      </c>
      <c r="E896" s="3" t="str">
        <f t="shared" si="79"/>
        <v>L</v>
      </c>
      <c r="F896" s="3" t="str">
        <f t="shared" si="80"/>
        <v>014</v>
      </c>
      <c r="G896" s="3" t="str">
        <f t="shared" si="81"/>
        <v>SC</v>
      </c>
      <c r="H896" s="3" t="str">
        <f t="shared" si="82"/>
        <v>000</v>
      </c>
      <c r="I896" s="3" t="str">
        <f t="shared" si="83"/>
        <v>00</v>
      </c>
      <c r="L896" s="3" t="s">
        <v>3309</v>
      </c>
      <c r="R896" s="3" t="s">
        <v>5727</v>
      </c>
      <c r="S896" s="15" t="s">
        <v>3247</v>
      </c>
    </row>
    <row r="897" spans="1:19" x14ac:dyDescent="0.25">
      <c r="A897" s="4" t="s">
        <v>5728</v>
      </c>
      <c r="B897" s="4" t="s">
        <v>5557</v>
      </c>
      <c r="C897" s="4" t="s">
        <v>5729</v>
      </c>
      <c r="D897" s="3" t="str">
        <f t="shared" si="78"/>
        <v>PPA</v>
      </c>
      <c r="E897" s="3" t="str">
        <f t="shared" si="79"/>
        <v>U</v>
      </c>
      <c r="F897" s="3" t="str">
        <f t="shared" si="80"/>
        <v>001</v>
      </c>
      <c r="G897" s="3" t="str">
        <f t="shared" si="81"/>
        <v>AB</v>
      </c>
      <c r="H897" s="3" t="str">
        <f t="shared" si="82"/>
        <v>000</v>
      </c>
      <c r="I897" s="3" t="str">
        <f t="shared" si="83"/>
        <v>00</v>
      </c>
      <c r="L897" s="3" t="s">
        <v>3309</v>
      </c>
      <c r="R897" s="3" t="s">
        <v>5730</v>
      </c>
      <c r="S897" s="15" t="s">
        <v>3247</v>
      </c>
    </row>
    <row r="898" spans="1:19" x14ac:dyDescent="0.25">
      <c r="A898" s="4" t="s">
        <v>5731</v>
      </c>
      <c r="B898" s="4" t="s">
        <v>5557</v>
      </c>
      <c r="C898" s="4" t="s">
        <v>5732</v>
      </c>
      <c r="D898" s="3" t="str">
        <f t="shared" ref="D898:D961" si="84">LEFT(A898,3)</f>
        <v>PPA</v>
      </c>
      <c r="E898" s="3" t="str">
        <f t="shared" ref="E898:E961" si="85">MID(A898,4,1)</f>
        <v>U</v>
      </c>
      <c r="F898" s="3" t="str">
        <f t="shared" ref="F898:F961" si="86">MID(A898,5,3)</f>
        <v>002</v>
      </c>
      <c r="G898" s="3" t="str">
        <f t="shared" ref="G898:G961" si="87">MID(A898,8,2)</f>
        <v>AB</v>
      </c>
      <c r="H898" s="3" t="str">
        <f t="shared" ref="H898:H961" si="88">MID(A898,10,3)</f>
        <v>000</v>
      </c>
      <c r="I898" s="3" t="str">
        <f t="shared" ref="I898:I961" si="89">MID(A898,13,2)</f>
        <v>00</v>
      </c>
      <c r="L898" s="3" t="s">
        <v>3309</v>
      </c>
      <c r="R898" s="3" t="s">
        <v>5733</v>
      </c>
      <c r="S898" s="15" t="s">
        <v>3247</v>
      </c>
    </row>
    <row r="899" spans="1:19" x14ac:dyDescent="0.25">
      <c r="A899" s="4" t="s">
        <v>5734</v>
      </c>
      <c r="B899" s="4" t="s">
        <v>5557</v>
      </c>
      <c r="C899" s="4" t="s">
        <v>5735</v>
      </c>
      <c r="D899" s="3" t="str">
        <f t="shared" si="84"/>
        <v>PPA</v>
      </c>
      <c r="E899" s="3" t="str">
        <f t="shared" si="85"/>
        <v>V</v>
      </c>
      <c r="F899" s="3" t="str">
        <f t="shared" si="86"/>
        <v>001</v>
      </c>
      <c r="G899" s="3" t="str">
        <f t="shared" si="87"/>
        <v>NA</v>
      </c>
      <c r="H899" s="3" t="str">
        <f t="shared" si="88"/>
        <v>000</v>
      </c>
      <c r="I899" s="3" t="str">
        <f t="shared" si="89"/>
        <v>00</v>
      </c>
      <c r="L899" s="3" t="s">
        <v>3309</v>
      </c>
      <c r="R899" s="3" t="s">
        <v>5736</v>
      </c>
      <c r="S899" s="15" t="s">
        <v>3247</v>
      </c>
    </row>
    <row r="900" spans="1:19" x14ac:dyDescent="0.25">
      <c r="A900" s="4" t="s">
        <v>5737</v>
      </c>
      <c r="B900" s="4" t="s">
        <v>5557</v>
      </c>
      <c r="C900" s="4" t="s">
        <v>5738</v>
      </c>
      <c r="D900" s="3" t="str">
        <f t="shared" si="84"/>
        <v>PPA</v>
      </c>
      <c r="E900" s="3" t="str">
        <f t="shared" si="85"/>
        <v>G</v>
      </c>
      <c r="F900" s="3" t="str">
        <f t="shared" si="86"/>
        <v>301</v>
      </c>
      <c r="G900" s="3" t="str">
        <f t="shared" si="87"/>
        <v>HP</v>
      </c>
      <c r="H900" s="3" t="str">
        <f t="shared" si="88"/>
        <v>009</v>
      </c>
      <c r="I900" s="3" t="str">
        <f t="shared" si="89"/>
        <v>00</v>
      </c>
      <c r="L900" s="3" t="s">
        <v>3245</v>
      </c>
      <c r="R900" s="3" t="s">
        <v>5739</v>
      </c>
      <c r="S900" s="15" t="s">
        <v>3247</v>
      </c>
    </row>
    <row r="901" spans="1:19" ht="30" x14ac:dyDescent="0.25">
      <c r="A901" s="4" t="s">
        <v>5740</v>
      </c>
      <c r="B901" s="4" t="s">
        <v>5557</v>
      </c>
      <c r="C901" s="4" t="s">
        <v>5741</v>
      </c>
      <c r="D901" s="3" t="str">
        <f t="shared" si="84"/>
        <v>PPA</v>
      </c>
      <c r="E901" s="3" t="str">
        <f t="shared" si="85"/>
        <v>B</v>
      </c>
      <c r="F901" s="3" t="str">
        <f t="shared" si="86"/>
        <v>005</v>
      </c>
      <c r="G901" s="3" t="str">
        <f t="shared" si="87"/>
        <v>MW</v>
      </c>
      <c r="H901" s="3" t="str">
        <f t="shared" si="88"/>
        <v>031</v>
      </c>
      <c r="I901" s="3" t="str">
        <f t="shared" si="89"/>
        <v>00</v>
      </c>
      <c r="L901" s="3" t="s">
        <v>3309</v>
      </c>
      <c r="R901" s="3" t="s">
        <v>5742</v>
      </c>
      <c r="S901" s="15" t="s">
        <v>3247</v>
      </c>
    </row>
    <row r="902" spans="1:19" x14ac:dyDescent="0.25">
      <c r="A902" s="4" t="s">
        <v>5743</v>
      </c>
      <c r="B902" s="4" t="s">
        <v>5557</v>
      </c>
      <c r="C902" s="4" t="s">
        <v>5744</v>
      </c>
      <c r="D902" s="3" t="str">
        <f t="shared" si="84"/>
        <v>PPA</v>
      </c>
      <c r="E902" s="3" t="str">
        <f t="shared" si="85"/>
        <v>E</v>
      </c>
      <c r="F902" s="3" t="str">
        <f t="shared" si="86"/>
        <v>009</v>
      </c>
      <c r="G902" s="3" t="str">
        <f t="shared" si="87"/>
        <v>SC</v>
      </c>
      <c r="H902" s="3" t="str">
        <f t="shared" si="88"/>
        <v>000</v>
      </c>
      <c r="I902" s="3" t="str">
        <f t="shared" si="89"/>
        <v>00</v>
      </c>
      <c r="L902" s="3" t="s">
        <v>3309</v>
      </c>
      <c r="R902" s="3" t="s">
        <v>5745</v>
      </c>
      <c r="S902" s="15">
        <v>2</v>
      </c>
    </row>
    <row r="903" spans="1:19" x14ac:dyDescent="0.25">
      <c r="A903" s="4" t="s">
        <v>5746</v>
      </c>
      <c r="B903" s="4" t="s">
        <v>5557</v>
      </c>
      <c r="C903" s="4" t="s">
        <v>5747</v>
      </c>
      <c r="D903" s="3" t="str">
        <f t="shared" si="84"/>
        <v>PPA</v>
      </c>
      <c r="E903" s="3" t="str">
        <f t="shared" si="85"/>
        <v>U</v>
      </c>
      <c r="F903" s="3" t="str">
        <f t="shared" si="86"/>
        <v>003</v>
      </c>
      <c r="G903" s="3" t="str">
        <f t="shared" si="87"/>
        <v>SC</v>
      </c>
      <c r="H903" s="3" t="str">
        <f t="shared" si="88"/>
        <v>000</v>
      </c>
      <c r="I903" s="3" t="str">
        <f t="shared" si="89"/>
        <v>00</v>
      </c>
      <c r="L903" s="3" t="s">
        <v>3309</v>
      </c>
      <c r="R903" s="3" t="s">
        <v>5748</v>
      </c>
      <c r="S903" s="15" t="s">
        <v>3247</v>
      </c>
    </row>
    <row r="904" spans="1:19" x14ac:dyDescent="0.25">
      <c r="A904" s="4" t="s">
        <v>5749</v>
      </c>
      <c r="B904" s="4" t="s">
        <v>5557</v>
      </c>
      <c r="C904" s="4" t="s">
        <v>5750</v>
      </c>
      <c r="D904" s="3" t="str">
        <f t="shared" si="84"/>
        <v>PPA</v>
      </c>
      <c r="E904" s="3" t="str">
        <f t="shared" si="85"/>
        <v>E</v>
      </c>
      <c r="F904" s="3" t="str">
        <f t="shared" si="86"/>
        <v>010</v>
      </c>
      <c r="G904" s="3" t="str">
        <f t="shared" si="87"/>
        <v>SC</v>
      </c>
      <c r="H904" s="3" t="str">
        <f t="shared" si="88"/>
        <v>000</v>
      </c>
      <c r="I904" s="3" t="str">
        <f t="shared" si="89"/>
        <v>00</v>
      </c>
      <c r="L904" s="3" t="s">
        <v>3309</v>
      </c>
      <c r="R904" s="3" t="s">
        <v>5751</v>
      </c>
      <c r="S904" s="15" t="s">
        <v>3247</v>
      </c>
    </row>
    <row r="905" spans="1:19" x14ac:dyDescent="0.25">
      <c r="A905" s="4" t="s">
        <v>5752</v>
      </c>
      <c r="B905" s="4" t="s">
        <v>5557</v>
      </c>
      <c r="C905" s="4" t="s">
        <v>578</v>
      </c>
      <c r="D905" s="3" t="str">
        <f t="shared" si="84"/>
        <v>PPA</v>
      </c>
      <c r="E905" s="3" t="str">
        <f t="shared" si="85"/>
        <v>E</v>
      </c>
      <c r="F905" s="3" t="str">
        <f t="shared" si="86"/>
        <v>011</v>
      </c>
      <c r="G905" s="3" t="str">
        <f t="shared" si="87"/>
        <v>NA</v>
      </c>
      <c r="H905" s="3" t="str">
        <f t="shared" si="88"/>
        <v>000</v>
      </c>
      <c r="I905" s="3" t="str">
        <f t="shared" si="89"/>
        <v>00</v>
      </c>
      <c r="L905" s="3" t="s">
        <v>3309</v>
      </c>
      <c r="R905" s="3" t="s">
        <v>5753</v>
      </c>
      <c r="S905" s="15" t="s">
        <v>3247</v>
      </c>
    </row>
    <row r="906" spans="1:19" x14ac:dyDescent="0.25">
      <c r="A906" s="4" t="s">
        <v>5754</v>
      </c>
      <c r="B906" s="4" t="s">
        <v>5557</v>
      </c>
      <c r="C906" s="4" t="s">
        <v>5755</v>
      </c>
      <c r="D906" s="3" t="str">
        <f t="shared" si="84"/>
        <v>PPA</v>
      </c>
      <c r="E906" s="3" t="str">
        <f t="shared" si="85"/>
        <v>U</v>
      </c>
      <c r="F906" s="3" t="str">
        <f t="shared" si="86"/>
        <v>001</v>
      </c>
      <c r="G906" s="3" t="str">
        <f t="shared" si="87"/>
        <v>LT</v>
      </c>
      <c r="H906" s="3" t="str">
        <f t="shared" si="88"/>
        <v>000</v>
      </c>
      <c r="I906" s="3" t="str">
        <f t="shared" si="89"/>
        <v>00</v>
      </c>
      <c r="L906" s="3" t="s">
        <v>3309</v>
      </c>
      <c r="R906" s="3" t="s">
        <v>5756</v>
      </c>
      <c r="S906" s="15" t="s">
        <v>3247</v>
      </c>
    </row>
    <row r="907" spans="1:19" x14ac:dyDescent="0.25">
      <c r="A907" s="4" t="s">
        <v>5757</v>
      </c>
      <c r="B907" s="4" t="s">
        <v>5557</v>
      </c>
      <c r="C907" s="4" t="s">
        <v>5758</v>
      </c>
      <c r="D907" s="3" t="str">
        <f t="shared" si="84"/>
        <v>PPA</v>
      </c>
      <c r="E907" s="3" t="str">
        <f t="shared" si="85"/>
        <v>E</v>
      </c>
      <c r="F907" s="3" t="str">
        <f t="shared" si="86"/>
        <v>005</v>
      </c>
      <c r="G907" s="3" t="str">
        <f t="shared" si="87"/>
        <v>ST</v>
      </c>
      <c r="H907" s="3" t="str">
        <f t="shared" si="88"/>
        <v>000</v>
      </c>
      <c r="I907" s="3" t="str">
        <f t="shared" si="89"/>
        <v>00</v>
      </c>
      <c r="L907" s="3" t="s">
        <v>3309</v>
      </c>
      <c r="R907" s="3" t="s">
        <v>5759</v>
      </c>
      <c r="S907" s="15" t="s">
        <v>3247</v>
      </c>
    </row>
    <row r="908" spans="1:19" x14ac:dyDescent="0.25">
      <c r="A908" s="4" t="s">
        <v>5760</v>
      </c>
      <c r="B908" s="4" t="s">
        <v>5557</v>
      </c>
      <c r="C908" s="4" t="s">
        <v>5761</v>
      </c>
      <c r="D908" s="3" t="str">
        <f t="shared" si="84"/>
        <v>ELA</v>
      </c>
      <c r="E908" s="3" t="str">
        <f t="shared" si="85"/>
        <v>Q</v>
      </c>
      <c r="F908" s="3" t="str">
        <f t="shared" si="86"/>
        <v>001</v>
      </c>
      <c r="G908" s="3" t="str">
        <f t="shared" si="87"/>
        <v>ST</v>
      </c>
      <c r="H908" s="3" t="str">
        <f t="shared" si="88"/>
        <v>000</v>
      </c>
      <c r="I908" s="3" t="str">
        <f t="shared" si="89"/>
        <v>0</v>
      </c>
      <c r="L908" s="3" t="s">
        <v>3309</v>
      </c>
      <c r="R908" s="3" t="s">
        <v>5762</v>
      </c>
      <c r="S908" s="15" t="s">
        <v>3247</v>
      </c>
    </row>
    <row r="909" spans="1:19" x14ac:dyDescent="0.25">
      <c r="A909" s="4" t="s">
        <v>5763</v>
      </c>
      <c r="B909" s="4" t="s">
        <v>5557</v>
      </c>
      <c r="C909" s="4" t="s">
        <v>5764</v>
      </c>
      <c r="D909" s="3" t="str">
        <f t="shared" si="84"/>
        <v>PPA</v>
      </c>
      <c r="E909" s="3" t="str">
        <f t="shared" si="85"/>
        <v>X</v>
      </c>
      <c r="F909" s="3" t="str">
        <f t="shared" si="86"/>
        <v>001</v>
      </c>
      <c r="G909" s="3" t="str">
        <f t="shared" si="87"/>
        <v>SA</v>
      </c>
      <c r="H909" s="3" t="str">
        <f t="shared" si="88"/>
        <v>000</v>
      </c>
      <c r="I909" s="3" t="str">
        <f t="shared" si="89"/>
        <v>00</v>
      </c>
      <c r="L909" s="3" t="s">
        <v>3309</v>
      </c>
      <c r="R909" s="3" t="s">
        <v>5765</v>
      </c>
      <c r="S909" s="15" t="s">
        <v>3247</v>
      </c>
    </row>
    <row r="910" spans="1:19" x14ac:dyDescent="0.25">
      <c r="A910" s="4" t="s">
        <v>5766</v>
      </c>
      <c r="B910" s="4" t="s">
        <v>5557</v>
      </c>
      <c r="C910" s="4" t="s">
        <v>5767</v>
      </c>
      <c r="D910" s="3" t="str">
        <f t="shared" si="84"/>
        <v>PPA</v>
      </c>
      <c r="E910" s="3" t="str">
        <f t="shared" si="85"/>
        <v>X</v>
      </c>
      <c r="F910" s="3" t="str">
        <f t="shared" si="86"/>
        <v>002</v>
      </c>
      <c r="G910" s="3" t="str">
        <f t="shared" si="87"/>
        <v>SA</v>
      </c>
      <c r="H910" s="3" t="str">
        <f t="shared" si="88"/>
        <v>000</v>
      </c>
      <c r="I910" s="3" t="str">
        <f t="shared" si="89"/>
        <v>00</v>
      </c>
      <c r="L910" s="3" t="s">
        <v>3309</v>
      </c>
      <c r="R910" s="3" t="s">
        <v>5768</v>
      </c>
      <c r="S910" s="15" t="s">
        <v>3247</v>
      </c>
    </row>
    <row r="911" spans="1:19" x14ac:dyDescent="0.25">
      <c r="A911" s="4" t="s">
        <v>5769</v>
      </c>
      <c r="B911" s="4" t="s">
        <v>5557</v>
      </c>
      <c r="C911" s="4" t="s">
        <v>5770</v>
      </c>
      <c r="D911" s="3" t="str">
        <f t="shared" si="84"/>
        <v>PPA</v>
      </c>
      <c r="E911" s="3" t="str">
        <f t="shared" si="85"/>
        <v>Y</v>
      </c>
      <c r="F911" s="3" t="str">
        <f t="shared" si="86"/>
        <v>001</v>
      </c>
      <c r="G911" s="3" t="str">
        <f t="shared" si="87"/>
        <v>SC</v>
      </c>
      <c r="H911" s="3" t="str">
        <f t="shared" si="88"/>
        <v>000</v>
      </c>
      <c r="I911" s="3" t="str">
        <f t="shared" si="89"/>
        <v>00</v>
      </c>
      <c r="L911" s="3" t="s">
        <v>3309</v>
      </c>
      <c r="R911" s="3" t="s">
        <v>5771</v>
      </c>
      <c r="S911" s="15" t="s">
        <v>3247</v>
      </c>
    </row>
    <row r="912" spans="1:19" x14ac:dyDescent="0.25">
      <c r="A912" s="4" t="s">
        <v>5772</v>
      </c>
      <c r="B912" s="4" t="s">
        <v>5557</v>
      </c>
      <c r="C912" s="4" t="s">
        <v>651</v>
      </c>
      <c r="D912" s="3" t="str">
        <f t="shared" si="84"/>
        <v>PPA</v>
      </c>
      <c r="E912" s="3" t="str">
        <f t="shared" si="85"/>
        <v>O</v>
      </c>
      <c r="F912" s="3" t="str">
        <f t="shared" si="86"/>
        <v>028</v>
      </c>
      <c r="G912" s="3" t="str">
        <f t="shared" si="87"/>
        <v>NA</v>
      </c>
      <c r="H912" s="3" t="str">
        <f t="shared" si="88"/>
        <v>000</v>
      </c>
      <c r="I912" s="3" t="str">
        <f t="shared" si="89"/>
        <v>00</v>
      </c>
      <c r="L912" s="3" t="s">
        <v>3309</v>
      </c>
      <c r="R912" s="3" t="s">
        <v>5773</v>
      </c>
      <c r="S912" s="15" t="s">
        <v>3247</v>
      </c>
    </row>
    <row r="913" spans="1:19" x14ac:dyDescent="0.25">
      <c r="A913" s="4" t="s">
        <v>5774</v>
      </c>
      <c r="B913" s="4" t="s">
        <v>5557</v>
      </c>
      <c r="C913" s="4" t="s">
        <v>652</v>
      </c>
      <c r="D913" s="3" t="str">
        <f t="shared" si="84"/>
        <v>PPA</v>
      </c>
      <c r="E913" s="3" t="str">
        <f t="shared" si="85"/>
        <v>O</v>
      </c>
      <c r="F913" s="3" t="str">
        <f t="shared" si="86"/>
        <v>029</v>
      </c>
      <c r="G913" s="3" t="str">
        <f t="shared" si="87"/>
        <v>NA</v>
      </c>
      <c r="H913" s="3" t="str">
        <f t="shared" si="88"/>
        <v>000</v>
      </c>
      <c r="I913" s="3" t="str">
        <f t="shared" si="89"/>
        <v>00</v>
      </c>
      <c r="L913" s="3" t="s">
        <v>3309</v>
      </c>
      <c r="R913" s="3" t="s">
        <v>5775</v>
      </c>
      <c r="S913" s="15" t="s">
        <v>3247</v>
      </c>
    </row>
    <row r="914" spans="1:19" x14ac:dyDescent="0.25">
      <c r="A914" s="4" t="s">
        <v>5776</v>
      </c>
      <c r="B914" s="4" t="s">
        <v>5557</v>
      </c>
      <c r="C914" s="4" t="s">
        <v>5777</v>
      </c>
      <c r="D914" s="3" t="str">
        <f t="shared" si="84"/>
        <v>PPA</v>
      </c>
      <c r="E914" s="3" t="str">
        <f t="shared" si="85"/>
        <v>T</v>
      </c>
      <c r="F914" s="3" t="str">
        <f t="shared" si="86"/>
        <v>002</v>
      </c>
      <c r="G914" s="3" t="str">
        <f t="shared" si="87"/>
        <v>NA</v>
      </c>
      <c r="H914" s="3" t="str">
        <f t="shared" si="88"/>
        <v>000</v>
      </c>
      <c r="I914" s="3" t="str">
        <f t="shared" si="89"/>
        <v>00</v>
      </c>
      <c r="L914" s="3" t="s">
        <v>3309</v>
      </c>
      <c r="R914" s="3" t="s">
        <v>5778</v>
      </c>
      <c r="S914" s="15" t="s">
        <v>3247</v>
      </c>
    </row>
    <row r="915" spans="1:19" x14ac:dyDescent="0.25">
      <c r="A915" s="4" t="s">
        <v>5779</v>
      </c>
      <c r="B915" s="4" t="s">
        <v>5557</v>
      </c>
      <c r="C915" s="4" t="s">
        <v>5780</v>
      </c>
      <c r="D915" s="3" t="str">
        <f t="shared" si="84"/>
        <v>PPA</v>
      </c>
      <c r="E915" s="3" t="str">
        <f t="shared" si="85"/>
        <v>T</v>
      </c>
      <c r="F915" s="3" t="str">
        <f t="shared" si="86"/>
        <v>003</v>
      </c>
      <c r="G915" s="3" t="str">
        <f t="shared" si="87"/>
        <v>NA</v>
      </c>
      <c r="H915" s="3" t="str">
        <f t="shared" si="88"/>
        <v>000</v>
      </c>
      <c r="I915" s="3" t="str">
        <f t="shared" si="89"/>
        <v>00</v>
      </c>
      <c r="L915" s="3" t="s">
        <v>3309</v>
      </c>
      <c r="R915" s="3" t="s">
        <v>5781</v>
      </c>
      <c r="S915" s="15" t="s">
        <v>3247</v>
      </c>
    </row>
    <row r="916" spans="1:19" x14ac:dyDescent="0.25">
      <c r="A916" s="4" t="s">
        <v>5782</v>
      </c>
      <c r="B916" s="4" t="s">
        <v>5557</v>
      </c>
      <c r="C916" s="4" t="s">
        <v>5783</v>
      </c>
      <c r="D916" s="3" t="str">
        <f t="shared" si="84"/>
        <v>PPA</v>
      </c>
      <c r="E916" s="3" t="str">
        <f t="shared" si="85"/>
        <v>T</v>
      </c>
      <c r="F916" s="3" t="str">
        <f t="shared" si="86"/>
        <v>004</v>
      </c>
      <c r="G916" s="3" t="str">
        <f t="shared" si="87"/>
        <v>NA</v>
      </c>
      <c r="H916" s="3" t="str">
        <f t="shared" si="88"/>
        <v>000</v>
      </c>
      <c r="I916" s="3" t="str">
        <f t="shared" si="89"/>
        <v>00</v>
      </c>
      <c r="L916" s="3" t="s">
        <v>3309</v>
      </c>
      <c r="R916" s="3" t="s">
        <v>5784</v>
      </c>
      <c r="S916" s="15" t="s">
        <v>3247</v>
      </c>
    </row>
    <row r="917" spans="1:19" x14ac:dyDescent="0.25">
      <c r="A917" s="4" t="s">
        <v>5785</v>
      </c>
      <c r="B917" s="4" t="s">
        <v>5557</v>
      </c>
      <c r="C917" s="4" t="s">
        <v>5786</v>
      </c>
      <c r="D917" s="3" t="str">
        <f t="shared" si="84"/>
        <v>PPA</v>
      </c>
      <c r="E917" s="3" t="str">
        <f t="shared" si="85"/>
        <v>V</v>
      </c>
      <c r="F917" s="3" t="str">
        <f t="shared" si="86"/>
        <v>002</v>
      </c>
      <c r="G917" s="3" t="str">
        <f t="shared" si="87"/>
        <v>NA</v>
      </c>
      <c r="H917" s="3" t="str">
        <f t="shared" si="88"/>
        <v>000</v>
      </c>
      <c r="I917" s="3" t="str">
        <f t="shared" si="89"/>
        <v>00</v>
      </c>
      <c r="L917" s="3" t="s">
        <v>3309</v>
      </c>
      <c r="R917" s="3" t="s">
        <v>5787</v>
      </c>
      <c r="S917" s="15" t="s">
        <v>3247</v>
      </c>
    </row>
    <row r="918" spans="1:19" x14ac:dyDescent="0.25">
      <c r="A918" s="4" t="s">
        <v>5788</v>
      </c>
      <c r="B918" s="4" t="s">
        <v>5557</v>
      </c>
      <c r="C918" s="4" t="s">
        <v>5789</v>
      </c>
      <c r="D918" s="3" t="str">
        <f t="shared" si="84"/>
        <v>PPA</v>
      </c>
      <c r="E918" s="3" t="str">
        <f t="shared" si="85"/>
        <v>E</v>
      </c>
      <c r="F918" s="3" t="str">
        <f t="shared" si="86"/>
        <v>012</v>
      </c>
      <c r="G918" s="3" t="str">
        <f t="shared" si="87"/>
        <v>NA</v>
      </c>
      <c r="H918" s="3" t="str">
        <f t="shared" si="88"/>
        <v>000</v>
      </c>
      <c r="I918" s="3" t="str">
        <f t="shared" si="89"/>
        <v>00</v>
      </c>
      <c r="L918" s="3" t="s">
        <v>3309</v>
      </c>
      <c r="R918" s="3" t="s">
        <v>5790</v>
      </c>
      <c r="S918" s="15" t="s">
        <v>3247</v>
      </c>
    </row>
    <row r="919" spans="1:19" x14ac:dyDescent="0.25">
      <c r="A919" s="4" t="s">
        <v>5791</v>
      </c>
      <c r="B919" s="4" t="s">
        <v>5557</v>
      </c>
      <c r="C919" s="4" t="s">
        <v>600</v>
      </c>
      <c r="D919" s="3" t="str">
        <f t="shared" si="84"/>
        <v>PPA</v>
      </c>
      <c r="E919" s="3" t="str">
        <f t="shared" si="85"/>
        <v>K</v>
      </c>
      <c r="F919" s="3" t="str">
        <f t="shared" si="86"/>
        <v>015</v>
      </c>
      <c r="G919" s="3" t="str">
        <f t="shared" si="87"/>
        <v>RE</v>
      </c>
      <c r="H919" s="3" t="str">
        <f t="shared" si="88"/>
        <v>000</v>
      </c>
      <c r="I919" s="3" t="str">
        <f t="shared" si="89"/>
        <v>00</v>
      </c>
      <c r="L919" s="3" t="s">
        <v>3309</v>
      </c>
      <c r="R919" s="3" t="s">
        <v>5792</v>
      </c>
      <c r="S919" s="15" t="s">
        <v>3247</v>
      </c>
    </row>
    <row r="920" spans="1:19" x14ac:dyDescent="0.25">
      <c r="A920" s="4" t="s">
        <v>5793</v>
      </c>
      <c r="B920" s="4" t="s">
        <v>5557</v>
      </c>
      <c r="C920" s="4" t="s">
        <v>5794</v>
      </c>
      <c r="D920" s="3" t="str">
        <f t="shared" si="84"/>
        <v>PPA</v>
      </c>
      <c r="E920" s="3" t="str">
        <f t="shared" si="85"/>
        <v>A</v>
      </c>
      <c r="F920" s="3" t="str">
        <f t="shared" si="86"/>
        <v>C00</v>
      </c>
      <c r="G920" s="3" t="str">
        <f t="shared" si="87"/>
        <v>1M</v>
      </c>
      <c r="H920" s="3" t="str">
        <f t="shared" si="88"/>
        <v>I00</v>
      </c>
      <c r="I920" s="3" t="str">
        <f t="shared" si="89"/>
        <v>00</v>
      </c>
      <c r="L920" s="3" t="s">
        <v>3309</v>
      </c>
      <c r="R920" s="3" t="s">
        <v>5795</v>
      </c>
      <c r="S920" s="15" t="s">
        <v>3247</v>
      </c>
    </row>
    <row r="921" spans="1:19" x14ac:dyDescent="0.25">
      <c r="A921" s="4" t="s">
        <v>5796</v>
      </c>
      <c r="B921" s="4" t="s">
        <v>5557</v>
      </c>
      <c r="C921" s="4" t="s">
        <v>5797</v>
      </c>
      <c r="D921" s="3" t="str">
        <f t="shared" si="84"/>
        <v>PPA</v>
      </c>
      <c r="E921" s="3" t="str">
        <f t="shared" si="85"/>
        <v>G</v>
      </c>
      <c r="F921" s="3" t="str">
        <f t="shared" si="86"/>
        <v>101</v>
      </c>
      <c r="G921" s="3" t="str">
        <f t="shared" si="87"/>
        <v>SE</v>
      </c>
      <c r="H921" s="3" t="str">
        <f t="shared" si="88"/>
        <v>037</v>
      </c>
      <c r="I921" s="3" t="str">
        <f t="shared" si="89"/>
        <v>00</v>
      </c>
      <c r="L921" s="3" t="s">
        <v>3309</v>
      </c>
      <c r="R921" s="3" t="s">
        <v>5798</v>
      </c>
      <c r="S921" s="15" t="s">
        <v>3247</v>
      </c>
    </row>
    <row r="922" spans="1:19" x14ac:dyDescent="0.25">
      <c r="A922" s="4" t="s">
        <v>5799</v>
      </c>
      <c r="B922" s="4" t="s">
        <v>5557</v>
      </c>
      <c r="C922" s="4" t="s">
        <v>5797</v>
      </c>
      <c r="D922" s="3" t="str">
        <f t="shared" si="84"/>
        <v>PPA</v>
      </c>
      <c r="E922" s="3" t="str">
        <f t="shared" si="85"/>
        <v>G</v>
      </c>
      <c r="F922" s="3" t="str">
        <f t="shared" si="86"/>
        <v>301</v>
      </c>
      <c r="G922" s="3" t="str">
        <f t="shared" si="87"/>
        <v>SE</v>
      </c>
      <c r="H922" s="3" t="str">
        <f t="shared" si="88"/>
        <v>037</v>
      </c>
      <c r="I922" s="3" t="str">
        <f t="shared" si="89"/>
        <v>00</v>
      </c>
      <c r="L922" s="3" t="s">
        <v>3309</v>
      </c>
      <c r="R922" s="3" t="s">
        <v>5800</v>
      </c>
      <c r="S922" s="15" t="s">
        <v>3247</v>
      </c>
    </row>
    <row r="923" spans="1:19" x14ac:dyDescent="0.25">
      <c r="A923" s="4" t="s">
        <v>5801</v>
      </c>
      <c r="B923" s="4" t="s">
        <v>5557</v>
      </c>
      <c r="C923" s="4" t="s">
        <v>5802</v>
      </c>
      <c r="D923" s="3" t="str">
        <f t="shared" si="84"/>
        <v>PPA</v>
      </c>
      <c r="E923" s="3" t="str">
        <f t="shared" si="85"/>
        <v>A</v>
      </c>
      <c r="F923" s="3" t="str">
        <f t="shared" si="86"/>
        <v>F00</v>
      </c>
      <c r="G923" s="3" t="str">
        <f t="shared" si="87"/>
        <v>1N</v>
      </c>
      <c r="H923" s="3" t="str">
        <f t="shared" si="88"/>
        <v>A00</v>
      </c>
      <c r="I923" s="3" t="str">
        <f t="shared" si="89"/>
        <v>00</v>
      </c>
      <c r="L923" s="3" t="s">
        <v>3309</v>
      </c>
      <c r="R923" s="3" t="s">
        <v>5803</v>
      </c>
      <c r="S923" s="15" t="s">
        <v>3247</v>
      </c>
    </row>
    <row r="924" spans="1:19" x14ac:dyDescent="0.25">
      <c r="A924" s="4" t="s">
        <v>5804</v>
      </c>
      <c r="B924" s="4" t="s">
        <v>5557</v>
      </c>
      <c r="C924" s="4" t="s">
        <v>5805</v>
      </c>
      <c r="D924" s="3" t="str">
        <f t="shared" si="84"/>
        <v>PPA</v>
      </c>
      <c r="E924" s="3" t="str">
        <f t="shared" si="85"/>
        <v>A</v>
      </c>
      <c r="F924" s="3" t="str">
        <f t="shared" si="86"/>
        <v>G00</v>
      </c>
      <c r="G924" s="3" t="str">
        <f t="shared" si="87"/>
        <v>2N</v>
      </c>
      <c r="H924" s="3" t="str">
        <f t="shared" si="88"/>
        <v>A00</v>
      </c>
      <c r="I924" s="3" t="str">
        <f t="shared" si="89"/>
        <v>00</v>
      </c>
      <c r="L924" s="3" t="s">
        <v>3309</v>
      </c>
      <c r="R924" s="3" t="s">
        <v>5806</v>
      </c>
      <c r="S924" s="15" t="s">
        <v>3247</v>
      </c>
    </row>
    <row r="925" spans="1:19" x14ac:dyDescent="0.25">
      <c r="A925" s="4" t="s">
        <v>5807</v>
      </c>
      <c r="B925" s="4" t="s">
        <v>5557</v>
      </c>
      <c r="C925" s="4" t="s">
        <v>5808</v>
      </c>
      <c r="D925" s="3" t="str">
        <f t="shared" si="84"/>
        <v>PPA</v>
      </c>
      <c r="E925" s="3" t="str">
        <f t="shared" si="85"/>
        <v>A</v>
      </c>
      <c r="F925" s="3" t="str">
        <f t="shared" si="86"/>
        <v>H00</v>
      </c>
      <c r="G925" s="3" t="str">
        <f t="shared" si="87"/>
        <v>2N</v>
      </c>
      <c r="H925" s="3" t="str">
        <f t="shared" si="88"/>
        <v>A00</v>
      </c>
      <c r="I925" s="3" t="str">
        <f t="shared" si="89"/>
        <v>00</v>
      </c>
      <c r="L925" s="3" t="s">
        <v>3309</v>
      </c>
      <c r="R925" s="3" t="s">
        <v>5809</v>
      </c>
      <c r="S925" s="15" t="s">
        <v>3247</v>
      </c>
    </row>
    <row r="926" spans="1:19" x14ac:dyDescent="0.25">
      <c r="A926" s="4" t="s">
        <v>5810</v>
      </c>
      <c r="B926" s="4" t="s">
        <v>5557</v>
      </c>
      <c r="C926" s="4" t="s">
        <v>5811</v>
      </c>
      <c r="D926" s="3" t="str">
        <f t="shared" si="84"/>
        <v>PPA</v>
      </c>
      <c r="E926" s="3" t="str">
        <f t="shared" si="85"/>
        <v>A</v>
      </c>
      <c r="F926" s="3" t="str">
        <f t="shared" si="86"/>
        <v>I00</v>
      </c>
      <c r="G926" s="3" t="str">
        <f t="shared" si="87"/>
        <v>1G</v>
      </c>
      <c r="H926" s="3" t="str">
        <f t="shared" si="88"/>
        <v>I00</v>
      </c>
      <c r="I926" s="3" t="str">
        <f t="shared" si="89"/>
        <v>00</v>
      </c>
      <c r="L926" s="3" t="s">
        <v>3309</v>
      </c>
      <c r="R926" s="3" t="s">
        <v>5812</v>
      </c>
      <c r="S926" s="15" t="s">
        <v>3247</v>
      </c>
    </row>
    <row r="927" spans="1:19" x14ac:dyDescent="0.25">
      <c r="A927" s="4" t="s">
        <v>5813</v>
      </c>
      <c r="B927" s="4" t="s">
        <v>5557</v>
      </c>
      <c r="C927" s="4" t="s">
        <v>5814</v>
      </c>
      <c r="D927" s="3" t="str">
        <f t="shared" si="84"/>
        <v>PPA</v>
      </c>
      <c r="E927" s="3" t="str">
        <f t="shared" si="85"/>
        <v>E</v>
      </c>
      <c r="F927" s="3" t="str">
        <f t="shared" si="86"/>
        <v>009</v>
      </c>
      <c r="G927" s="3" t="str">
        <f t="shared" si="87"/>
        <v>SA</v>
      </c>
      <c r="H927" s="3" t="str">
        <f t="shared" si="88"/>
        <v>000</v>
      </c>
      <c r="I927" s="3" t="str">
        <f t="shared" si="89"/>
        <v>00</v>
      </c>
      <c r="L927" s="3" t="s">
        <v>3309</v>
      </c>
      <c r="R927" s="3" t="s">
        <v>5815</v>
      </c>
      <c r="S927" s="15" t="s">
        <v>3247</v>
      </c>
    </row>
    <row r="928" spans="1:19" x14ac:dyDescent="0.25">
      <c r="A928" s="4" t="s">
        <v>5816</v>
      </c>
      <c r="B928" s="4" t="s">
        <v>5557</v>
      </c>
      <c r="C928" s="4" t="s">
        <v>5817</v>
      </c>
      <c r="D928" s="3" t="str">
        <f t="shared" si="84"/>
        <v>PPA</v>
      </c>
      <c r="E928" s="3" t="str">
        <f t="shared" si="85"/>
        <v>E</v>
      </c>
      <c r="F928" s="3" t="str">
        <f t="shared" si="86"/>
        <v>008</v>
      </c>
      <c r="G928" s="3" t="str">
        <f t="shared" si="87"/>
        <v>SA</v>
      </c>
      <c r="H928" s="3" t="str">
        <f t="shared" si="88"/>
        <v>000</v>
      </c>
      <c r="I928" s="3" t="str">
        <f t="shared" si="89"/>
        <v>00</v>
      </c>
      <c r="L928" s="3" t="s">
        <v>3309</v>
      </c>
      <c r="R928" s="3" t="s">
        <v>5818</v>
      </c>
      <c r="S928" s="15" t="s">
        <v>3247</v>
      </c>
    </row>
    <row r="929" spans="1:19" x14ac:dyDescent="0.25">
      <c r="A929" s="4" t="s">
        <v>5819</v>
      </c>
      <c r="B929" s="4" t="s">
        <v>5557</v>
      </c>
      <c r="C929" s="4" t="s">
        <v>5820</v>
      </c>
      <c r="D929" s="3" t="str">
        <f t="shared" si="84"/>
        <v>PPA</v>
      </c>
      <c r="E929" s="3" t="str">
        <f t="shared" si="85"/>
        <v>E</v>
      </c>
      <c r="F929" s="3" t="str">
        <f t="shared" si="86"/>
        <v>014</v>
      </c>
      <c r="G929" s="3" t="str">
        <f t="shared" si="87"/>
        <v>SA</v>
      </c>
      <c r="H929" s="3" t="str">
        <f t="shared" si="88"/>
        <v>000</v>
      </c>
      <c r="I929" s="3" t="str">
        <f t="shared" si="89"/>
        <v>00</v>
      </c>
      <c r="L929" s="3" t="s">
        <v>3309</v>
      </c>
      <c r="R929" s="3" t="s">
        <v>5821</v>
      </c>
      <c r="S929" s="15">
        <v>10</v>
      </c>
    </row>
    <row r="930" spans="1:19" x14ac:dyDescent="0.25">
      <c r="A930" s="4" t="s">
        <v>5822</v>
      </c>
      <c r="B930" s="4" t="s">
        <v>5557</v>
      </c>
      <c r="C930" s="4" t="s">
        <v>5823</v>
      </c>
      <c r="D930" s="3" t="str">
        <f t="shared" si="84"/>
        <v>PPA</v>
      </c>
      <c r="E930" s="3" t="str">
        <f t="shared" si="85"/>
        <v>S</v>
      </c>
      <c r="F930" s="3" t="str">
        <f t="shared" si="86"/>
        <v>000</v>
      </c>
      <c r="G930" s="3" t="str">
        <f t="shared" si="87"/>
        <v>NA</v>
      </c>
      <c r="H930" s="3" t="str">
        <f t="shared" si="88"/>
        <v>000</v>
      </c>
      <c r="I930" s="3" t="str">
        <f t="shared" si="89"/>
        <v>00</v>
      </c>
      <c r="L930" s="3" t="s">
        <v>3309</v>
      </c>
      <c r="R930" s="3" t="s">
        <v>5824</v>
      </c>
      <c r="S930" s="15" t="s">
        <v>3247</v>
      </c>
    </row>
    <row r="931" spans="1:19" x14ac:dyDescent="0.25">
      <c r="A931" s="4" t="s">
        <v>5825</v>
      </c>
      <c r="B931" s="4" t="s">
        <v>5557</v>
      </c>
      <c r="C931" s="4" t="s">
        <v>5826</v>
      </c>
      <c r="D931" s="3" t="str">
        <f t="shared" si="84"/>
        <v>PPA</v>
      </c>
      <c r="E931" s="3" t="str">
        <f t="shared" si="85"/>
        <v>A</v>
      </c>
      <c r="F931" s="3" t="str">
        <f t="shared" si="86"/>
        <v>L00</v>
      </c>
      <c r="G931" s="3" t="str">
        <f t="shared" si="87"/>
        <v>0N</v>
      </c>
      <c r="H931" s="3" t="str">
        <f t="shared" si="88"/>
        <v>A00</v>
      </c>
      <c r="I931" s="3" t="str">
        <f t="shared" si="89"/>
        <v>00</v>
      </c>
      <c r="L931" s="3" t="s">
        <v>3309</v>
      </c>
      <c r="R931" s="3" t="s">
        <v>5827</v>
      </c>
      <c r="S931" s="15" t="s">
        <v>3247</v>
      </c>
    </row>
    <row r="932" spans="1:19" x14ac:dyDescent="0.25">
      <c r="A932" s="4" t="s">
        <v>5828</v>
      </c>
      <c r="B932" s="4" t="s">
        <v>5557</v>
      </c>
      <c r="C932" s="4" t="s">
        <v>5829</v>
      </c>
      <c r="D932" s="3" t="str">
        <f t="shared" si="84"/>
        <v>PPA</v>
      </c>
      <c r="E932" s="3" t="str">
        <f t="shared" si="85"/>
        <v>O</v>
      </c>
      <c r="F932" s="3" t="str">
        <f t="shared" si="86"/>
        <v>027</v>
      </c>
      <c r="G932" s="3" t="str">
        <f t="shared" si="87"/>
        <v>CC</v>
      </c>
      <c r="H932" s="3" t="str">
        <f t="shared" si="88"/>
        <v>039</v>
      </c>
      <c r="I932" s="3" t="str">
        <f t="shared" si="89"/>
        <v>00</v>
      </c>
      <c r="L932" s="3" t="s">
        <v>3309</v>
      </c>
      <c r="R932" s="3" t="s">
        <v>5830</v>
      </c>
      <c r="S932" s="15" t="s">
        <v>3247</v>
      </c>
    </row>
    <row r="933" spans="1:19" x14ac:dyDescent="0.25">
      <c r="A933" s="4" t="s">
        <v>5831</v>
      </c>
      <c r="B933" s="4" t="s">
        <v>5557</v>
      </c>
      <c r="C933" s="4" t="s">
        <v>706</v>
      </c>
      <c r="D933" s="3" t="str">
        <f t="shared" si="84"/>
        <v>PPA</v>
      </c>
      <c r="E933" s="3" t="str">
        <f t="shared" si="85"/>
        <v>O</v>
      </c>
      <c r="F933" s="3" t="str">
        <f t="shared" si="86"/>
        <v>011</v>
      </c>
      <c r="G933" s="3" t="str">
        <f t="shared" si="87"/>
        <v>NA</v>
      </c>
      <c r="H933" s="3" t="str">
        <f t="shared" si="88"/>
        <v>040</v>
      </c>
      <c r="I933" s="3" t="str">
        <f t="shared" si="89"/>
        <v>00</v>
      </c>
      <c r="L933" s="3" t="s">
        <v>3309</v>
      </c>
      <c r="R933" s="3" t="s">
        <v>5832</v>
      </c>
      <c r="S933" s="15" t="s">
        <v>3247</v>
      </c>
    </row>
    <row r="934" spans="1:19" x14ac:dyDescent="0.25">
      <c r="A934" s="4" t="s">
        <v>5833</v>
      </c>
      <c r="B934" s="4" t="s">
        <v>5557</v>
      </c>
      <c r="C934" s="4" t="s">
        <v>707</v>
      </c>
      <c r="D934" s="3" t="str">
        <f t="shared" si="84"/>
        <v>PPA</v>
      </c>
      <c r="E934" s="3" t="str">
        <f t="shared" si="85"/>
        <v>O</v>
      </c>
      <c r="F934" s="3" t="str">
        <f t="shared" si="86"/>
        <v>012</v>
      </c>
      <c r="G934" s="3" t="str">
        <f t="shared" si="87"/>
        <v>NA</v>
      </c>
      <c r="H934" s="3" t="str">
        <f t="shared" si="88"/>
        <v>040</v>
      </c>
      <c r="I934" s="3" t="str">
        <f t="shared" si="89"/>
        <v>00</v>
      </c>
      <c r="L934" s="3" t="s">
        <v>3309</v>
      </c>
      <c r="R934" s="3" t="s">
        <v>5834</v>
      </c>
      <c r="S934" s="15" t="s">
        <v>3247</v>
      </c>
    </row>
    <row r="935" spans="1:19" x14ac:dyDescent="0.25">
      <c r="A935" s="4" t="s">
        <v>5835</v>
      </c>
      <c r="B935" s="4" t="s">
        <v>5557</v>
      </c>
      <c r="C935" s="4" t="s">
        <v>708</v>
      </c>
      <c r="D935" s="3" t="str">
        <f t="shared" si="84"/>
        <v>PPA</v>
      </c>
      <c r="E935" s="3" t="str">
        <f t="shared" si="85"/>
        <v>O</v>
      </c>
      <c r="F935" s="3" t="str">
        <f t="shared" si="86"/>
        <v>013</v>
      </c>
      <c r="G935" s="3" t="str">
        <f t="shared" si="87"/>
        <v>NA</v>
      </c>
      <c r="H935" s="3" t="str">
        <f t="shared" si="88"/>
        <v>040</v>
      </c>
      <c r="I935" s="3" t="str">
        <f t="shared" si="89"/>
        <v>00</v>
      </c>
      <c r="L935" s="3" t="s">
        <v>3309</v>
      </c>
      <c r="R935" s="3" t="s">
        <v>5836</v>
      </c>
      <c r="S935" s="15" t="s">
        <v>3247</v>
      </c>
    </row>
    <row r="936" spans="1:19" x14ac:dyDescent="0.25">
      <c r="A936" s="4" t="s">
        <v>5837</v>
      </c>
      <c r="B936" s="4" t="s">
        <v>5557</v>
      </c>
      <c r="C936" s="4" t="s">
        <v>709</v>
      </c>
      <c r="D936" s="3" t="str">
        <f t="shared" si="84"/>
        <v>PPA</v>
      </c>
      <c r="E936" s="3" t="str">
        <f t="shared" si="85"/>
        <v>O</v>
      </c>
      <c r="F936" s="3" t="str">
        <f t="shared" si="86"/>
        <v>014</v>
      </c>
      <c r="G936" s="3" t="str">
        <f t="shared" si="87"/>
        <v>NA</v>
      </c>
      <c r="H936" s="3" t="str">
        <f t="shared" si="88"/>
        <v>040</v>
      </c>
      <c r="I936" s="3" t="str">
        <f t="shared" si="89"/>
        <v>00</v>
      </c>
      <c r="L936" s="3" t="s">
        <v>3309</v>
      </c>
      <c r="R936" s="3" t="s">
        <v>5838</v>
      </c>
      <c r="S936" s="15">
        <v>14</v>
      </c>
    </row>
    <row r="937" spans="1:19" x14ac:dyDescent="0.25">
      <c r="A937" s="4" t="s">
        <v>5839</v>
      </c>
      <c r="B937" s="4" t="s">
        <v>5557</v>
      </c>
      <c r="C937" s="4" t="s">
        <v>710</v>
      </c>
      <c r="D937" s="3" t="str">
        <f t="shared" si="84"/>
        <v>PPA</v>
      </c>
      <c r="E937" s="3" t="str">
        <f t="shared" si="85"/>
        <v>O</v>
      </c>
      <c r="F937" s="3" t="str">
        <f t="shared" si="86"/>
        <v>015</v>
      </c>
      <c r="G937" s="3" t="str">
        <f t="shared" si="87"/>
        <v>NA</v>
      </c>
      <c r="H937" s="3" t="str">
        <f t="shared" si="88"/>
        <v>040</v>
      </c>
      <c r="I937" s="3" t="str">
        <f t="shared" si="89"/>
        <v>00</v>
      </c>
      <c r="L937" s="3" t="s">
        <v>3309</v>
      </c>
      <c r="R937" s="3" t="s">
        <v>5840</v>
      </c>
      <c r="S937" s="15" t="s">
        <v>3247</v>
      </c>
    </row>
    <row r="938" spans="1:19" x14ac:dyDescent="0.25">
      <c r="A938" s="4" t="s">
        <v>5841</v>
      </c>
      <c r="B938" s="4" t="s">
        <v>5557</v>
      </c>
      <c r="C938" s="4" t="s">
        <v>711</v>
      </c>
      <c r="D938" s="3" t="str">
        <f t="shared" si="84"/>
        <v>PPA</v>
      </c>
      <c r="E938" s="3" t="str">
        <f t="shared" si="85"/>
        <v>O</v>
      </c>
      <c r="F938" s="3" t="str">
        <f t="shared" si="86"/>
        <v>016</v>
      </c>
      <c r="G938" s="3" t="str">
        <f t="shared" si="87"/>
        <v>NA</v>
      </c>
      <c r="H938" s="3" t="str">
        <f t="shared" si="88"/>
        <v>040</v>
      </c>
      <c r="I938" s="3" t="str">
        <f t="shared" si="89"/>
        <v>00</v>
      </c>
      <c r="L938" s="3" t="s">
        <v>3309</v>
      </c>
      <c r="R938" s="3" t="s">
        <v>5842</v>
      </c>
      <c r="S938" s="15" t="s">
        <v>3247</v>
      </c>
    </row>
    <row r="939" spans="1:19" x14ac:dyDescent="0.25">
      <c r="A939" s="4" t="s">
        <v>5843</v>
      </c>
      <c r="B939" s="4" t="s">
        <v>5557</v>
      </c>
      <c r="C939" s="4" t="s">
        <v>712</v>
      </c>
      <c r="D939" s="3" t="str">
        <f t="shared" si="84"/>
        <v>PPA</v>
      </c>
      <c r="E939" s="3" t="str">
        <f t="shared" si="85"/>
        <v>O</v>
      </c>
      <c r="F939" s="3" t="str">
        <f t="shared" si="86"/>
        <v>017</v>
      </c>
      <c r="G939" s="3" t="str">
        <f t="shared" si="87"/>
        <v>NA</v>
      </c>
      <c r="H939" s="3" t="str">
        <f t="shared" si="88"/>
        <v>040</v>
      </c>
      <c r="I939" s="3" t="str">
        <f t="shared" si="89"/>
        <v>00</v>
      </c>
      <c r="L939" s="3" t="s">
        <v>3309</v>
      </c>
      <c r="R939" s="3" t="s">
        <v>5844</v>
      </c>
      <c r="S939" s="15" t="s">
        <v>3247</v>
      </c>
    </row>
    <row r="940" spans="1:19" x14ac:dyDescent="0.25">
      <c r="A940" s="4" t="s">
        <v>5845</v>
      </c>
      <c r="B940" s="4" t="s">
        <v>5557</v>
      </c>
      <c r="C940" s="4" t="s">
        <v>713</v>
      </c>
      <c r="D940" s="3" t="str">
        <f t="shared" si="84"/>
        <v>PPA</v>
      </c>
      <c r="E940" s="3" t="str">
        <f t="shared" si="85"/>
        <v>O</v>
      </c>
      <c r="F940" s="3" t="str">
        <f t="shared" si="86"/>
        <v>018</v>
      </c>
      <c r="G940" s="3" t="str">
        <f t="shared" si="87"/>
        <v>NA</v>
      </c>
      <c r="H940" s="3" t="str">
        <f t="shared" si="88"/>
        <v>040</v>
      </c>
      <c r="I940" s="3" t="str">
        <f t="shared" si="89"/>
        <v>00</v>
      </c>
      <c r="L940" s="3" t="s">
        <v>3309</v>
      </c>
      <c r="R940" s="3" t="s">
        <v>5846</v>
      </c>
      <c r="S940" s="15">
        <v>2</v>
      </c>
    </row>
    <row r="941" spans="1:19" x14ac:dyDescent="0.25">
      <c r="A941" s="4" t="s">
        <v>5847</v>
      </c>
      <c r="B941" s="4" t="s">
        <v>5557</v>
      </c>
      <c r="C941" s="4" t="s">
        <v>714</v>
      </c>
      <c r="D941" s="3" t="str">
        <f t="shared" si="84"/>
        <v>PPA</v>
      </c>
      <c r="E941" s="3" t="str">
        <f t="shared" si="85"/>
        <v>O</v>
      </c>
      <c r="F941" s="3" t="str">
        <f t="shared" si="86"/>
        <v>019</v>
      </c>
      <c r="G941" s="3" t="str">
        <f t="shared" si="87"/>
        <v>NA</v>
      </c>
      <c r="H941" s="3" t="str">
        <f t="shared" si="88"/>
        <v>040</v>
      </c>
      <c r="I941" s="3" t="str">
        <f t="shared" si="89"/>
        <v>00</v>
      </c>
      <c r="L941" s="3" t="s">
        <v>3309</v>
      </c>
      <c r="R941" s="3" t="s">
        <v>5848</v>
      </c>
      <c r="S941" s="15" t="s">
        <v>3247</v>
      </c>
    </row>
    <row r="942" spans="1:19" x14ac:dyDescent="0.25">
      <c r="A942" s="4" t="s">
        <v>5849</v>
      </c>
      <c r="B942" s="4" t="s">
        <v>5557</v>
      </c>
      <c r="C942" s="4" t="s">
        <v>715</v>
      </c>
      <c r="D942" s="3" t="str">
        <f t="shared" si="84"/>
        <v>PPA</v>
      </c>
      <c r="E942" s="3" t="str">
        <f t="shared" si="85"/>
        <v>O</v>
      </c>
      <c r="F942" s="3" t="str">
        <f t="shared" si="86"/>
        <v>020</v>
      </c>
      <c r="G942" s="3" t="str">
        <f t="shared" si="87"/>
        <v>NA</v>
      </c>
      <c r="H942" s="3" t="str">
        <f t="shared" si="88"/>
        <v>040</v>
      </c>
      <c r="I942" s="3" t="str">
        <f t="shared" si="89"/>
        <v>00</v>
      </c>
      <c r="L942" s="3" t="s">
        <v>3309</v>
      </c>
      <c r="R942" s="3" t="s">
        <v>5850</v>
      </c>
      <c r="S942" s="15" t="s">
        <v>3247</v>
      </c>
    </row>
    <row r="943" spans="1:19" x14ac:dyDescent="0.25">
      <c r="A943" s="4" t="s">
        <v>5851</v>
      </c>
      <c r="B943" s="4" t="s">
        <v>5557</v>
      </c>
      <c r="C943" s="4" t="s">
        <v>716</v>
      </c>
      <c r="D943" s="3" t="str">
        <f t="shared" si="84"/>
        <v>PPA</v>
      </c>
      <c r="E943" s="3" t="str">
        <f t="shared" si="85"/>
        <v>O</v>
      </c>
      <c r="F943" s="3" t="str">
        <f t="shared" si="86"/>
        <v>021</v>
      </c>
      <c r="G943" s="3" t="str">
        <f t="shared" si="87"/>
        <v>NA</v>
      </c>
      <c r="H943" s="3" t="str">
        <f t="shared" si="88"/>
        <v>040</v>
      </c>
      <c r="I943" s="3" t="str">
        <f t="shared" si="89"/>
        <v>01</v>
      </c>
      <c r="L943" s="3" t="s">
        <v>3309</v>
      </c>
      <c r="R943" s="3" t="s">
        <v>5852</v>
      </c>
      <c r="S943" s="15" t="s">
        <v>3247</v>
      </c>
    </row>
    <row r="944" spans="1:19" ht="30" x14ac:dyDescent="0.25">
      <c r="A944" s="4" t="s">
        <v>5853</v>
      </c>
      <c r="B944" s="4" t="s">
        <v>5557</v>
      </c>
      <c r="C944" s="4" t="s">
        <v>5854</v>
      </c>
      <c r="D944" s="3" t="str">
        <f t="shared" si="84"/>
        <v>PPA</v>
      </c>
      <c r="E944" s="3" t="str">
        <f t="shared" si="85"/>
        <v>B</v>
      </c>
      <c r="F944" s="3" t="str">
        <f t="shared" si="86"/>
        <v>007</v>
      </c>
      <c r="G944" s="3" t="str">
        <f t="shared" si="87"/>
        <v>MW</v>
      </c>
      <c r="H944" s="3" t="str">
        <f t="shared" si="88"/>
        <v>042</v>
      </c>
      <c r="I944" s="3" t="str">
        <f t="shared" si="89"/>
        <v>00</v>
      </c>
      <c r="L944" s="3" t="s">
        <v>3309</v>
      </c>
      <c r="R944" s="3" t="s">
        <v>5855</v>
      </c>
      <c r="S944" s="15" t="s">
        <v>3247</v>
      </c>
    </row>
    <row r="945" spans="1:19" x14ac:dyDescent="0.25">
      <c r="A945" s="4" t="s">
        <v>5856</v>
      </c>
      <c r="B945" s="4" t="s">
        <v>5557</v>
      </c>
      <c r="C945" s="4" t="s">
        <v>5857</v>
      </c>
      <c r="D945" s="3" t="str">
        <f t="shared" si="84"/>
        <v>PPA</v>
      </c>
      <c r="E945" s="3" t="str">
        <f t="shared" si="85"/>
        <v>C</v>
      </c>
      <c r="F945" s="3" t="str">
        <f t="shared" si="86"/>
        <v>004</v>
      </c>
      <c r="G945" s="3" t="str">
        <f t="shared" si="87"/>
        <v>NA</v>
      </c>
      <c r="H945" s="3" t="str">
        <f t="shared" si="88"/>
        <v>000</v>
      </c>
      <c r="I945" s="3" t="str">
        <f t="shared" si="89"/>
        <v>02</v>
      </c>
      <c r="L945" s="3" t="s">
        <v>3309</v>
      </c>
      <c r="R945" s="3" t="s">
        <v>5858</v>
      </c>
      <c r="S945" s="15" t="s">
        <v>3247</v>
      </c>
    </row>
    <row r="946" spans="1:19" x14ac:dyDescent="0.25">
      <c r="A946" s="4" t="s">
        <v>5859</v>
      </c>
      <c r="B946" s="4" t="s">
        <v>5557</v>
      </c>
      <c r="C946" s="4" t="s">
        <v>5860</v>
      </c>
      <c r="D946" s="3" t="str">
        <f t="shared" si="84"/>
        <v>PPA</v>
      </c>
      <c r="E946" s="3" t="str">
        <f t="shared" si="85"/>
        <v>O</v>
      </c>
      <c r="F946" s="3" t="str">
        <f t="shared" si="86"/>
        <v>030</v>
      </c>
      <c r="G946" s="3" t="str">
        <f t="shared" si="87"/>
        <v>DE</v>
      </c>
      <c r="H946" s="3" t="str">
        <f t="shared" si="88"/>
        <v>000</v>
      </c>
      <c r="I946" s="3" t="str">
        <f t="shared" si="89"/>
        <v>00</v>
      </c>
      <c r="L946" s="3" t="s">
        <v>3309</v>
      </c>
      <c r="R946" s="3" t="s">
        <v>5861</v>
      </c>
      <c r="S946" s="15" t="s">
        <v>3247</v>
      </c>
    </row>
    <row r="947" spans="1:19" x14ac:dyDescent="0.25">
      <c r="A947" s="4" t="s">
        <v>5862</v>
      </c>
      <c r="B947" s="4" t="s">
        <v>5557</v>
      </c>
      <c r="C947" s="4" t="s">
        <v>5863</v>
      </c>
      <c r="D947" s="3" t="str">
        <f t="shared" si="84"/>
        <v>PPA</v>
      </c>
      <c r="E947" s="3" t="str">
        <f t="shared" si="85"/>
        <v>O</v>
      </c>
      <c r="F947" s="3" t="str">
        <f t="shared" si="86"/>
        <v>017</v>
      </c>
      <c r="G947" s="3" t="str">
        <f t="shared" si="87"/>
        <v>CI</v>
      </c>
      <c r="H947" s="3" t="str">
        <f t="shared" si="88"/>
        <v>000</v>
      </c>
      <c r="I947" s="3" t="str">
        <f t="shared" si="89"/>
        <v>00</v>
      </c>
      <c r="L947" s="3" t="s">
        <v>3608</v>
      </c>
      <c r="R947" s="3" t="s">
        <v>5864</v>
      </c>
      <c r="S947" s="15" t="s">
        <v>3247</v>
      </c>
    </row>
    <row r="948" spans="1:19" x14ac:dyDescent="0.25">
      <c r="A948" s="4" t="s">
        <v>5865</v>
      </c>
      <c r="B948" s="4" t="s">
        <v>5557</v>
      </c>
      <c r="C948" s="4" t="s">
        <v>5866</v>
      </c>
      <c r="D948" s="3" t="str">
        <f t="shared" si="84"/>
        <v>PPA</v>
      </c>
      <c r="E948" s="3" t="str">
        <f t="shared" si="85"/>
        <v>E</v>
      </c>
      <c r="F948" s="3" t="str">
        <f t="shared" si="86"/>
        <v>018</v>
      </c>
      <c r="G948" s="3" t="str">
        <f t="shared" si="87"/>
        <v>SA</v>
      </c>
      <c r="H948" s="3" t="str">
        <f t="shared" si="88"/>
        <v>000</v>
      </c>
      <c r="I948" s="3" t="str">
        <f t="shared" si="89"/>
        <v>00</v>
      </c>
      <c r="L948" s="3" t="s">
        <v>3309</v>
      </c>
      <c r="R948" s="3" t="s">
        <v>5867</v>
      </c>
      <c r="S948" s="15" t="s">
        <v>3247</v>
      </c>
    </row>
    <row r="949" spans="1:19" x14ac:dyDescent="0.25">
      <c r="A949" s="4" t="s">
        <v>5868</v>
      </c>
      <c r="B949" s="4" t="s">
        <v>5557</v>
      </c>
      <c r="C949" s="4" t="s">
        <v>5869</v>
      </c>
      <c r="D949" s="3" t="str">
        <f t="shared" si="84"/>
        <v>PPA</v>
      </c>
      <c r="E949" s="3" t="str">
        <f t="shared" si="85"/>
        <v>E</v>
      </c>
      <c r="F949" s="3" t="str">
        <f t="shared" si="86"/>
        <v>019</v>
      </c>
      <c r="G949" s="3" t="str">
        <f t="shared" si="87"/>
        <v>SA</v>
      </c>
      <c r="H949" s="3" t="str">
        <f t="shared" si="88"/>
        <v>000</v>
      </c>
      <c r="I949" s="3" t="str">
        <f t="shared" si="89"/>
        <v>00</v>
      </c>
      <c r="L949" s="3" t="s">
        <v>3309</v>
      </c>
      <c r="R949" s="3" t="s">
        <v>5870</v>
      </c>
      <c r="S949" s="15" t="s">
        <v>3247</v>
      </c>
    </row>
    <row r="950" spans="1:19" x14ac:dyDescent="0.25">
      <c r="A950" s="4" t="s">
        <v>5871</v>
      </c>
      <c r="B950" s="4" t="s">
        <v>5557</v>
      </c>
      <c r="C950" s="4" t="s">
        <v>5872</v>
      </c>
      <c r="D950" s="3" t="str">
        <f t="shared" si="84"/>
        <v>PPA</v>
      </c>
      <c r="E950" s="3" t="str">
        <f t="shared" si="85"/>
        <v>G</v>
      </c>
      <c r="F950" s="3" t="str">
        <f t="shared" si="86"/>
        <v>301</v>
      </c>
      <c r="G950" s="3" t="str">
        <f t="shared" si="87"/>
        <v>SC</v>
      </c>
      <c r="H950" s="3" t="str">
        <f t="shared" si="88"/>
        <v>009</v>
      </c>
      <c r="I950" s="3" t="str">
        <f t="shared" si="89"/>
        <v>00</v>
      </c>
      <c r="L950" s="3" t="s">
        <v>3309</v>
      </c>
      <c r="R950" s="3" t="s">
        <v>5873</v>
      </c>
      <c r="S950" s="15" t="s">
        <v>3247</v>
      </c>
    </row>
    <row r="951" spans="1:19" ht="30" x14ac:dyDescent="0.25">
      <c r="A951" s="4" t="s">
        <v>5874</v>
      </c>
      <c r="B951" s="4" t="s">
        <v>5557</v>
      </c>
      <c r="C951" s="4" t="s">
        <v>5875</v>
      </c>
      <c r="D951" s="3" t="str">
        <f t="shared" si="84"/>
        <v>PPA</v>
      </c>
      <c r="E951" s="3" t="str">
        <f t="shared" si="85"/>
        <v>L</v>
      </c>
      <c r="F951" s="3" t="str">
        <f t="shared" si="86"/>
        <v>019</v>
      </c>
      <c r="G951" s="3" t="str">
        <f t="shared" si="87"/>
        <v>CH</v>
      </c>
      <c r="H951" s="3" t="str">
        <f t="shared" si="88"/>
        <v>000</v>
      </c>
      <c r="I951" s="3" t="str">
        <f t="shared" si="89"/>
        <v>00</v>
      </c>
      <c r="L951" s="3" t="s">
        <v>3309</v>
      </c>
      <c r="R951" s="3" t="s">
        <v>5876</v>
      </c>
      <c r="S951" s="15" t="s">
        <v>3247</v>
      </c>
    </row>
    <row r="952" spans="1:19" ht="30" x14ac:dyDescent="0.25">
      <c r="A952" s="4" t="s">
        <v>5877</v>
      </c>
      <c r="B952" s="4" t="s">
        <v>5557</v>
      </c>
      <c r="C952" s="4" t="s">
        <v>5878</v>
      </c>
      <c r="D952" s="3" t="str">
        <f t="shared" si="84"/>
        <v>PPA</v>
      </c>
      <c r="E952" s="3" t="str">
        <f t="shared" si="85"/>
        <v>L</v>
      </c>
      <c r="F952" s="3" t="str">
        <f t="shared" si="86"/>
        <v>020</v>
      </c>
      <c r="G952" s="3" t="str">
        <f t="shared" si="87"/>
        <v>CH</v>
      </c>
      <c r="H952" s="3" t="str">
        <f t="shared" si="88"/>
        <v>000</v>
      </c>
      <c r="I952" s="3" t="str">
        <f t="shared" si="89"/>
        <v>00</v>
      </c>
      <c r="L952" s="3" t="s">
        <v>3309</v>
      </c>
      <c r="R952" s="3" t="s">
        <v>5879</v>
      </c>
      <c r="S952" s="15" t="s">
        <v>3247</v>
      </c>
    </row>
    <row r="953" spans="1:19" x14ac:dyDescent="0.25">
      <c r="A953" s="4" t="s">
        <v>5880</v>
      </c>
      <c r="B953" s="4" t="s">
        <v>5557</v>
      </c>
      <c r="C953" s="4" t="s">
        <v>5881</v>
      </c>
      <c r="D953" s="3" t="str">
        <f t="shared" si="84"/>
        <v>PPA</v>
      </c>
      <c r="E953" s="3" t="str">
        <f t="shared" si="85"/>
        <v>E</v>
      </c>
      <c r="F953" s="3" t="str">
        <f t="shared" si="86"/>
        <v>020</v>
      </c>
      <c r="G953" s="3" t="str">
        <f t="shared" si="87"/>
        <v>PH</v>
      </c>
      <c r="H953" s="3" t="str">
        <f t="shared" si="88"/>
        <v>000</v>
      </c>
      <c r="I953" s="3" t="str">
        <f t="shared" si="89"/>
        <v>00</v>
      </c>
      <c r="L953" s="3" t="s">
        <v>3309</v>
      </c>
      <c r="R953" s="3" t="s">
        <v>5882</v>
      </c>
      <c r="S953" s="15" t="s">
        <v>3247</v>
      </c>
    </row>
    <row r="954" spans="1:19" ht="30" x14ac:dyDescent="0.25">
      <c r="A954" s="4" t="s">
        <v>5883</v>
      </c>
      <c r="B954" s="4" t="s">
        <v>5557</v>
      </c>
      <c r="C954" s="4" t="s">
        <v>5884</v>
      </c>
      <c r="D954" s="3" t="str">
        <f t="shared" si="84"/>
        <v>PPA</v>
      </c>
      <c r="E954" s="3" t="str">
        <f t="shared" si="85"/>
        <v>O</v>
      </c>
      <c r="F954" s="3" t="str">
        <f t="shared" si="86"/>
        <v>021</v>
      </c>
      <c r="G954" s="3" t="str">
        <f t="shared" si="87"/>
        <v>SC</v>
      </c>
      <c r="H954" s="3" t="str">
        <f t="shared" si="88"/>
        <v>000</v>
      </c>
      <c r="I954" s="3" t="str">
        <f t="shared" si="89"/>
        <v>00</v>
      </c>
      <c r="L954" s="3" t="s">
        <v>3309</v>
      </c>
      <c r="R954" s="3" t="s">
        <v>5885</v>
      </c>
      <c r="S954" s="15" t="s">
        <v>3247</v>
      </c>
    </row>
    <row r="955" spans="1:19" x14ac:dyDescent="0.25">
      <c r="A955" s="4" t="s">
        <v>5886</v>
      </c>
      <c r="B955" s="4" t="s">
        <v>5557</v>
      </c>
      <c r="C955" s="4" t="s">
        <v>5887</v>
      </c>
      <c r="D955" s="3" t="str">
        <f t="shared" si="84"/>
        <v>PPA</v>
      </c>
      <c r="E955" s="3" t="str">
        <f t="shared" si="85"/>
        <v>J</v>
      </c>
      <c r="F955" s="3" t="str">
        <f t="shared" si="86"/>
        <v>017</v>
      </c>
      <c r="G955" s="3" t="str">
        <f t="shared" si="87"/>
        <v>ST</v>
      </c>
      <c r="H955" s="3" t="str">
        <f t="shared" si="88"/>
        <v>000</v>
      </c>
      <c r="I955" s="3" t="str">
        <f t="shared" si="89"/>
        <v>00</v>
      </c>
      <c r="L955" s="3" t="s">
        <v>3309</v>
      </c>
      <c r="R955" s="3" t="s">
        <v>5888</v>
      </c>
      <c r="S955" s="15" t="s">
        <v>3247</v>
      </c>
    </row>
    <row r="956" spans="1:19" x14ac:dyDescent="0.25">
      <c r="A956" s="4" t="s">
        <v>5889</v>
      </c>
      <c r="B956" s="4" t="s">
        <v>5557</v>
      </c>
      <c r="C956" s="4" t="s">
        <v>2939</v>
      </c>
      <c r="D956" s="3" t="str">
        <f t="shared" si="84"/>
        <v>PPA</v>
      </c>
      <c r="E956" s="3" t="str">
        <f t="shared" si="85"/>
        <v>B</v>
      </c>
      <c r="F956" s="3" t="str">
        <f t="shared" si="86"/>
        <v>009</v>
      </c>
      <c r="G956" s="3" t="str">
        <f t="shared" si="87"/>
        <v>NA</v>
      </c>
      <c r="H956" s="3" t="str">
        <f t="shared" si="88"/>
        <v>000</v>
      </c>
      <c r="I956" s="3" t="str">
        <f t="shared" si="89"/>
        <v>00</v>
      </c>
      <c r="L956" s="3" t="s">
        <v>3309</v>
      </c>
      <c r="R956" s="3" t="s">
        <v>5890</v>
      </c>
      <c r="S956" s="15">
        <v>4</v>
      </c>
    </row>
    <row r="957" spans="1:19" x14ac:dyDescent="0.25">
      <c r="A957" s="4" t="s">
        <v>5891</v>
      </c>
      <c r="B957" s="4" t="s">
        <v>5557</v>
      </c>
      <c r="C957" s="4" t="s">
        <v>5892</v>
      </c>
      <c r="D957" s="3" t="str">
        <f t="shared" si="84"/>
        <v>PPA</v>
      </c>
      <c r="E957" s="3" t="str">
        <f t="shared" si="85"/>
        <v>O</v>
      </c>
      <c r="F957" s="3" t="str">
        <f t="shared" si="86"/>
        <v>021</v>
      </c>
      <c r="G957" s="3" t="str">
        <f t="shared" si="87"/>
        <v>NA</v>
      </c>
      <c r="H957" s="3" t="str">
        <f t="shared" si="88"/>
        <v>040</v>
      </c>
      <c r="I957" s="3" t="str">
        <f t="shared" si="89"/>
        <v>00</v>
      </c>
      <c r="L957" s="3" t="s">
        <v>3309</v>
      </c>
      <c r="R957" s="3" t="s">
        <v>5893</v>
      </c>
      <c r="S957" s="15">
        <v>4</v>
      </c>
    </row>
    <row r="958" spans="1:19" x14ac:dyDescent="0.25">
      <c r="A958" s="4" t="s">
        <v>5894</v>
      </c>
      <c r="B958" s="4" t="s">
        <v>5557</v>
      </c>
      <c r="C958" s="4" t="s">
        <v>5895</v>
      </c>
      <c r="D958" s="3" t="str">
        <f t="shared" si="84"/>
        <v>PPA</v>
      </c>
      <c r="E958" s="3" t="str">
        <f t="shared" si="85"/>
        <v>E</v>
      </c>
      <c r="F958" s="3" t="str">
        <f t="shared" si="86"/>
        <v>005</v>
      </c>
      <c r="G958" s="3" t="str">
        <f t="shared" si="87"/>
        <v>SC</v>
      </c>
      <c r="H958" s="3" t="str">
        <f t="shared" si="88"/>
        <v>000</v>
      </c>
      <c r="I958" s="3" t="str">
        <f t="shared" si="89"/>
        <v>00</v>
      </c>
      <c r="L958" s="3" t="s">
        <v>3309</v>
      </c>
      <c r="R958" s="3" t="s">
        <v>5896</v>
      </c>
      <c r="S958" s="15">
        <v>2</v>
      </c>
    </row>
    <row r="959" spans="1:19" x14ac:dyDescent="0.25">
      <c r="A959" s="4" t="s">
        <v>5897</v>
      </c>
      <c r="B959" s="4" t="s">
        <v>5557</v>
      </c>
      <c r="C959" s="4" t="s">
        <v>5898</v>
      </c>
      <c r="D959" s="3" t="str">
        <f t="shared" si="84"/>
        <v>PPA</v>
      </c>
      <c r="E959" s="3" t="str">
        <f t="shared" si="85"/>
        <v>O</v>
      </c>
      <c r="F959" s="3" t="str">
        <f t="shared" si="86"/>
        <v>001</v>
      </c>
      <c r="G959" s="3" t="str">
        <f t="shared" si="87"/>
        <v>DE</v>
      </c>
      <c r="H959" s="3" t="str">
        <f t="shared" si="88"/>
        <v>043</v>
      </c>
      <c r="I959" s="3" t="str">
        <f t="shared" si="89"/>
        <v>00</v>
      </c>
      <c r="L959" s="3" t="s">
        <v>3309</v>
      </c>
      <c r="R959" s="3" t="s">
        <v>5899</v>
      </c>
      <c r="S959" s="15">
        <v>5</v>
      </c>
    </row>
    <row r="960" spans="1:19" x14ac:dyDescent="0.25">
      <c r="A960" s="4" t="s">
        <v>5900</v>
      </c>
      <c r="B960" s="4" t="s">
        <v>5557</v>
      </c>
      <c r="C960" s="4" t="s">
        <v>5901</v>
      </c>
      <c r="D960" s="3" t="str">
        <f t="shared" si="84"/>
        <v>PPA</v>
      </c>
      <c r="E960" s="3" t="str">
        <f t="shared" si="85"/>
        <v>3</v>
      </c>
      <c r="F960" s="3" t="str">
        <f t="shared" si="86"/>
        <v>01E</v>
      </c>
      <c r="G960" s="3" t="str">
        <f t="shared" si="87"/>
        <v>L0</v>
      </c>
      <c r="H960" s="3" t="str">
        <f t="shared" si="88"/>
        <v>030</v>
      </c>
      <c r="I960" s="3" t="str">
        <f t="shared" si="89"/>
        <v>0</v>
      </c>
      <c r="L960" s="3" t="s">
        <v>3309</v>
      </c>
      <c r="R960" s="3" t="s">
        <v>5902</v>
      </c>
      <c r="S960" s="15">
        <v>3</v>
      </c>
    </row>
    <row r="961" spans="1:19" ht="30" x14ac:dyDescent="0.25">
      <c r="A961" s="4" t="s">
        <v>5903</v>
      </c>
      <c r="B961" s="4" t="s">
        <v>3</v>
      </c>
      <c r="C961" s="4" t="s">
        <v>5904</v>
      </c>
      <c r="D961" s="3" t="str">
        <f t="shared" si="84"/>
        <v>PLC</v>
      </c>
      <c r="E961" s="3" t="str">
        <f t="shared" si="85"/>
        <v>D</v>
      </c>
      <c r="F961" s="3" t="str">
        <f t="shared" si="86"/>
        <v>003</v>
      </c>
      <c r="G961" s="3" t="str">
        <f t="shared" si="87"/>
        <v>RE</v>
      </c>
      <c r="H961" s="3" t="str">
        <f t="shared" si="88"/>
        <v>002</v>
      </c>
      <c r="I961" s="3" t="str">
        <f t="shared" si="89"/>
        <v>02</v>
      </c>
      <c r="L961" s="3" t="s">
        <v>3245</v>
      </c>
      <c r="R961" s="3" t="s">
        <v>5905</v>
      </c>
      <c r="S961" s="15" t="s">
        <v>3247</v>
      </c>
    </row>
    <row r="962" spans="1:19" ht="30" x14ac:dyDescent="0.25">
      <c r="A962" s="4" t="s">
        <v>5906</v>
      </c>
      <c r="B962" s="4" t="s">
        <v>3</v>
      </c>
      <c r="C962" s="4" t="s">
        <v>5907</v>
      </c>
      <c r="D962" s="3" t="str">
        <f t="shared" ref="D962:D1025" si="90">LEFT(A962,3)</f>
        <v>PLC</v>
      </c>
      <c r="E962" s="3" t="str">
        <f t="shared" ref="E962:E1025" si="91">MID(A962,4,1)</f>
        <v>K</v>
      </c>
      <c r="F962" s="3" t="str">
        <f t="shared" ref="F962:F1025" si="92">MID(A962,5,3)</f>
        <v>001</v>
      </c>
      <c r="G962" s="3" t="str">
        <f t="shared" ref="G962:G1025" si="93">MID(A962,8,2)</f>
        <v>SC</v>
      </c>
      <c r="H962" s="3" t="str">
        <f t="shared" ref="H962:H1025" si="94">MID(A962,10,3)</f>
        <v>001</v>
      </c>
      <c r="I962" s="3" t="str">
        <f t="shared" ref="I962:I1025" si="95">MID(A962,13,2)</f>
        <v>01</v>
      </c>
      <c r="L962" s="3" t="s">
        <v>3245</v>
      </c>
      <c r="R962" s="3" t="s">
        <v>5908</v>
      </c>
      <c r="S962" s="15" t="s">
        <v>3247</v>
      </c>
    </row>
    <row r="963" spans="1:19" x14ac:dyDescent="0.25">
      <c r="A963" s="4" t="s">
        <v>5909</v>
      </c>
      <c r="B963" s="4" t="s">
        <v>3</v>
      </c>
      <c r="C963" s="4" t="s">
        <v>5910</v>
      </c>
      <c r="D963" s="3" t="str">
        <f t="shared" si="90"/>
        <v>PLC</v>
      </c>
      <c r="E963" s="3" t="str">
        <f t="shared" si="91"/>
        <v>O</v>
      </c>
      <c r="F963" s="3" t="str">
        <f t="shared" si="92"/>
        <v>001</v>
      </c>
      <c r="G963" s="3" t="str">
        <f t="shared" si="93"/>
        <v>SE</v>
      </c>
      <c r="H963" s="3" t="str">
        <f t="shared" si="94"/>
        <v>003</v>
      </c>
      <c r="I963" s="3" t="str">
        <f t="shared" si="95"/>
        <v>02</v>
      </c>
      <c r="L963" s="3" t="s">
        <v>3309</v>
      </c>
      <c r="R963" s="3" t="s">
        <v>5911</v>
      </c>
      <c r="S963" s="15" t="s">
        <v>3247</v>
      </c>
    </row>
    <row r="964" spans="1:19" x14ac:dyDescent="0.25">
      <c r="A964" s="4" t="s">
        <v>5912</v>
      </c>
      <c r="B964" s="4" t="s">
        <v>3</v>
      </c>
      <c r="C964" s="4" t="s">
        <v>5913</v>
      </c>
      <c r="D964" s="3" t="str">
        <f t="shared" si="90"/>
        <v>PLC</v>
      </c>
      <c r="E964" s="3" t="str">
        <f t="shared" si="91"/>
        <v>O</v>
      </c>
      <c r="F964" s="3" t="str">
        <f t="shared" si="92"/>
        <v>001</v>
      </c>
      <c r="G964" s="3" t="str">
        <f t="shared" si="93"/>
        <v>SE</v>
      </c>
      <c r="H964" s="3" t="str">
        <f t="shared" si="94"/>
        <v>004</v>
      </c>
      <c r="I964" s="3" t="str">
        <f t="shared" si="95"/>
        <v>02</v>
      </c>
      <c r="L964" s="3" t="s">
        <v>3245</v>
      </c>
      <c r="R964" s="3" t="s">
        <v>5914</v>
      </c>
      <c r="S964" s="15" t="s">
        <v>3247</v>
      </c>
    </row>
    <row r="965" spans="1:19" ht="30" x14ac:dyDescent="0.25">
      <c r="A965" s="4" t="s">
        <v>5915</v>
      </c>
      <c r="B965" s="4" t="s">
        <v>3</v>
      </c>
      <c r="C965" s="4" t="s">
        <v>5916</v>
      </c>
      <c r="D965" s="3" t="str">
        <f t="shared" si="90"/>
        <v>PLC</v>
      </c>
      <c r="E965" s="3" t="str">
        <f t="shared" si="91"/>
        <v>D</v>
      </c>
      <c r="F965" s="3" t="str">
        <f t="shared" si="92"/>
        <v>004</v>
      </c>
      <c r="G965" s="3" t="str">
        <f t="shared" si="93"/>
        <v>SE</v>
      </c>
      <c r="H965" s="3" t="str">
        <f t="shared" si="94"/>
        <v>009</v>
      </c>
      <c r="I965" s="3" t="str">
        <f t="shared" si="95"/>
        <v>02</v>
      </c>
      <c r="L965" s="3" t="s">
        <v>3309</v>
      </c>
      <c r="R965" s="3" t="s">
        <v>5917</v>
      </c>
      <c r="S965" s="15" t="s">
        <v>3247</v>
      </c>
    </row>
    <row r="966" spans="1:19" x14ac:dyDescent="0.25">
      <c r="A966" s="4" t="s">
        <v>5918</v>
      </c>
      <c r="B966" s="4" t="s">
        <v>3</v>
      </c>
      <c r="C966" s="4" t="s">
        <v>5919</v>
      </c>
      <c r="D966" s="3" t="str">
        <f t="shared" si="90"/>
        <v>PLC</v>
      </c>
      <c r="E966" s="3" t="str">
        <f t="shared" si="91"/>
        <v>Q</v>
      </c>
      <c r="F966" s="3" t="str">
        <f t="shared" si="92"/>
        <v>001</v>
      </c>
      <c r="G966" s="3" t="str">
        <f t="shared" si="93"/>
        <v>SE</v>
      </c>
      <c r="H966" s="3" t="str">
        <f t="shared" si="94"/>
        <v>010</v>
      </c>
      <c r="I966" s="3" t="str">
        <f t="shared" si="95"/>
        <v>03</v>
      </c>
      <c r="L966" s="3" t="s">
        <v>3309</v>
      </c>
      <c r="R966" s="3" t="s">
        <v>5920</v>
      </c>
      <c r="S966" s="15">
        <v>248</v>
      </c>
    </row>
    <row r="967" spans="1:19" x14ac:dyDescent="0.25">
      <c r="A967" s="4" t="s">
        <v>5921</v>
      </c>
      <c r="B967" s="4" t="s">
        <v>3</v>
      </c>
      <c r="C967" s="4" t="s">
        <v>5922</v>
      </c>
      <c r="D967" s="3" t="str">
        <f t="shared" si="90"/>
        <v>PLC</v>
      </c>
      <c r="E967" s="3" t="str">
        <f t="shared" si="91"/>
        <v>C</v>
      </c>
      <c r="F967" s="3" t="str">
        <f t="shared" si="92"/>
        <v>003</v>
      </c>
      <c r="G967" s="3" t="str">
        <f t="shared" si="93"/>
        <v>RE</v>
      </c>
      <c r="H967" s="3" t="str">
        <f t="shared" si="94"/>
        <v>011</v>
      </c>
      <c r="I967" s="3" t="str">
        <f t="shared" si="95"/>
        <v>02</v>
      </c>
      <c r="L967" s="3" t="s">
        <v>3309</v>
      </c>
      <c r="R967" s="3" t="s">
        <v>5923</v>
      </c>
      <c r="S967" s="15" t="s">
        <v>3247</v>
      </c>
    </row>
    <row r="968" spans="1:19" x14ac:dyDescent="0.25">
      <c r="A968" s="4" t="s">
        <v>5924</v>
      </c>
      <c r="B968" s="4" t="s">
        <v>3</v>
      </c>
      <c r="C968" s="4" t="s">
        <v>5925</v>
      </c>
      <c r="D968" s="3" t="str">
        <f t="shared" si="90"/>
        <v>PLC</v>
      </c>
      <c r="E968" s="3" t="str">
        <f t="shared" si="91"/>
        <v>C</v>
      </c>
      <c r="F968" s="3" t="str">
        <f t="shared" si="92"/>
        <v>002</v>
      </c>
      <c r="G968" s="3" t="str">
        <f t="shared" si="93"/>
        <v>NA</v>
      </c>
      <c r="H968" s="3" t="str">
        <f t="shared" si="94"/>
        <v>000</v>
      </c>
      <c r="I968" s="3" t="str">
        <f t="shared" si="95"/>
        <v>00</v>
      </c>
      <c r="L968" s="3" t="s">
        <v>3309</v>
      </c>
      <c r="R968" s="3" t="s">
        <v>5926</v>
      </c>
      <c r="S968" s="15" t="s">
        <v>3247</v>
      </c>
    </row>
    <row r="969" spans="1:19" x14ac:dyDescent="0.25">
      <c r="A969" s="4" t="s">
        <v>5927</v>
      </c>
      <c r="B969" s="4" t="s">
        <v>3</v>
      </c>
      <c r="C969" s="4" t="s">
        <v>5928</v>
      </c>
      <c r="D969" s="3" t="str">
        <f t="shared" si="90"/>
        <v>PLC</v>
      </c>
      <c r="E969" s="3" t="str">
        <f t="shared" si="91"/>
        <v>C</v>
      </c>
      <c r="F969" s="3" t="str">
        <f t="shared" si="92"/>
        <v>003</v>
      </c>
      <c r="G969" s="3" t="str">
        <f t="shared" si="93"/>
        <v>NA</v>
      </c>
      <c r="H969" s="3" t="str">
        <f t="shared" si="94"/>
        <v>000</v>
      </c>
      <c r="I969" s="3" t="str">
        <f t="shared" si="95"/>
        <v>00</v>
      </c>
      <c r="L969" s="3" t="s">
        <v>3309</v>
      </c>
      <c r="R969" s="3" t="s">
        <v>5929</v>
      </c>
      <c r="S969" s="15" t="s">
        <v>3247</v>
      </c>
    </row>
    <row r="970" spans="1:19" x14ac:dyDescent="0.25">
      <c r="A970" s="4" t="s">
        <v>5930</v>
      </c>
      <c r="B970" s="4" t="s">
        <v>3</v>
      </c>
      <c r="C970" s="4" t="s">
        <v>5931</v>
      </c>
      <c r="D970" s="3" t="str">
        <f t="shared" si="90"/>
        <v>PLC</v>
      </c>
      <c r="E970" s="3" t="str">
        <f t="shared" si="91"/>
        <v>E</v>
      </c>
      <c r="F970" s="3" t="str">
        <f t="shared" si="92"/>
        <v>002</v>
      </c>
      <c r="G970" s="3" t="str">
        <f t="shared" si="93"/>
        <v>SE</v>
      </c>
      <c r="H970" s="3" t="str">
        <f t="shared" si="94"/>
        <v>012</v>
      </c>
      <c r="I970" s="3" t="str">
        <f t="shared" si="95"/>
        <v>02</v>
      </c>
      <c r="L970" s="3" t="s">
        <v>3309</v>
      </c>
      <c r="R970" s="3" t="s">
        <v>5932</v>
      </c>
      <c r="S970" s="15" t="s">
        <v>3247</v>
      </c>
    </row>
    <row r="971" spans="1:19" x14ac:dyDescent="0.25">
      <c r="A971" s="4" t="s">
        <v>5933</v>
      </c>
      <c r="B971" s="4" t="s">
        <v>3</v>
      </c>
      <c r="C971" s="4" t="s">
        <v>5934</v>
      </c>
      <c r="D971" s="3" t="str">
        <f t="shared" si="90"/>
        <v>PLC</v>
      </c>
      <c r="E971" s="3" t="str">
        <f t="shared" si="91"/>
        <v>F</v>
      </c>
      <c r="F971" s="3" t="str">
        <f t="shared" si="92"/>
        <v>001</v>
      </c>
      <c r="G971" s="3" t="str">
        <f t="shared" si="93"/>
        <v>SE</v>
      </c>
      <c r="H971" s="3" t="str">
        <f t="shared" si="94"/>
        <v>013</v>
      </c>
      <c r="I971" s="3" t="str">
        <f t="shared" si="95"/>
        <v>02</v>
      </c>
      <c r="L971" s="3" t="s">
        <v>3309</v>
      </c>
      <c r="R971" s="3" t="s">
        <v>5935</v>
      </c>
      <c r="S971" s="15">
        <v>10</v>
      </c>
    </row>
    <row r="972" spans="1:19" ht="45" x14ac:dyDescent="0.25">
      <c r="A972" s="4" t="s">
        <v>5936</v>
      </c>
      <c r="B972" s="4" t="s">
        <v>3</v>
      </c>
      <c r="C972" s="4" t="s">
        <v>5937</v>
      </c>
      <c r="D972" s="3" t="str">
        <f t="shared" si="90"/>
        <v>PLC</v>
      </c>
      <c r="E972" s="3" t="str">
        <f t="shared" si="91"/>
        <v>R</v>
      </c>
      <c r="F972" s="3" t="str">
        <f t="shared" si="92"/>
        <v>001</v>
      </c>
      <c r="G972" s="3" t="str">
        <f t="shared" si="93"/>
        <v>SC</v>
      </c>
      <c r="H972" s="3" t="str">
        <f t="shared" si="94"/>
        <v>014</v>
      </c>
      <c r="I972" s="3" t="str">
        <f t="shared" si="95"/>
        <v>00</v>
      </c>
      <c r="L972" s="3" t="s">
        <v>3309</v>
      </c>
      <c r="R972" s="3" t="s">
        <v>5938</v>
      </c>
      <c r="S972" s="15" t="s">
        <v>3247</v>
      </c>
    </row>
    <row r="973" spans="1:19" ht="30" x14ac:dyDescent="0.25">
      <c r="A973" s="4" t="s">
        <v>5939</v>
      </c>
      <c r="B973" s="4" t="s">
        <v>3</v>
      </c>
      <c r="C973" s="4" t="s">
        <v>5940</v>
      </c>
      <c r="D973" s="3" t="str">
        <f t="shared" si="90"/>
        <v>PLC</v>
      </c>
      <c r="E973" s="3" t="str">
        <f t="shared" si="91"/>
        <v>C</v>
      </c>
      <c r="F973" s="3" t="str">
        <f t="shared" si="92"/>
        <v>003</v>
      </c>
      <c r="G973" s="3" t="str">
        <f t="shared" si="93"/>
        <v>SC</v>
      </c>
      <c r="H973" s="3" t="str">
        <f t="shared" si="94"/>
        <v>015</v>
      </c>
      <c r="I973" s="3" t="str">
        <f t="shared" si="95"/>
        <v>00</v>
      </c>
      <c r="L973" s="3" t="s">
        <v>3309</v>
      </c>
      <c r="R973" s="3" t="s">
        <v>5941</v>
      </c>
      <c r="S973" s="15" t="s">
        <v>3247</v>
      </c>
    </row>
    <row r="974" spans="1:19" x14ac:dyDescent="0.25">
      <c r="A974" s="4" t="s">
        <v>5942</v>
      </c>
      <c r="B974" s="4" t="s">
        <v>3</v>
      </c>
      <c r="C974" s="4" t="s">
        <v>5943</v>
      </c>
      <c r="D974" s="3" t="str">
        <f t="shared" si="90"/>
        <v>PLC</v>
      </c>
      <c r="E974" s="3" t="str">
        <f t="shared" si="91"/>
        <v>E</v>
      </c>
      <c r="F974" s="3" t="str">
        <f t="shared" si="92"/>
        <v>003</v>
      </c>
      <c r="G974" s="3" t="str">
        <f t="shared" si="93"/>
        <v>SC</v>
      </c>
      <c r="H974" s="3" t="str">
        <f t="shared" si="94"/>
        <v>016</v>
      </c>
      <c r="I974" s="3" t="str">
        <f t="shared" si="95"/>
        <v>00</v>
      </c>
      <c r="L974" s="3" t="s">
        <v>3309</v>
      </c>
      <c r="R974" s="3" t="s">
        <v>5944</v>
      </c>
      <c r="S974" s="15" t="s">
        <v>3247</v>
      </c>
    </row>
    <row r="975" spans="1:19" ht="30" x14ac:dyDescent="0.25">
      <c r="A975" s="4" t="s">
        <v>5945</v>
      </c>
      <c r="B975" s="4" t="s">
        <v>3</v>
      </c>
      <c r="C975" s="4" t="s">
        <v>5946</v>
      </c>
      <c r="D975" s="3" t="str">
        <f t="shared" si="90"/>
        <v>PLC</v>
      </c>
      <c r="E975" s="3" t="str">
        <f t="shared" si="91"/>
        <v>D</v>
      </c>
      <c r="F975" s="3" t="str">
        <f t="shared" si="92"/>
        <v>003</v>
      </c>
      <c r="G975" s="3" t="str">
        <f t="shared" si="93"/>
        <v>SC</v>
      </c>
      <c r="H975" s="3" t="str">
        <f t="shared" si="94"/>
        <v>017</v>
      </c>
      <c r="I975" s="3" t="str">
        <f t="shared" si="95"/>
        <v>00</v>
      </c>
      <c r="L975" s="3" t="s">
        <v>3309</v>
      </c>
      <c r="R975" s="3" t="s">
        <v>5947</v>
      </c>
      <c r="S975" s="15" t="s">
        <v>3247</v>
      </c>
    </row>
    <row r="976" spans="1:19" x14ac:dyDescent="0.25">
      <c r="A976" s="4" t="s">
        <v>5948</v>
      </c>
      <c r="B976" s="4" t="s">
        <v>3</v>
      </c>
      <c r="C976" s="4" t="s">
        <v>5949</v>
      </c>
      <c r="D976" s="3" t="str">
        <f t="shared" si="90"/>
        <v>PLC</v>
      </c>
      <c r="E976" s="3" t="str">
        <f t="shared" si="91"/>
        <v>G</v>
      </c>
      <c r="F976" s="3" t="str">
        <f t="shared" si="92"/>
        <v>001</v>
      </c>
      <c r="G976" s="3" t="str">
        <f t="shared" si="93"/>
        <v>SC</v>
      </c>
      <c r="H976" s="3" t="str">
        <f t="shared" si="94"/>
        <v>018</v>
      </c>
      <c r="I976" s="3" t="str">
        <f t="shared" si="95"/>
        <v>00</v>
      </c>
      <c r="L976" s="3" t="s">
        <v>3309</v>
      </c>
      <c r="R976" s="3" t="s">
        <v>5950</v>
      </c>
      <c r="S976" s="15" t="s">
        <v>3247</v>
      </c>
    </row>
    <row r="977" spans="1:19" ht="30" x14ac:dyDescent="0.25">
      <c r="A977" s="4" t="s">
        <v>5951</v>
      </c>
      <c r="B977" s="4" t="s">
        <v>3</v>
      </c>
      <c r="C977" s="4" t="s">
        <v>5952</v>
      </c>
      <c r="D977" s="3" t="str">
        <f t="shared" si="90"/>
        <v>PLC</v>
      </c>
      <c r="E977" s="3" t="str">
        <f t="shared" si="91"/>
        <v>B</v>
      </c>
      <c r="F977" s="3" t="str">
        <f t="shared" si="92"/>
        <v>000</v>
      </c>
      <c r="G977" s="3" t="str">
        <f t="shared" si="93"/>
        <v>SC</v>
      </c>
      <c r="H977" s="3" t="str">
        <f t="shared" si="94"/>
        <v>019</v>
      </c>
      <c r="I977" s="3" t="str">
        <f t="shared" si="95"/>
        <v>00</v>
      </c>
      <c r="L977" s="3" t="s">
        <v>3309</v>
      </c>
      <c r="R977" s="3" t="s">
        <v>5953</v>
      </c>
      <c r="S977" s="15" t="s">
        <v>3247</v>
      </c>
    </row>
    <row r="978" spans="1:19" x14ac:dyDescent="0.25">
      <c r="A978" s="4" t="s">
        <v>5954</v>
      </c>
      <c r="B978" s="4" t="s">
        <v>3</v>
      </c>
      <c r="C978" s="4" t="s">
        <v>5955</v>
      </c>
      <c r="D978" s="3" t="str">
        <f t="shared" si="90"/>
        <v>PLC</v>
      </c>
      <c r="E978" s="3" t="str">
        <f t="shared" si="91"/>
        <v>B</v>
      </c>
      <c r="F978" s="3" t="str">
        <f t="shared" si="92"/>
        <v>000</v>
      </c>
      <c r="G978" s="3" t="str">
        <f t="shared" si="93"/>
        <v>SC</v>
      </c>
      <c r="H978" s="3" t="str">
        <f t="shared" si="94"/>
        <v>020</v>
      </c>
      <c r="I978" s="3" t="str">
        <f t="shared" si="95"/>
        <v>00</v>
      </c>
      <c r="L978" s="3" t="s">
        <v>3309</v>
      </c>
      <c r="R978" s="3" t="s">
        <v>5956</v>
      </c>
      <c r="S978" s="15" t="s">
        <v>3247</v>
      </c>
    </row>
    <row r="979" spans="1:19" x14ac:dyDescent="0.25">
      <c r="A979" s="4" t="s">
        <v>5957</v>
      </c>
      <c r="B979" s="4" t="s">
        <v>3</v>
      </c>
      <c r="C979" s="4" t="s">
        <v>5958</v>
      </c>
      <c r="D979" s="3" t="str">
        <f t="shared" si="90"/>
        <v>PLC</v>
      </c>
      <c r="E979" s="3" t="str">
        <f t="shared" si="91"/>
        <v>A</v>
      </c>
      <c r="F979" s="3" t="str">
        <f t="shared" si="92"/>
        <v>002</v>
      </c>
      <c r="G979" s="3" t="str">
        <f t="shared" si="93"/>
        <v>SC</v>
      </c>
      <c r="H979" s="3" t="str">
        <f t="shared" si="94"/>
        <v>022</v>
      </c>
      <c r="I979" s="3" t="str">
        <f t="shared" si="95"/>
        <v>00</v>
      </c>
      <c r="L979" s="3" t="s">
        <v>3608</v>
      </c>
      <c r="R979" s="3" t="s">
        <v>5959</v>
      </c>
      <c r="S979" s="15" t="s">
        <v>3247</v>
      </c>
    </row>
    <row r="980" spans="1:19" x14ac:dyDescent="0.25">
      <c r="A980" s="4" t="s">
        <v>5960</v>
      </c>
      <c r="B980" s="4" t="s">
        <v>3</v>
      </c>
      <c r="C980" s="4" t="s">
        <v>5961</v>
      </c>
      <c r="D980" s="3" t="str">
        <f t="shared" si="90"/>
        <v>PLC</v>
      </c>
      <c r="E980" s="3" t="str">
        <f t="shared" si="91"/>
        <v>C</v>
      </c>
      <c r="F980" s="3" t="str">
        <f t="shared" si="92"/>
        <v>004</v>
      </c>
      <c r="G980" s="3" t="str">
        <f t="shared" si="93"/>
        <v>SC</v>
      </c>
      <c r="H980" s="3" t="str">
        <f t="shared" si="94"/>
        <v>023</v>
      </c>
      <c r="I980" s="3" t="str">
        <f t="shared" si="95"/>
        <v>00</v>
      </c>
      <c r="L980" s="3" t="s">
        <v>3608</v>
      </c>
      <c r="R980" s="3" t="s">
        <v>5962</v>
      </c>
      <c r="S980" s="15" t="s">
        <v>3247</v>
      </c>
    </row>
    <row r="981" spans="1:19" x14ac:dyDescent="0.25">
      <c r="A981" s="4" t="s">
        <v>5963</v>
      </c>
      <c r="B981" s="4" t="s">
        <v>3</v>
      </c>
      <c r="C981" s="4" t="s">
        <v>5964</v>
      </c>
      <c r="D981" s="3" t="str">
        <f t="shared" si="90"/>
        <v>PLC</v>
      </c>
      <c r="E981" s="3" t="str">
        <f t="shared" si="91"/>
        <v>E</v>
      </c>
      <c r="F981" s="3" t="str">
        <f t="shared" si="92"/>
        <v>003</v>
      </c>
      <c r="G981" s="3" t="str">
        <f t="shared" si="93"/>
        <v>SC</v>
      </c>
      <c r="H981" s="3" t="str">
        <f t="shared" si="94"/>
        <v>024</v>
      </c>
      <c r="I981" s="3" t="str">
        <f t="shared" si="95"/>
        <v>00</v>
      </c>
      <c r="L981" s="3" t="s">
        <v>3608</v>
      </c>
      <c r="R981" s="3" t="s">
        <v>5965</v>
      </c>
      <c r="S981" s="15" t="s">
        <v>3247</v>
      </c>
    </row>
    <row r="982" spans="1:19" x14ac:dyDescent="0.25">
      <c r="A982" s="4" t="s">
        <v>5966</v>
      </c>
      <c r="B982" s="4" t="s">
        <v>3</v>
      </c>
      <c r="C982" s="4" t="s">
        <v>5967</v>
      </c>
      <c r="D982" s="3" t="str">
        <f t="shared" si="90"/>
        <v>PLC</v>
      </c>
      <c r="E982" s="3" t="str">
        <f t="shared" si="91"/>
        <v>D</v>
      </c>
      <c r="F982" s="3" t="str">
        <f t="shared" si="92"/>
        <v>003</v>
      </c>
      <c r="G982" s="3" t="str">
        <f t="shared" si="93"/>
        <v>SC</v>
      </c>
      <c r="H982" s="3" t="str">
        <f t="shared" si="94"/>
        <v>025</v>
      </c>
      <c r="I982" s="3" t="str">
        <f t="shared" si="95"/>
        <v>00</v>
      </c>
      <c r="L982" s="3" t="s">
        <v>3608</v>
      </c>
      <c r="R982" s="3" t="s">
        <v>5968</v>
      </c>
      <c r="S982" s="15" t="s">
        <v>3247</v>
      </c>
    </row>
    <row r="983" spans="1:19" x14ac:dyDescent="0.25">
      <c r="A983" s="4" t="s">
        <v>5969</v>
      </c>
      <c r="B983" s="4" t="s">
        <v>3</v>
      </c>
      <c r="C983" s="4" t="s">
        <v>5970</v>
      </c>
      <c r="D983" s="3" t="str">
        <f t="shared" si="90"/>
        <v>PLC</v>
      </c>
      <c r="E983" s="3" t="str">
        <f t="shared" si="91"/>
        <v>J</v>
      </c>
      <c r="F983" s="3" t="str">
        <f t="shared" si="92"/>
        <v>001</v>
      </c>
      <c r="G983" s="3" t="str">
        <f t="shared" si="93"/>
        <v>SC</v>
      </c>
      <c r="H983" s="3" t="str">
        <f t="shared" si="94"/>
        <v>026</v>
      </c>
      <c r="I983" s="3" t="str">
        <f t="shared" si="95"/>
        <v>00</v>
      </c>
      <c r="L983" s="3" t="s">
        <v>3608</v>
      </c>
      <c r="R983" s="3" t="s">
        <v>5971</v>
      </c>
      <c r="S983" s="15" t="s">
        <v>3247</v>
      </c>
    </row>
    <row r="984" spans="1:19" x14ac:dyDescent="0.25">
      <c r="A984" s="4" t="s">
        <v>5972</v>
      </c>
      <c r="B984" s="4" t="s">
        <v>3</v>
      </c>
      <c r="C984" s="4" t="s">
        <v>5973</v>
      </c>
      <c r="D984" s="3" t="str">
        <f t="shared" si="90"/>
        <v>PLC</v>
      </c>
      <c r="E984" s="3" t="str">
        <f t="shared" si="91"/>
        <v>E</v>
      </c>
      <c r="F984" s="3" t="str">
        <f t="shared" si="92"/>
        <v>004</v>
      </c>
      <c r="G984" s="3" t="str">
        <f t="shared" si="93"/>
        <v>SC</v>
      </c>
      <c r="H984" s="3" t="str">
        <f t="shared" si="94"/>
        <v>027</v>
      </c>
      <c r="I984" s="3" t="str">
        <f t="shared" si="95"/>
        <v>00</v>
      </c>
      <c r="L984" s="3" t="s">
        <v>3608</v>
      </c>
      <c r="R984" s="3" t="s">
        <v>5974</v>
      </c>
      <c r="S984" s="15" t="s">
        <v>3247</v>
      </c>
    </row>
    <row r="985" spans="1:19" ht="30" x14ac:dyDescent="0.25">
      <c r="A985" s="4" t="s">
        <v>5975</v>
      </c>
      <c r="B985" s="4" t="s">
        <v>3</v>
      </c>
      <c r="C985" s="4" t="s">
        <v>5976</v>
      </c>
      <c r="D985" s="3" t="str">
        <f t="shared" si="90"/>
        <v>PLC</v>
      </c>
      <c r="E985" s="3" t="str">
        <f t="shared" si="91"/>
        <v>D</v>
      </c>
      <c r="F985" s="3" t="str">
        <f t="shared" si="92"/>
        <v>002</v>
      </c>
      <c r="G985" s="3" t="str">
        <f t="shared" si="93"/>
        <v>SC</v>
      </c>
      <c r="H985" s="3" t="str">
        <f t="shared" si="94"/>
        <v>028</v>
      </c>
      <c r="I985" s="3" t="str">
        <f t="shared" si="95"/>
        <v>00</v>
      </c>
      <c r="L985" s="3" t="s">
        <v>3608</v>
      </c>
      <c r="R985" s="3" t="s">
        <v>5977</v>
      </c>
      <c r="S985" s="15" t="s">
        <v>3247</v>
      </c>
    </row>
    <row r="986" spans="1:19" ht="30" x14ac:dyDescent="0.25">
      <c r="A986" s="4" t="s">
        <v>5978</v>
      </c>
      <c r="B986" s="4" t="s">
        <v>3</v>
      </c>
      <c r="C986" s="4" t="s">
        <v>5979</v>
      </c>
      <c r="D986" s="3" t="str">
        <f t="shared" si="90"/>
        <v>PLC</v>
      </c>
      <c r="E986" s="3" t="str">
        <f t="shared" si="91"/>
        <v>O</v>
      </c>
      <c r="F986" s="3" t="str">
        <f t="shared" si="92"/>
        <v>001</v>
      </c>
      <c r="G986" s="3" t="str">
        <f t="shared" si="93"/>
        <v>SC</v>
      </c>
      <c r="H986" s="3" t="str">
        <f t="shared" si="94"/>
        <v>029</v>
      </c>
      <c r="I986" s="3" t="str">
        <f t="shared" si="95"/>
        <v>00</v>
      </c>
      <c r="L986" s="3" t="s">
        <v>3608</v>
      </c>
      <c r="R986" s="3" t="s">
        <v>5980</v>
      </c>
      <c r="S986" s="15" t="s">
        <v>3247</v>
      </c>
    </row>
    <row r="987" spans="1:19" ht="30" x14ac:dyDescent="0.25">
      <c r="A987" s="4" t="s">
        <v>5981</v>
      </c>
      <c r="B987" s="4" t="s">
        <v>3</v>
      </c>
      <c r="C987" s="4" t="s">
        <v>5982</v>
      </c>
      <c r="D987" s="3" t="str">
        <f t="shared" si="90"/>
        <v>PLC</v>
      </c>
      <c r="E987" s="3" t="str">
        <f t="shared" si="91"/>
        <v>A</v>
      </c>
      <c r="F987" s="3" t="str">
        <f t="shared" si="92"/>
        <v>003</v>
      </c>
      <c r="G987" s="3" t="str">
        <f t="shared" si="93"/>
        <v>SC</v>
      </c>
      <c r="H987" s="3" t="str">
        <f t="shared" si="94"/>
        <v>030</v>
      </c>
      <c r="I987" s="3" t="str">
        <f t="shared" si="95"/>
        <v>00</v>
      </c>
      <c r="L987" s="3" t="s">
        <v>3608</v>
      </c>
      <c r="R987" s="3" t="s">
        <v>5983</v>
      </c>
      <c r="S987" s="15" t="s">
        <v>3247</v>
      </c>
    </row>
    <row r="988" spans="1:19" x14ac:dyDescent="0.25">
      <c r="A988" s="4" t="s">
        <v>5984</v>
      </c>
      <c r="B988" s="4" t="s">
        <v>3</v>
      </c>
      <c r="C988" s="4" t="s">
        <v>5985</v>
      </c>
      <c r="D988" s="3" t="str">
        <f t="shared" si="90"/>
        <v>PLC</v>
      </c>
      <c r="E988" s="3" t="str">
        <f t="shared" si="91"/>
        <v>B</v>
      </c>
      <c r="F988" s="3" t="str">
        <f t="shared" si="92"/>
        <v>003</v>
      </c>
      <c r="G988" s="3" t="str">
        <f t="shared" si="93"/>
        <v>SC</v>
      </c>
      <c r="H988" s="3" t="str">
        <f t="shared" si="94"/>
        <v>031</v>
      </c>
      <c r="I988" s="3" t="str">
        <f t="shared" si="95"/>
        <v>00</v>
      </c>
      <c r="L988" s="3" t="s">
        <v>3608</v>
      </c>
      <c r="R988" s="3" t="s">
        <v>5986</v>
      </c>
      <c r="S988" s="15" t="s">
        <v>3247</v>
      </c>
    </row>
    <row r="989" spans="1:19" ht="30" x14ac:dyDescent="0.25">
      <c r="A989" s="4" t="s">
        <v>5987</v>
      </c>
      <c r="B989" s="4" t="s">
        <v>3</v>
      </c>
      <c r="C989" s="4" t="s">
        <v>5988</v>
      </c>
      <c r="D989" s="3" t="str">
        <f t="shared" si="90"/>
        <v>PLC</v>
      </c>
      <c r="E989" s="3" t="str">
        <f t="shared" si="91"/>
        <v>C</v>
      </c>
      <c r="F989" s="3" t="str">
        <f t="shared" si="92"/>
        <v>002</v>
      </c>
      <c r="G989" s="3" t="str">
        <f t="shared" si="93"/>
        <v>SC</v>
      </c>
      <c r="H989" s="3" t="str">
        <f t="shared" si="94"/>
        <v>032</v>
      </c>
      <c r="I989" s="3" t="str">
        <f t="shared" si="95"/>
        <v>00</v>
      </c>
      <c r="L989" s="3" t="s">
        <v>3608</v>
      </c>
      <c r="R989" s="3" t="s">
        <v>3052</v>
      </c>
      <c r="S989" s="15" t="s">
        <v>3247</v>
      </c>
    </row>
    <row r="990" spans="1:19" ht="30" x14ac:dyDescent="0.25">
      <c r="A990" s="4" t="s">
        <v>5989</v>
      </c>
      <c r="B990" s="4" t="s">
        <v>3</v>
      </c>
      <c r="C990" s="4" t="s">
        <v>5990</v>
      </c>
      <c r="D990" s="3" t="str">
        <f t="shared" si="90"/>
        <v>PLC</v>
      </c>
      <c r="E990" s="3" t="str">
        <f t="shared" si="91"/>
        <v>E</v>
      </c>
      <c r="F990" s="3" t="str">
        <f t="shared" si="92"/>
        <v>002</v>
      </c>
      <c r="G990" s="3" t="str">
        <f t="shared" si="93"/>
        <v>SC</v>
      </c>
      <c r="H990" s="3" t="str">
        <f t="shared" si="94"/>
        <v>033</v>
      </c>
      <c r="I990" s="3" t="str">
        <f t="shared" si="95"/>
        <v>00</v>
      </c>
      <c r="L990" s="3" t="s">
        <v>3608</v>
      </c>
      <c r="R990" s="3" t="s">
        <v>5991</v>
      </c>
      <c r="S990" s="15" t="s">
        <v>3247</v>
      </c>
    </row>
    <row r="991" spans="1:19" x14ac:dyDescent="0.25">
      <c r="A991" s="4" t="s">
        <v>5992</v>
      </c>
      <c r="B991" s="4" t="s">
        <v>3</v>
      </c>
      <c r="C991" s="4" t="s">
        <v>5993</v>
      </c>
      <c r="D991" s="3" t="str">
        <f t="shared" si="90"/>
        <v>PLC</v>
      </c>
      <c r="E991" s="3" t="str">
        <f t="shared" si="91"/>
        <v>G</v>
      </c>
      <c r="F991" s="3" t="str">
        <f t="shared" si="92"/>
        <v>001</v>
      </c>
      <c r="G991" s="3" t="str">
        <f t="shared" si="93"/>
        <v>SC</v>
      </c>
      <c r="H991" s="3" t="str">
        <f t="shared" si="94"/>
        <v>034</v>
      </c>
      <c r="I991" s="3" t="str">
        <f t="shared" si="95"/>
        <v>00</v>
      </c>
      <c r="L991" s="3" t="s">
        <v>3608</v>
      </c>
      <c r="R991" s="3" t="s">
        <v>5994</v>
      </c>
      <c r="S991" s="15" t="s">
        <v>3247</v>
      </c>
    </row>
    <row r="992" spans="1:19" x14ac:dyDescent="0.25">
      <c r="A992" s="4" t="s">
        <v>5995</v>
      </c>
      <c r="B992" s="4" t="s">
        <v>3</v>
      </c>
      <c r="C992" s="4" t="s">
        <v>5996</v>
      </c>
      <c r="D992" s="3" t="str">
        <f t="shared" si="90"/>
        <v>PLC</v>
      </c>
      <c r="E992" s="3" t="str">
        <f t="shared" si="91"/>
        <v>G</v>
      </c>
      <c r="F992" s="3" t="str">
        <f t="shared" si="92"/>
        <v>001</v>
      </c>
      <c r="G992" s="3" t="str">
        <f t="shared" si="93"/>
        <v>SC</v>
      </c>
      <c r="H992" s="3" t="str">
        <f t="shared" si="94"/>
        <v>035</v>
      </c>
      <c r="I992" s="3" t="str">
        <f t="shared" si="95"/>
        <v>00</v>
      </c>
      <c r="L992" s="3" t="s">
        <v>3608</v>
      </c>
      <c r="R992" s="3" t="s">
        <v>5997</v>
      </c>
      <c r="S992" s="15" t="s">
        <v>3247</v>
      </c>
    </row>
    <row r="993" spans="1:19" x14ac:dyDescent="0.25">
      <c r="A993" s="4" t="s">
        <v>5998</v>
      </c>
      <c r="B993" s="4" t="s">
        <v>3</v>
      </c>
      <c r="C993" s="4" t="s">
        <v>5999</v>
      </c>
      <c r="D993" s="3" t="str">
        <f t="shared" si="90"/>
        <v>PLC</v>
      </c>
      <c r="E993" s="3" t="str">
        <f t="shared" si="91"/>
        <v>A</v>
      </c>
      <c r="F993" s="3" t="str">
        <f t="shared" si="92"/>
        <v>004</v>
      </c>
      <c r="G993" s="3" t="str">
        <f t="shared" si="93"/>
        <v>SC</v>
      </c>
      <c r="H993" s="3" t="str">
        <f t="shared" si="94"/>
        <v>036</v>
      </c>
      <c r="I993" s="3" t="str">
        <f t="shared" si="95"/>
        <v>00</v>
      </c>
      <c r="L993" s="3" t="s">
        <v>3608</v>
      </c>
      <c r="R993" s="3" t="s">
        <v>6000</v>
      </c>
      <c r="S993" s="15" t="s">
        <v>3247</v>
      </c>
    </row>
    <row r="994" spans="1:19" x14ac:dyDescent="0.25">
      <c r="A994" s="4" t="s">
        <v>6001</v>
      </c>
      <c r="B994" s="4" t="s">
        <v>3</v>
      </c>
      <c r="C994" s="4" t="s">
        <v>6002</v>
      </c>
      <c r="D994" s="3" t="str">
        <f t="shared" si="90"/>
        <v>PLC</v>
      </c>
      <c r="E994" s="3" t="str">
        <f t="shared" si="91"/>
        <v>C</v>
      </c>
      <c r="F994" s="3" t="str">
        <f t="shared" si="92"/>
        <v>004</v>
      </c>
      <c r="G994" s="3" t="str">
        <f t="shared" si="93"/>
        <v>SC</v>
      </c>
      <c r="H994" s="3" t="str">
        <f t="shared" si="94"/>
        <v>037</v>
      </c>
      <c r="I994" s="3" t="str">
        <f t="shared" si="95"/>
        <v>00</v>
      </c>
      <c r="L994" s="3" t="s">
        <v>3608</v>
      </c>
      <c r="R994" s="3" t="s">
        <v>6003</v>
      </c>
      <c r="S994" s="15" t="s">
        <v>3247</v>
      </c>
    </row>
    <row r="995" spans="1:19" x14ac:dyDescent="0.25">
      <c r="A995" s="4" t="s">
        <v>6004</v>
      </c>
      <c r="B995" s="4" t="s">
        <v>3</v>
      </c>
      <c r="C995" s="4" t="s">
        <v>6005</v>
      </c>
      <c r="D995" s="3" t="str">
        <f t="shared" si="90"/>
        <v>PLC</v>
      </c>
      <c r="E995" s="3" t="str">
        <f t="shared" si="91"/>
        <v>E</v>
      </c>
      <c r="F995" s="3" t="str">
        <f t="shared" si="92"/>
        <v>004</v>
      </c>
      <c r="G995" s="3" t="str">
        <f t="shared" si="93"/>
        <v>SC</v>
      </c>
      <c r="H995" s="3" t="str">
        <f t="shared" si="94"/>
        <v>038</v>
      </c>
      <c r="I995" s="3" t="str">
        <f t="shared" si="95"/>
        <v>00</v>
      </c>
      <c r="L995" s="3" t="s">
        <v>3608</v>
      </c>
      <c r="R995" s="3" t="s">
        <v>6006</v>
      </c>
      <c r="S995" s="15" t="s">
        <v>3247</v>
      </c>
    </row>
    <row r="996" spans="1:19" x14ac:dyDescent="0.25">
      <c r="A996" s="4" t="s">
        <v>6007</v>
      </c>
      <c r="B996" s="4" t="s">
        <v>3</v>
      </c>
      <c r="C996" s="4" t="s">
        <v>6008</v>
      </c>
      <c r="D996" s="3" t="str">
        <f t="shared" si="90"/>
        <v>PLC</v>
      </c>
      <c r="E996" s="3" t="str">
        <f t="shared" si="91"/>
        <v>J</v>
      </c>
      <c r="F996" s="3" t="str">
        <f t="shared" si="92"/>
        <v>001</v>
      </c>
      <c r="G996" s="3" t="str">
        <f t="shared" si="93"/>
        <v>SC</v>
      </c>
      <c r="H996" s="3" t="str">
        <f t="shared" si="94"/>
        <v>039</v>
      </c>
      <c r="I996" s="3" t="str">
        <f t="shared" si="95"/>
        <v>00</v>
      </c>
      <c r="L996" s="3" t="s">
        <v>3309</v>
      </c>
      <c r="R996" s="3" t="s">
        <v>6009</v>
      </c>
      <c r="S996" s="15" t="s">
        <v>3247</v>
      </c>
    </row>
    <row r="997" spans="1:19" x14ac:dyDescent="0.25">
      <c r="A997" s="4" t="s">
        <v>6010</v>
      </c>
      <c r="B997" s="4" t="s">
        <v>3</v>
      </c>
      <c r="C997" s="4" t="s">
        <v>6011</v>
      </c>
      <c r="D997" s="3" t="str">
        <f t="shared" si="90"/>
        <v>PLC</v>
      </c>
      <c r="E997" s="3" t="str">
        <f t="shared" si="91"/>
        <v>D</v>
      </c>
      <c r="F997" s="3" t="str">
        <f t="shared" si="92"/>
        <v>003</v>
      </c>
      <c r="G997" s="3" t="str">
        <f t="shared" si="93"/>
        <v>SC</v>
      </c>
      <c r="H997" s="3" t="str">
        <f t="shared" si="94"/>
        <v>041</v>
      </c>
      <c r="I997" s="3" t="str">
        <f t="shared" si="95"/>
        <v>00</v>
      </c>
      <c r="L997" s="3" t="s">
        <v>3309</v>
      </c>
      <c r="R997" s="3" t="s">
        <v>6012</v>
      </c>
      <c r="S997" s="15" t="s">
        <v>3247</v>
      </c>
    </row>
    <row r="998" spans="1:19" x14ac:dyDescent="0.25">
      <c r="A998" s="4" t="s">
        <v>6013</v>
      </c>
      <c r="B998" s="4" t="s">
        <v>3</v>
      </c>
      <c r="C998" s="4" t="s">
        <v>6014</v>
      </c>
      <c r="D998" s="3" t="str">
        <f t="shared" si="90"/>
        <v>PLC</v>
      </c>
      <c r="E998" s="3" t="str">
        <f t="shared" si="91"/>
        <v>I</v>
      </c>
      <c r="F998" s="3" t="str">
        <f t="shared" si="92"/>
        <v>001</v>
      </c>
      <c r="G998" s="3" t="str">
        <f t="shared" si="93"/>
        <v>SC</v>
      </c>
      <c r="H998" s="3" t="str">
        <f t="shared" si="94"/>
        <v>042</v>
      </c>
      <c r="I998" s="3" t="str">
        <f t="shared" si="95"/>
        <v>00</v>
      </c>
      <c r="L998" s="3" t="s">
        <v>3309</v>
      </c>
      <c r="R998" s="3" t="s">
        <v>6015</v>
      </c>
      <c r="S998" s="15" t="s">
        <v>3247</v>
      </c>
    </row>
    <row r="999" spans="1:19" x14ac:dyDescent="0.25">
      <c r="A999" s="4" t="s">
        <v>6016</v>
      </c>
      <c r="B999" s="4" t="s">
        <v>3</v>
      </c>
      <c r="C999" s="4" t="s">
        <v>6017</v>
      </c>
      <c r="D999" s="3" t="str">
        <f t="shared" si="90"/>
        <v>PLC</v>
      </c>
      <c r="E999" s="3" t="str">
        <f t="shared" si="91"/>
        <v>E</v>
      </c>
      <c r="F999" s="3" t="str">
        <f t="shared" si="92"/>
        <v>003</v>
      </c>
      <c r="G999" s="3" t="str">
        <f t="shared" si="93"/>
        <v>SC</v>
      </c>
      <c r="H999" s="3" t="str">
        <f t="shared" si="94"/>
        <v>043</v>
      </c>
      <c r="I999" s="3" t="str">
        <f t="shared" si="95"/>
        <v>00</v>
      </c>
      <c r="L999" s="3" t="s">
        <v>3309</v>
      </c>
      <c r="R999" s="3" t="s">
        <v>3056</v>
      </c>
      <c r="S999" s="15" t="s">
        <v>3247</v>
      </c>
    </row>
    <row r="1000" spans="1:19" x14ac:dyDescent="0.25">
      <c r="A1000" s="4" t="s">
        <v>6018</v>
      </c>
      <c r="B1000" s="4" t="s">
        <v>3</v>
      </c>
      <c r="C1000" s="4" t="s">
        <v>6019</v>
      </c>
      <c r="D1000" s="3" t="str">
        <f t="shared" si="90"/>
        <v>PLC</v>
      </c>
      <c r="E1000" s="3" t="str">
        <f t="shared" si="91"/>
        <v>Q</v>
      </c>
      <c r="F1000" s="3" t="str">
        <f t="shared" si="92"/>
        <v>005</v>
      </c>
      <c r="G1000" s="3" t="str">
        <f t="shared" si="93"/>
        <v>SC</v>
      </c>
      <c r="H1000" s="3" t="str">
        <f t="shared" si="94"/>
        <v>043</v>
      </c>
      <c r="I1000" s="3" t="str">
        <f t="shared" si="95"/>
        <v>00</v>
      </c>
      <c r="L1000" s="3" t="s">
        <v>3309</v>
      </c>
      <c r="R1000" s="3" t="s">
        <v>6020</v>
      </c>
      <c r="S1000" s="15" t="s">
        <v>3247</v>
      </c>
    </row>
    <row r="1001" spans="1:19" x14ac:dyDescent="0.25">
      <c r="A1001" s="4" t="s">
        <v>6021</v>
      </c>
      <c r="B1001" s="4" t="s">
        <v>3</v>
      </c>
      <c r="C1001" s="4" t="s">
        <v>6022</v>
      </c>
      <c r="D1001" s="3" t="str">
        <f t="shared" si="90"/>
        <v>PLC</v>
      </c>
      <c r="E1001" s="3" t="str">
        <f t="shared" si="91"/>
        <v>B</v>
      </c>
      <c r="F1001" s="3" t="str">
        <f t="shared" si="92"/>
        <v>002</v>
      </c>
      <c r="G1001" s="3" t="str">
        <f t="shared" si="93"/>
        <v>SC</v>
      </c>
      <c r="H1001" s="3" t="str">
        <f t="shared" si="94"/>
        <v>044</v>
      </c>
      <c r="I1001" s="3" t="str">
        <f t="shared" si="95"/>
        <v>00</v>
      </c>
      <c r="L1001" s="3" t="s">
        <v>3309</v>
      </c>
      <c r="R1001" s="3" t="s">
        <v>6023</v>
      </c>
      <c r="S1001" s="15" t="s">
        <v>3247</v>
      </c>
    </row>
    <row r="1002" spans="1:19" x14ac:dyDescent="0.25">
      <c r="A1002" s="4" t="s">
        <v>6024</v>
      </c>
      <c r="B1002" s="4" t="s">
        <v>3</v>
      </c>
      <c r="C1002" s="4" t="s">
        <v>6025</v>
      </c>
      <c r="D1002" s="3" t="str">
        <f t="shared" si="90"/>
        <v>PLC</v>
      </c>
      <c r="E1002" s="3" t="str">
        <f t="shared" si="91"/>
        <v>G</v>
      </c>
      <c r="F1002" s="3" t="str">
        <f t="shared" si="92"/>
        <v>002</v>
      </c>
      <c r="G1002" s="3" t="str">
        <f t="shared" si="93"/>
        <v>SC</v>
      </c>
      <c r="H1002" s="3" t="str">
        <f t="shared" si="94"/>
        <v>045</v>
      </c>
      <c r="I1002" s="3" t="str">
        <f t="shared" si="95"/>
        <v>00</v>
      </c>
      <c r="L1002" s="3" t="s">
        <v>3309</v>
      </c>
      <c r="R1002" s="3" t="s">
        <v>6026</v>
      </c>
      <c r="S1002" s="15" t="s">
        <v>3247</v>
      </c>
    </row>
    <row r="1003" spans="1:19" x14ac:dyDescent="0.25">
      <c r="A1003" s="4" t="s">
        <v>6027</v>
      </c>
      <c r="B1003" s="4" t="s">
        <v>3</v>
      </c>
      <c r="C1003" s="4" t="s">
        <v>6028</v>
      </c>
      <c r="D1003" s="3" t="str">
        <f t="shared" si="90"/>
        <v>PLC</v>
      </c>
      <c r="E1003" s="3" t="str">
        <f t="shared" si="91"/>
        <v>G</v>
      </c>
      <c r="F1003" s="3" t="str">
        <f t="shared" si="92"/>
        <v>001</v>
      </c>
      <c r="G1003" s="3" t="str">
        <f t="shared" si="93"/>
        <v>SC</v>
      </c>
      <c r="H1003" s="3" t="str">
        <f t="shared" si="94"/>
        <v>046</v>
      </c>
      <c r="I1003" s="3" t="str">
        <f t="shared" si="95"/>
        <v>00</v>
      </c>
      <c r="L1003" s="3" t="s">
        <v>3309</v>
      </c>
      <c r="R1003" s="3" t="s">
        <v>6029</v>
      </c>
      <c r="S1003" s="15" t="s">
        <v>3247</v>
      </c>
    </row>
    <row r="1004" spans="1:19" x14ac:dyDescent="0.25">
      <c r="A1004" s="4" t="s">
        <v>6030</v>
      </c>
      <c r="B1004" s="4" t="s">
        <v>3</v>
      </c>
      <c r="C1004" s="4" t="s">
        <v>6031</v>
      </c>
      <c r="D1004" s="3" t="str">
        <f t="shared" si="90"/>
        <v>PLC</v>
      </c>
      <c r="E1004" s="3" t="str">
        <f t="shared" si="91"/>
        <v>B</v>
      </c>
      <c r="F1004" s="3" t="str">
        <f t="shared" si="92"/>
        <v>003</v>
      </c>
      <c r="G1004" s="3" t="str">
        <f t="shared" si="93"/>
        <v>SC</v>
      </c>
      <c r="H1004" s="3" t="str">
        <f t="shared" si="94"/>
        <v>047</v>
      </c>
      <c r="I1004" s="3" t="str">
        <f t="shared" si="95"/>
        <v>00</v>
      </c>
      <c r="L1004" s="3" t="s">
        <v>3309</v>
      </c>
      <c r="R1004" s="3" t="s">
        <v>6032</v>
      </c>
      <c r="S1004" s="15" t="s">
        <v>3247</v>
      </c>
    </row>
    <row r="1005" spans="1:19" x14ac:dyDescent="0.25">
      <c r="A1005" s="4" t="s">
        <v>6033</v>
      </c>
      <c r="B1005" s="4" t="s">
        <v>3</v>
      </c>
      <c r="C1005" s="4" t="s">
        <v>6034</v>
      </c>
      <c r="D1005" s="3" t="str">
        <f t="shared" si="90"/>
        <v>PLC</v>
      </c>
      <c r="E1005" s="3" t="str">
        <f t="shared" si="91"/>
        <v>C</v>
      </c>
      <c r="F1005" s="3" t="str">
        <f t="shared" si="92"/>
        <v>005</v>
      </c>
      <c r="G1005" s="3" t="str">
        <f t="shared" si="93"/>
        <v>SC</v>
      </c>
      <c r="H1005" s="3" t="str">
        <f t="shared" si="94"/>
        <v>048</v>
      </c>
      <c r="I1005" s="3" t="str">
        <f t="shared" si="95"/>
        <v>00</v>
      </c>
      <c r="L1005" s="3" t="s">
        <v>3309</v>
      </c>
      <c r="R1005" s="3" t="s">
        <v>6035</v>
      </c>
      <c r="S1005" s="15" t="s">
        <v>3247</v>
      </c>
    </row>
    <row r="1006" spans="1:19" x14ac:dyDescent="0.25">
      <c r="A1006" s="4" t="s">
        <v>6036</v>
      </c>
      <c r="B1006" s="4" t="s">
        <v>3</v>
      </c>
      <c r="C1006" s="4" t="s">
        <v>6037</v>
      </c>
      <c r="D1006" s="3" t="str">
        <f t="shared" si="90"/>
        <v>PLC</v>
      </c>
      <c r="E1006" s="3" t="str">
        <f t="shared" si="91"/>
        <v>E</v>
      </c>
      <c r="F1006" s="3" t="str">
        <f t="shared" si="92"/>
        <v>005</v>
      </c>
      <c r="G1006" s="3" t="str">
        <f t="shared" si="93"/>
        <v>SC</v>
      </c>
      <c r="H1006" s="3" t="str">
        <f t="shared" si="94"/>
        <v>049</v>
      </c>
      <c r="I1006" s="3" t="str">
        <f t="shared" si="95"/>
        <v>00</v>
      </c>
      <c r="L1006" s="3" t="s">
        <v>3309</v>
      </c>
      <c r="R1006" s="3" t="s">
        <v>6038</v>
      </c>
      <c r="S1006" s="15" t="s">
        <v>3247</v>
      </c>
    </row>
    <row r="1007" spans="1:19" x14ac:dyDescent="0.25">
      <c r="A1007" s="4" t="s">
        <v>6039</v>
      </c>
      <c r="B1007" s="4" t="s">
        <v>3</v>
      </c>
      <c r="C1007" s="4" t="s">
        <v>6040</v>
      </c>
      <c r="D1007" s="3" t="str">
        <f t="shared" si="90"/>
        <v>PLC</v>
      </c>
      <c r="E1007" s="3" t="str">
        <f t="shared" si="91"/>
        <v>G</v>
      </c>
      <c r="F1007" s="3" t="str">
        <f t="shared" si="92"/>
        <v>002</v>
      </c>
      <c r="G1007" s="3" t="str">
        <f t="shared" si="93"/>
        <v>SC</v>
      </c>
      <c r="H1007" s="3" t="str">
        <f t="shared" si="94"/>
        <v>050</v>
      </c>
      <c r="I1007" s="3" t="str">
        <f t="shared" si="95"/>
        <v>00</v>
      </c>
      <c r="L1007" s="3" t="s">
        <v>3309</v>
      </c>
      <c r="R1007" s="3" t="s">
        <v>6041</v>
      </c>
      <c r="S1007" s="15" t="s">
        <v>3247</v>
      </c>
    </row>
    <row r="1008" spans="1:19" x14ac:dyDescent="0.25">
      <c r="A1008" s="4" t="s">
        <v>6042</v>
      </c>
      <c r="B1008" s="4" t="s">
        <v>3</v>
      </c>
      <c r="C1008" s="4" t="s">
        <v>6043</v>
      </c>
      <c r="D1008" s="3" t="str">
        <f t="shared" si="90"/>
        <v>PLC</v>
      </c>
      <c r="E1008" s="3" t="str">
        <f t="shared" si="91"/>
        <v>G</v>
      </c>
      <c r="F1008" s="3" t="str">
        <f t="shared" si="92"/>
        <v>003</v>
      </c>
      <c r="G1008" s="3" t="str">
        <f t="shared" si="93"/>
        <v>SC</v>
      </c>
      <c r="H1008" s="3" t="str">
        <f t="shared" si="94"/>
        <v>051</v>
      </c>
      <c r="I1008" s="3" t="str">
        <f t="shared" si="95"/>
        <v>00</v>
      </c>
      <c r="L1008" s="3" t="s">
        <v>3309</v>
      </c>
      <c r="R1008" s="3" t="s">
        <v>6044</v>
      </c>
      <c r="S1008" s="15" t="s">
        <v>3247</v>
      </c>
    </row>
    <row r="1009" spans="1:19" x14ac:dyDescent="0.25">
      <c r="A1009" s="4" t="s">
        <v>6045</v>
      </c>
      <c r="B1009" s="4" t="s">
        <v>3</v>
      </c>
      <c r="C1009" s="4" t="s">
        <v>6046</v>
      </c>
      <c r="D1009" s="3" t="str">
        <f t="shared" si="90"/>
        <v>PLC</v>
      </c>
      <c r="E1009" s="3" t="str">
        <f t="shared" si="91"/>
        <v>G</v>
      </c>
      <c r="F1009" s="3" t="str">
        <f t="shared" si="92"/>
        <v>003</v>
      </c>
      <c r="G1009" s="3" t="str">
        <f t="shared" si="93"/>
        <v>SC</v>
      </c>
      <c r="H1009" s="3" t="str">
        <f t="shared" si="94"/>
        <v>052</v>
      </c>
      <c r="I1009" s="3" t="str">
        <f t="shared" si="95"/>
        <v>00</v>
      </c>
      <c r="L1009" s="3" t="s">
        <v>3309</v>
      </c>
      <c r="R1009" s="3" t="s">
        <v>6047</v>
      </c>
      <c r="S1009" s="15" t="s">
        <v>3247</v>
      </c>
    </row>
    <row r="1010" spans="1:19" ht="30" x14ac:dyDescent="0.25">
      <c r="A1010" s="4" t="s">
        <v>6048</v>
      </c>
      <c r="B1010" s="4" t="s">
        <v>6049</v>
      </c>
      <c r="C1010" s="4" t="s">
        <v>6050</v>
      </c>
      <c r="D1010" s="3" t="str">
        <f t="shared" si="90"/>
        <v>PLA</v>
      </c>
      <c r="E1010" s="3" t="str">
        <f t="shared" si="91"/>
        <v>C</v>
      </c>
      <c r="F1010" s="3" t="str">
        <f t="shared" si="92"/>
        <v>100</v>
      </c>
      <c r="G1010" s="3" t="str">
        <f t="shared" si="93"/>
        <v>AN</v>
      </c>
      <c r="H1010" s="3" t="str">
        <f t="shared" si="94"/>
        <v>000</v>
      </c>
      <c r="I1010" s="3" t="str">
        <f t="shared" si="95"/>
        <v>01</v>
      </c>
      <c r="L1010" s="3" t="s">
        <v>3245</v>
      </c>
      <c r="R1010" s="3" t="s">
        <v>6051</v>
      </c>
      <c r="S1010" s="15" t="s">
        <v>3247</v>
      </c>
    </row>
    <row r="1011" spans="1:19" ht="30" x14ac:dyDescent="0.25">
      <c r="A1011" s="4" t="s">
        <v>6052</v>
      </c>
      <c r="B1011" s="4" t="s">
        <v>6049</v>
      </c>
      <c r="C1011" s="4" t="s">
        <v>6053</v>
      </c>
      <c r="D1011" s="3" t="str">
        <f t="shared" si="90"/>
        <v>PLA</v>
      </c>
      <c r="E1011" s="3" t="str">
        <f t="shared" si="91"/>
        <v>G</v>
      </c>
      <c r="F1011" s="3" t="str">
        <f t="shared" si="92"/>
        <v>000</v>
      </c>
      <c r="G1011" s="3" t="str">
        <f t="shared" si="93"/>
        <v>ST</v>
      </c>
      <c r="H1011" s="3" t="str">
        <f t="shared" si="94"/>
        <v>000</v>
      </c>
      <c r="I1011" s="3" t="str">
        <f t="shared" si="95"/>
        <v>00</v>
      </c>
      <c r="L1011" s="3" t="s">
        <v>3309</v>
      </c>
      <c r="R1011" s="3" t="s">
        <v>6054</v>
      </c>
      <c r="S1011" s="15" t="s">
        <v>3247</v>
      </c>
    </row>
    <row r="1012" spans="1:19" ht="30" x14ac:dyDescent="0.25">
      <c r="A1012" s="4" t="s">
        <v>6055</v>
      </c>
      <c r="B1012" s="4" t="s">
        <v>6049</v>
      </c>
      <c r="C1012" s="4" t="s">
        <v>6056</v>
      </c>
      <c r="D1012" s="3" t="str">
        <f t="shared" si="90"/>
        <v>PLA</v>
      </c>
      <c r="E1012" s="3" t="str">
        <f t="shared" si="91"/>
        <v>H</v>
      </c>
      <c r="F1012" s="3" t="str">
        <f t="shared" si="92"/>
        <v>001</v>
      </c>
      <c r="G1012" s="3" t="str">
        <f t="shared" si="93"/>
        <v>ST</v>
      </c>
      <c r="H1012" s="3" t="str">
        <f t="shared" si="94"/>
        <v>000</v>
      </c>
      <c r="I1012" s="3" t="str">
        <f t="shared" si="95"/>
        <v>00</v>
      </c>
      <c r="L1012" s="3" t="s">
        <v>3309</v>
      </c>
      <c r="R1012" s="3" t="s">
        <v>6057</v>
      </c>
      <c r="S1012" s="15" t="s">
        <v>3247</v>
      </c>
    </row>
    <row r="1013" spans="1:19" ht="30" x14ac:dyDescent="0.25">
      <c r="A1013" s="4" t="s">
        <v>6058</v>
      </c>
      <c r="B1013" s="4" t="s">
        <v>6049</v>
      </c>
      <c r="C1013" s="4" t="s">
        <v>6059</v>
      </c>
      <c r="D1013" s="3" t="str">
        <f t="shared" si="90"/>
        <v>PLA</v>
      </c>
      <c r="E1013" s="3" t="str">
        <f t="shared" si="91"/>
        <v>H</v>
      </c>
      <c r="F1013" s="3" t="str">
        <f t="shared" si="92"/>
        <v>002</v>
      </c>
      <c r="G1013" s="3" t="str">
        <f t="shared" si="93"/>
        <v>ST</v>
      </c>
      <c r="H1013" s="3" t="str">
        <f t="shared" si="94"/>
        <v>000</v>
      </c>
      <c r="I1013" s="3" t="str">
        <f t="shared" si="95"/>
        <v>00</v>
      </c>
      <c r="L1013" s="3" t="s">
        <v>3309</v>
      </c>
      <c r="R1013" s="3" t="s">
        <v>6060</v>
      </c>
      <c r="S1013" s="15" t="s">
        <v>3247</v>
      </c>
    </row>
    <row r="1014" spans="1:19" ht="30" x14ac:dyDescent="0.25">
      <c r="A1014" s="4" t="s">
        <v>6061</v>
      </c>
      <c r="B1014" s="4" t="s">
        <v>6049</v>
      </c>
      <c r="C1014" s="4" t="s">
        <v>6062</v>
      </c>
      <c r="D1014" s="3" t="str">
        <f t="shared" si="90"/>
        <v>PLA</v>
      </c>
      <c r="E1014" s="3" t="str">
        <f t="shared" si="91"/>
        <v>H</v>
      </c>
      <c r="F1014" s="3" t="str">
        <f t="shared" si="92"/>
        <v>003</v>
      </c>
      <c r="G1014" s="3" t="str">
        <f t="shared" si="93"/>
        <v>ST</v>
      </c>
      <c r="H1014" s="3" t="str">
        <f t="shared" si="94"/>
        <v>000</v>
      </c>
      <c r="I1014" s="3" t="str">
        <f t="shared" si="95"/>
        <v>00</v>
      </c>
      <c r="L1014" s="3" t="s">
        <v>3309</v>
      </c>
      <c r="R1014" s="3" t="s">
        <v>6063</v>
      </c>
      <c r="S1014" s="15" t="s">
        <v>3247</v>
      </c>
    </row>
    <row r="1015" spans="1:19" ht="30" x14ac:dyDescent="0.25">
      <c r="A1015" s="14" t="s">
        <v>6064</v>
      </c>
      <c r="B1015" s="14" t="s">
        <v>6049</v>
      </c>
      <c r="C1015" s="4" t="s">
        <v>6065</v>
      </c>
      <c r="D1015" s="3" t="str">
        <f t="shared" si="90"/>
        <v>PLA</v>
      </c>
      <c r="E1015" s="3" t="str">
        <f t="shared" si="91"/>
        <v>J</v>
      </c>
      <c r="F1015" s="3" t="str">
        <f t="shared" si="92"/>
        <v>102</v>
      </c>
      <c r="G1015" s="3" t="str">
        <f t="shared" si="93"/>
        <v>ST</v>
      </c>
      <c r="H1015" s="3" t="str">
        <f t="shared" si="94"/>
        <v>000</v>
      </c>
      <c r="I1015" s="3" t="str">
        <f t="shared" si="95"/>
        <v>00</v>
      </c>
      <c r="L1015" s="14" t="s">
        <v>3309</v>
      </c>
      <c r="R1015" s="3" t="s">
        <v>6066</v>
      </c>
      <c r="S1015" s="15" t="s">
        <v>3247</v>
      </c>
    </row>
    <row r="1016" spans="1:19" ht="30" x14ac:dyDescent="0.25">
      <c r="A1016" s="14" t="s">
        <v>6067</v>
      </c>
      <c r="B1016" s="14" t="s">
        <v>6049</v>
      </c>
      <c r="C1016" s="4" t="s">
        <v>6068</v>
      </c>
      <c r="D1016" s="3" t="str">
        <f t="shared" si="90"/>
        <v>PLA</v>
      </c>
      <c r="E1016" s="3" t="str">
        <f t="shared" si="91"/>
        <v>J</v>
      </c>
      <c r="F1016" s="3" t="str">
        <f t="shared" si="92"/>
        <v>103</v>
      </c>
      <c r="G1016" s="3" t="str">
        <f t="shared" si="93"/>
        <v>ST</v>
      </c>
      <c r="H1016" s="3" t="str">
        <f t="shared" si="94"/>
        <v>000</v>
      </c>
      <c r="I1016" s="3" t="str">
        <f t="shared" si="95"/>
        <v>00</v>
      </c>
      <c r="L1016" s="14" t="s">
        <v>3309</v>
      </c>
      <c r="R1016" s="3" t="s">
        <v>6069</v>
      </c>
      <c r="S1016" s="15" t="s">
        <v>3247</v>
      </c>
    </row>
    <row r="1017" spans="1:19" ht="30" x14ac:dyDescent="0.25">
      <c r="A1017" s="14" t="s">
        <v>6070</v>
      </c>
      <c r="B1017" s="14" t="s">
        <v>6049</v>
      </c>
      <c r="C1017" s="4" t="s">
        <v>6071</v>
      </c>
      <c r="D1017" s="3" t="str">
        <f t="shared" si="90"/>
        <v>PLA</v>
      </c>
      <c r="E1017" s="3" t="str">
        <f t="shared" si="91"/>
        <v>J</v>
      </c>
      <c r="F1017" s="3" t="str">
        <f t="shared" si="92"/>
        <v>105</v>
      </c>
      <c r="G1017" s="3" t="str">
        <f t="shared" si="93"/>
        <v>ST</v>
      </c>
      <c r="H1017" s="3" t="str">
        <f t="shared" si="94"/>
        <v>000</v>
      </c>
      <c r="I1017" s="3" t="str">
        <f t="shared" si="95"/>
        <v>00</v>
      </c>
      <c r="L1017" s="14" t="s">
        <v>3309</v>
      </c>
      <c r="R1017" s="3" t="s">
        <v>6072</v>
      </c>
      <c r="S1017" s="15" t="s">
        <v>3247</v>
      </c>
    </row>
    <row r="1018" spans="1:19" ht="30" x14ac:dyDescent="0.25">
      <c r="A1018" s="14" t="s">
        <v>6073</v>
      </c>
      <c r="B1018" s="14" t="s">
        <v>6049</v>
      </c>
      <c r="C1018" s="4" t="s">
        <v>6074</v>
      </c>
      <c r="D1018" s="3" t="str">
        <f t="shared" si="90"/>
        <v>PLA</v>
      </c>
      <c r="E1018" s="3" t="str">
        <f t="shared" si="91"/>
        <v>J</v>
      </c>
      <c r="F1018" s="3" t="str">
        <f t="shared" si="92"/>
        <v>106</v>
      </c>
      <c r="G1018" s="3" t="str">
        <f t="shared" si="93"/>
        <v>ST</v>
      </c>
      <c r="H1018" s="3" t="str">
        <f t="shared" si="94"/>
        <v>000</v>
      </c>
      <c r="I1018" s="3" t="str">
        <f t="shared" si="95"/>
        <v>00</v>
      </c>
      <c r="L1018" s="14" t="s">
        <v>3309</v>
      </c>
      <c r="R1018" s="3" t="s">
        <v>6075</v>
      </c>
      <c r="S1018" s="15" t="s">
        <v>3247</v>
      </c>
    </row>
    <row r="1019" spans="1:19" ht="30" x14ac:dyDescent="0.25">
      <c r="A1019" s="14" t="s">
        <v>6076</v>
      </c>
      <c r="B1019" s="14" t="s">
        <v>6049</v>
      </c>
      <c r="C1019" s="4" t="s">
        <v>6077</v>
      </c>
      <c r="D1019" s="3" t="str">
        <f t="shared" si="90"/>
        <v>PLA</v>
      </c>
      <c r="E1019" s="3" t="str">
        <f t="shared" si="91"/>
        <v>J</v>
      </c>
      <c r="F1019" s="3" t="str">
        <f t="shared" si="92"/>
        <v>007</v>
      </c>
      <c r="G1019" s="3" t="str">
        <f t="shared" si="93"/>
        <v>ST</v>
      </c>
      <c r="H1019" s="3" t="str">
        <f t="shared" si="94"/>
        <v>000</v>
      </c>
      <c r="I1019" s="3" t="str">
        <f t="shared" si="95"/>
        <v>00</v>
      </c>
      <c r="L1019" s="14" t="s">
        <v>3309</v>
      </c>
      <c r="R1019" s="3" t="s">
        <v>6078</v>
      </c>
      <c r="S1019" s="15" t="s">
        <v>3247</v>
      </c>
    </row>
    <row r="1020" spans="1:19" ht="30" x14ac:dyDescent="0.25">
      <c r="A1020" s="4" t="s">
        <v>6079</v>
      </c>
      <c r="B1020" s="4" t="s">
        <v>6049</v>
      </c>
      <c r="C1020" s="4" t="s">
        <v>6080</v>
      </c>
      <c r="D1020" s="3" t="str">
        <f t="shared" si="90"/>
        <v>PLA</v>
      </c>
      <c r="E1020" s="3" t="str">
        <f t="shared" si="91"/>
        <v>J</v>
      </c>
      <c r="F1020" s="3" t="str">
        <f t="shared" si="92"/>
        <v>108</v>
      </c>
      <c r="G1020" s="3" t="str">
        <f t="shared" si="93"/>
        <v>ST</v>
      </c>
      <c r="H1020" s="3" t="str">
        <f t="shared" si="94"/>
        <v>000</v>
      </c>
      <c r="I1020" s="3" t="str">
        <f t="shared" si="95"/>
        <v>00</v>
      </c>
      <c r="L1020" s="3" t="s">
        <v>3309</v>
      </c>
      <c r="R1020" s="3" t="s">
        <v>6081</v>
      </c>
      <c r="S1020" s="15" t="s">
        <v>3247</v>
      </c>
    </row>
    <row r="1021" spans="1:19" ht="30" x14ac:dyDescent="0.25">
      <c r="A1021" s="4" t="s">
        <v>6082</v>
      </c>
      <c r="B1021" s="4" t="s">
        <v>6049</v>
      </c>
      <c r="C1021" s="4" t="s">
        <v>6083</v>
      </c>
      <c r="D1021" s="3" t="str">
        <f t="shared" si="90"/>
        <v>PLA</v>
      </c>
      <c r="E1021" s="3" t="str">
        <f t="shared" si="91"/>
        <v>K</v>
      </c>
      <c r="F1021" s="3" t="str">
        <f t="shared" si="92"/>
        <v>002</v>
      </c>
      <c r="G1021" s="3" t="str">
        <f t="shared" si="93"/>
        <v>ST</v>
      </c>
      <c r="H1021" s="3" t="str">
        <f t="shared" si="94"/>
        <v>000</v>
      </c>
      <c r="I1021" s="3" t="str">
        <f t="shared" si="95"/>
        <v>11</v>
      </c>
      <c r="L1021" s="3" t="s">
        <v>3309</v>
      </c>
      <c r="R1021" s="3" t="s">
        <v>6084</v>
      </c>
      <c r="S1021" s="15" t="s">
        <v>3247</v>
      </c>
    </row>
    <row r="1022" spans="1:19" ht="30" x14ac:dyDescent="0.25">
      <c r="A1022" s="4" t="s">
        <v>6085</v>
      </c>
      <c r="B1022" s="4" t="s">
        <v>6049</v>
      </c>
      <c r="C1022" s="4" t="s">
        <v>6086</v>
      </c>
      <c r="D1022" s="3" t="str">
        <f t="shared" si="90"/>
        <v>PLA</v>
      </c>
      <c r="E1022" s="3" t="str">
        <f t="shared" si="91"/>
        <v>N</v>
      </c>
      <c r="F1022" s="3" t="str">
        <f t="shared" si="92"/>
        <v>104</v>
      </c>
      <c r="G1022" s="3" t="str">
        <f t="shared" si="93"/>
        <v>ST</v>
      </c>
      <c r="H1022" s="3" t="str">
        <f t="shared" si="94"/>
        <v>000</v>
      </c>
      <c r="I1022" s="3" t="str">
        <f t="shared" si="95"/>
        <v>02</v>
      </c>
      <c r="L1022" s="3" t="s">
        <v>3309</v>
      </c>
      <c r="R1022" s="3" t="s">
        <v>6087</v>
      </c>
      <c r="S1022" s="15" t="s">
        <v>3247</v>
      </c>
    </row>
    <row r="1023" spans="1:19" ht="30" x14ac:dyDescent="0.25">
      <c r="A1023" s="4" t="s">
        <v>6088</v>
      </c>
      <c r="B1023" s="4" t="s">
        <v>6049</v>
      </c>
      <c r="C1023" s="4" t="s">
        <v>6089</v>
      </c>
      <c r="D1023" s="3" t="str">
        <f t="shared" si="90"/>
        <v>PLA</v>
      </c>
      <c r="E1023" s="3" t="str">
        <f t="shared" si="91"/>
        <v>N</v>
      </c>
      <c r="F1023" s="3" t="str">
        <f t="shared" si="92"/>
        <v>104</v>
      </c>
      <c r="G1023" s="3" t="str">
        <f t="shared" si="93"/>
        <v>ST</v>
      </c>
      <c r="H1023" s="3" t="str">
        <f t="shared" si="94"/>
        <v>000</v>
      </c>
      <c r="I1023" s="3" t="str">
        <f t="shared" si="95"/>
        <v>04</v>
      </c>
      <c r="L1023" s="3" t="s">
        <v>3309</v>
      </c>
      <c r="R1023" s="3" t="s">
        <v>6090</v>
      </c>
      <c r="S1023" s="15" t="s">
        <v>3247</v>
      </c>
    </row>
    <row r="1024" spans="1:19" ht="30" x14ac:dyDescent="0.25">
      <c r="A1024" s="4" t="s">
        <v>6091</v>
      </c>
      <c r="B1024" s="4" t="s">
        <v>6049</v>
      </c>
      <c r="C1024" s="4" t="s">
        <v>6092</v>
      </c>
      <c r="D1024" s="3" t="str">
        <f t="shared" si="90"/>
        <v>PLA</v>
      </c>
      <c r="E1024" s="3" t="str">
        <f t="shared" si="91"/>
        <v>N</v>
      </c>
      <c r="F1024" s="3" t="str">
        <f t="shared" si="92"/>
        <v>204</v>
      </c>
      <c r="G1024" s="3" t="str">
        <f t="shared" si="93"/>
        <v>ST</v>
      </c>
      <c r="H1024" s="3" t="str">
        <f t="shared" si="94"/>
        <v>000</v>
      </c>
      <c r="I1024" s="3" t="str">
        <f t="shared" si="95"/>
        <v>00</v>
      </c>
      <c r="L1024" s="3" t="s">
        <v>3309</v>
      </c>
      <c r="R1024" s="3" t="s">
        <v>6093</v>
      </c>
      <c r="S1024" s="15" t="s">
        <v>3247</v>
      </c>
    </row>
    <row r="1025" spans="1:19" ht="30" x14ac:dyDescent="0.25">
      <c r="A1025" s="4" t="s">
        <v>6094</v>
      </c>
      <c r="B1025" s="4" t="s">
        <v>6049</v>
      </c>
      <c r="C1025" s="4" t="s">
        <v>6095</v>
      </c>
      <c r="D1025" s="3" t="str">
        <f t="shared" si="90"/>
        <v>PLA</v>
      </c>
      <c r="E1025" s="3" t="str">
        <f t="shared" si="91"/>
        <v>N</v>
      </c>
      <c r="F1025" s="3" t="str">
        <f t="shared" si="92"/>
        <v>304</v>
      </c>
      <c r="G1025" s="3" t="str">
        <f t="shared" si="93"/>
        <v>ST</v>
      </c>
      <c r="H1025" s="3" t="str">
        <f t="shared" si="94"/>
        <v>000</v>
      </c>
      <c r="I1025" s="3" t="str">
        <f t="shared" si="95"/>
        <v>00</v>
      </c>
      <c r="L1025" s="3" t="s">
        <v>3309</v>
      </c>
      <c r="R1025" s="3" t="s">
        <v>6096</v>
      </c>
      <c r="S1025" s="15" t="s">
        <v>3247</v>
      </c>
    </row>
    <row r="1026" spans="1:19" ht="30" x14ac:dyDescent="0.25">
      <c r="A1026" s="4" t="s">
        <v>6097</v>
      </c>
      <c r="B1026" s="4" t="s">
        <v>6049</v>
      </c>
      <c r="C1026" s="4" t="s">
        <v>6098</v>
      </c>
      <c r="D1026" s="3" t="str">
        <f t="shared" ref="D1026:D1089" si="96">LEFT(A1026,3)</f>
        <v>PLA</v>
      </c>
      <c r="E1026" s="3" t="str">
        <f t="shared" ref="E1026:E1089" si="97">MID(A1026,4,1)</f>
        <v>N</v>
      </c>
      <c r="F1026" s="3" t="str">
        <f t="shared" ref="F1026:F1089" si="98">MID(A1026,5,3)</f>
        <v>404</v>
      </c>
      <c r="G1026" s="3" t="str">
        <f t="shared" ref="G1026:G1089" si="99">MID(A1026,8,2)</f>
        <v>ST</v>
      </c>
      <c r="H1026" s="3" t="str">
        <f t="shared" ref="H1026:H1089" si="100">MID(A1026,10,3)</f>
        <v>000</v>
      </c>
      <c r="I1026" s="3" t="str">
        <f t="shared" ref="I1026:I1089" si="101">MID(A1026,13,2)</f>
        <v>00</v>
      </c>
      <c r="L1026" s="3" t="s">
        <v>3309</v>
      </c>
      <c r="R1026" s="3" t="s">
        <v>6099</v>
      </c>
      <c r="S1026" s="15" t="s">
        <v>3247</v>
      </c>
    </row>
    <row r="1027" spans="1:19" ht="30" x14ac:dyDescent="0.25">
      <c r="A1027" s="4" t="s">
        <v>6100</v>
      </c>
      <c r="B1027" s="4" t="s">
        <v>6049</v>
      </c>
      <c r="C1027" s="4" t="s">
        <v>6101</v>
      </c>
      <c r="D1027" s="3" t="str">
        <f t="shared" si="96"/>
        <v>PLA</v>
      </c>
      <c r="E1027" s="3" t="str">
        <f t="shared" si="97"/>
        <v>N</v>
      </c>
      <c r="F1027" s="3" t="str">
        <f t="shared" si="98"/>
        <v>504</v>
      </c>
      <c r="G1027" s="3" t="str">
        <f t="shared" si="99"/>
        <v>ST</v>
      </c>
      <c r="H1027" s="3" t="str">
        <f t="shared" si="100"/>
        <v>000</v>
      </c>
      <c r="I1027" s="3" t="str">
        <f t="shared" si="101"/>
        <v>00</v>
      </c>
      <c r="L1027" s="3" t="s">
        <v>3309</v>
      </c>
      <c r="R1027" s="3" t="s">
        <v>6102</v>
      </c>
      <c r="S1027" s="15" t="s">
        <v>3247</v>
      </c>
    </row>
    <row r="1028" spans="1:19" ht="30" x14ac:dyDescent="0.25">
      <c r="A1028" s="4" t="s">
        <v>6103</v>
      </c>
      <c r="B1028" s="4" t="s">
        <v>6049</v>
      </c>
      <c r="C1028" s="4" t="s">
        <v>6104</v>
      </c>
      <c r="D1028" s="3" t="str">
        <f t="shared" si="96"/>
        <v>PLA</v>
      </c>
      <c r="E1028" s="3" t="str">
        <f t="shared" si="97"/>
        <v>N</v>
      </c>
      <c r="F1028" s="3" t="str">
        <f t="shared" si="98"/>
        <v>601</v>
      </c>
      <c r="G1028" s="3" t="str">
        <f t="shared" si="99"/>
        <v>ST</v>
      </c>
      <c r="H1028" s="3" t="str">
        <f t="shared" si="100"/>
        <v>000</v>
      </c>
      <c r="I1028" s="3" t="str">
        <f t="shared" si="101"/>
        <v>00</v>
      </c>
      <c r="L1028" s="3" t="s">
        <v>3309</v>
      </c>
      <c r="R1028" s="3" t="s">
        <v>6105</v>
      </c>
      <c r="S1028" s="15" t="s">
        <v>3247</v>
      </c>
    </row>
    <row r="1029" spans="1:19" ht="30" x14ac:dyDescent="0.25">
      <c r="A1029" s="4" t="s">
        <v>6106</v>
      </c>
      <c r="B1029" s="4" t="s">
        <v>6049</v>
      </c>
      <c r="C1029" s="4" t="s">
        <v>6107</v>
      </c>
      <c r="D1029" s="3" t="str">
        <f t="shared" si="96"/>
        <v>PLA</v>
      </c>
      <c r="E1029" s="3" t="str">
        <f t="shared" si="97"/>
        <v>M</v>
      </c>
      <c r="F1029" s="3" t="str">
        <f t="shared" si="98"/>
        <v>001</v>
      </c>
      <c r="G1029" s="3" t="str">
        <f t="shared" si="99"/>
        <v>ST</v>
      </c>
      <c r="H1029" s="3" t="str">
        <f t="shared" si="100"/>
        <v>000</v>
      </c>
      <c r="I1029" s="3" t="str">
        <f t="shared" si="101"/>
        <v>11</v>
      </c>
      <c r="L1029" s="3" t="s">
        <v>3309</v>
      </c>
      <c r="R1029" s="3" t="s">
        <v>6108</v>
      </c>
      <c r="S1029" s="15" t="s">
        <v>3247</v>
      </c>
    </row>
    <row r="1030" spans="1:19" ht="30" x14ac:dyDescent="0.25">
      <c r="A1030" s="4" t="s">
        <v>6109</v>
      </c>
      <c r="B1030" s="4" t="s">
        <v>6049</v>
      </c>
      <c r="C1030" s="4" t="s">
        <v>6110</v>
      </c>
      <c r="D1030" s="3" t="str">
        <f t="shared" si="96"/>
        <v>PLA</v>
      </c>
      <c r="E1030" s="3" t="str">
        <f t="shared" si="97"/>
        <v>M</v>
      </c>
      <c r="F1030" s="3" t="str">
        <f t="shared" si="98"/>
        <v>101</v>
      </c>
      <c r="G1030" s="3" t="str">
        <f t="shared" si="99"/>
        <v>ST</v>
      </c>
      <c r="H1030" s="3" t="str">
        <f t="shared" si="100"/>
        <v>000</v>
      </c>
      <c r="I1030" s="3" t="str">
        <f t="shared" si="101"/>
        <v>03</v>
      </c>
      <c r="L1030" s="3" t="s">
        <v>3309</v>
      </c>
      <c r="R1030" s="3" t="s">
        <v>6111</v>
      </c>
      <c r="S1030" s="15" t="s">
        <v>3247</v>
      </c>
    </row>
    <row r="1031" spans="1:19" ht="30" x14ac:dyDescent="0.25">
      <c r="A1031" s="4" t="s">
        <v>6112</v>
      </c>
      <c r="B1031" s="4" t="s">
        <v>6049</v>
      </c>
      <c r="C1031" s="4" t="s">
        <v>6113</v>
      </c>
      <c r="D1031" s="3" t="str">
        <f t="shared" si="96"/>
        <v>PLA</v>
      </c>
      <c r="E1031" s="3" t="str">
        <f t="shared" si="97"/>
        <v>M</v>
      </c>
      <c r="F1031" s="3" t="str">
        <f t="shared" si="98"/>
        <v>201</v>
      </c>
      <c r="G1031" s="3" t="str">
        <f t="shared" si="99"/>
        <v>ST</v>
      </c>
      <c r="H1031" s="3" t="str">
        <f t="shared" si="100"/>
        <v>000</v>
      </c>
      <c r="I1031" s="3" t="str">
        <f t="shared" si="101"/>
        <v>00</v>
      </c>
      <c r="L1031" s="3" t="s">
        <v>3309</v>
      </c>
      <c r="R1031" s="3" t="s">
        <v>6114</v>
      </c>
      <c r="S1031" s="15" t="s">
        <v>3247</v>
      </c>
    </row>
    <row r="1032" spans="1:19" ht="30" x14ac:dyDescent="0.25">
      <c r="A1032" s="4" t="s">
        <v>6115</v>
      </c>
      <c r="B1032" s="4" t="s">
        <v>6049</v>
      </c>
      <c r="C1032" s="4" t="s">
        <v>6116</v>
      </c>
      <c r="D1032" s="3" t="str">
        <f t="shared" si="96"/>
        <v>PLA</v>
      </c>
      <c r="E1032" s="3" t="str">
        <f t="shared" si="97"/>
        <v>M</v>
      </c>
      <c r="F1032" s="3" t="str">
        <f t="shared" si="98"/>
        <v>102</v>
      </c>
      <c r="G1032" s="3" t="str">
        <f t="shared" si="99"/>
        <v>ST</v>
      </c>
      <c r="H1032" s="3" t="str">
        <f t="shared" si="100"/>
        <v>000</v>
      </c>
      <c r="I1032" s="3" t="str">
        <f t="shared" si="101"/>
        <v>03</v>
      </c>
      <c r="L1032" s="3" t="s">
        <v>3309</v>
      </c>
      <c r="R1032" s="3" t="s">
        <v>6117</v>
      </c>
      <c r="S1032" s="15" t="s">
        <v>3247</v>
      </c>
    </row>
    <row r="1033" spans="1:19" ht="30" x14ac:dyDescent="0.25">
      <c r="A1033" s="4" t="s">
        <v>6118</v>
      </c>
      <c r="B1033" s="4" t="s">
        <v>6049</v>
      </c>
      <c r="C1033" s="4" t="s">
        <v>6119</v>
      </c>
      <c r="D1033" s="3" t="str">
        <f t="shared" si="96"/>
        <v>PLA</v>
      </c>
      <c r="E1033" s="3" t="str">
        <f t="shared" si="97"/>
        <v>M</v>
      </c>
      <c r="F1033" s="3" t="str">
        <f t="shared" si="98"/>
        <v>102</v>
      </c>
      <c r="G1033" s="3" t="str">
        <f t="shared" si="99"/>
        <v>ST</v>
      </c>
      <c r="H1033" s="3" t="str">
        <f t="shared" si="100"/>
        <v>000</v>
      </c>
      <c r="I1033" s="3" t="str">
        <f t="shared" si="101"/>
        <v>04</v>
      </c>
      <c r="L1033" s="3" t="s">
        <v>3309</v>
      </c>
      <c r="R1033" s="3" t="s">
        <v>6120</v>
      </c>
      <c r="S1033" s="15" t="s">
        <v>3247</v>
      </c>
    </row>
    <row r="1034" spans="1:19" ht="30" x14ac:dyDescent="0.25">
      <c r="A1034" s="4" t="s">
        <v>6121</v>
      </c>
      <c r="B1034" s="4" t="s">
        <v>6049</v>
      </c>
      <c r="C1034" s="4" t="s">
        <v>6122</v>
      </c>
      <c r="D1034" s="3" t="str">
        <f t="shared" si="96"/>
        <v>PLA</v>
      </c>
      <c r="E1034" s="3" t="str">
        <f t="shared" si="97"/>
        <v>M</v>
      </c>
      <c r="F1034" s="3" t="str">
        <f t="shared" si="98"/>
        <v>401</v>
      </c>
      <c r="G1034" s="3" t="str">
        <f t="shared" si="99"/>
        <v>ST</v>
      </c>
      <c r="H1034" s="3" t="str">
        <f t="shared" si="100"/>
        <v>000</v>
      </c>
      <c r="I1034" s="3" t="str">
        <f t="shared" si="101"/>
        <v>00</v>
      </c>
      <c r="L1034" s="3" t="s">
        <v>3309</v>
      </c>
      <c r="R1034" s="3" t="s">
        <v>6123</v>
      </c>
      <c r="S1034" s="15" t="s">
        <v>3247</v>
      </c>
    </row>
    <row r="1035" spans="1:19" ht="30" x14ac:dyDescent="0.25">
      <c r="A1035" s="4" t="s">
        <v>6124</v>
      </c>
      <c r="B1035" s="4" t="s">
        <v>6049</v>
      </c>
      <c r="C1035" s="4" t="s">
        <v>6125</v>
      </c>
      <c r="D1035" s="3" t="str">
        <f t="shared" si="96"/>
        <v>PLA</v>
      </c>
      <c r="E1035" s="3" t="str">
        <f t="shared" si="97"/>
        <v>M</v>
      </c>
      <c r="F1035" s="3" t="str">
        <f t="shared" si="98"/>
        <v>402</v>
      </c>
      <c r="G1035" s="3" t="str">
        <f t="shared" si="99"/>
        <v>ST</v>
      </c>
      <c r="H1035" s="3" t="str">
        <f t="shared" si="100"/>
        <v>000</v>
      </c>
      <c r="I1035" s="3" t="str">
        <f t="shared" si="101"/>
        <v>00</v>
      </c>
      <c r="L1035" s="3" t="s">
        <v>3309</v>
      </c>
      <c r="R1035" s="3" t="s">
        <v>6126</v>
      </c>
      <c r="S1035" s="15" t="s">
        <v>3247</v>
      </c>
    </row>
    <row r="1036" spans="1:19" ht="30" x14ac:dyDescent="0.25">
      <c r="A1036" s="4" t="s">
        <v>6127</v>
      </c>
      <c r="B1036" s="4" t="s">
        <v>6049</v>
      </c>
      <c r="C1036" s="4" t="s">
        <v>6128</v>
      </c>
      <c r="D1036" s="3" t="str">
        <f t="shared" si="96"/>
        <v>PLA</v>
      </c>
      <c r="E1036" s="3" t="str">
        <f t="shared" si="97"/>
        <v>N</v>
      </c>
      <c r="F1036" s="3" t="str">
        <f t="shared" si="98"/>
        <v>311</v>
      </c>
      <c r="G1036" s="3" t="str">
        <f t="shared" si="99"/>
        <v>ST</v>
      </c>
      <c r="H1036" s="3" t="str">
        <f t="shared" si="100"/>
        <v>000</v>
      </c>
      <c r="I1036" s="3" t="str">
        <f t="shared" si="101"/>
        <v>00</v>
      </c>
      <c r="L1036" s="3" t="s">
        <v>3309</v>
      </c>
      <c r="R1036" s="3" t="s">
        <v>6129</v>
      </c>
      <c r="S1036" s="15" t="s">
        <v>3247</v>
      </c>
    </row>
    <row r="1037" spans="1:19" ht="30" x14ac:dyDescent="0.25">
      <c r="A1037" s="4" t="s">
        <v>6130</v>
      </c>
      <c r="B1037" s="4" t="s">
        <v>6049</v>
      </c>
      <c r="C1037" s="4" t="s">
        <v>6131</v>
      </c>
      <c r="D1037" s="3" t="str">
        <f t="shared" si="96"/>
        <v>PLA</v>
      </c>
      <c r="E1037" s="3" t="str">
        <f t="shared" si="97"/>
        <v>M</v>
      </c>
      <c r="F1037" s="3" t="str">
        <f t="shared" si="98"/>
        <v>101</v>
      </c>
      <c r="G1037" s="3" t="str">
        <f t="shared" si="99"/>
        <v>ST</v>
      </c>
      <c r="H1037" s="3" t="str">
        <f t="shared" si="100"/>
        <v>005</v>
      </c>
      <c r="I1037" s="3" t="str">
        <f t="shared" si="101"/>
        <v>01</v>
      </c>
      <c r="L1037" s="3" t="s">
        <v>3309</v>
      </c>
      <c r="R1037" s="3" t="s">
        <v>6132</v>
      </c>
      <c r="S1037" s="15" t="s">
        <v>3247</v>
      </c>
    </row>
    <row r="1038" spans="1:19" ht="30" x14ac:dyDescent="0.25">
      <c r="A1038" s="4" t="s">
        <v>6133</v>
      </c>
      <c r="B1038" s="4" t="s">
        <v>6049</v>
      </c>
      <c r="C1038" s="4" t="s">
        <v>6134</v>
      </c>
      <c r="D1038" s="3" t="str">
        <f t="shared" si="96"/>
        <v>PLA</v>
      </c>
      <c r="E1038" s="3" t="str">
        <f t="shared" si="97"/>
        <v>M</v>
      </c>
      <c r="F1038" s="3" t="str">
        <f t="shared" si="98"/>
        <v>101</v>
      </c>
      <c r="G1038" s="3" t="str">
        <f t="shared" si="99"/>
        <v>ST</v>
      </c>
      <c r="H1038" s="3" t="str">
        <f t="shared" si="100"/>
        <v>002</v>
      </c>
      <c r="I1038" s="3" t="str">
        <f t="shared" si="101"/>
        <v>01</v>
      </c>
      <c r="L1038" s="3" t="s">
        <v>3309</v>
      </c>
      <c r="R1038" s="3" t="s">
        <v>6135</v>
      </c>
      <c r="S1038" s="15" t="s">
        <v>3247</v>
      </c>
    </row>
    <row r="1039" spans="1:19" ht="30" x14ac:dyDescent="0.25">
      <c r="A1039" s="4" t="s">
        <v>6136</v>
      </c>
      <c r="B1039" s="4" t="s">
        <v>6049</v>
      </c>
      <c r="C1039" s="4" t="s">
        <v>6137</v>
      </c>
      <c r="D1039" s="3" t="str">
        <f t="shared" si="96"/>
        <v>PLA</v>
      </c>
      <c r="E1039" s="3" t="str">
        <f t="shared" si="97"/>
        <v>M</v>
      </c>
      <c r="F1039" s="3" t="str">
        <f t="shared" si="98"/>
        <v>101</v>
      </c>
      <c r="G1039" s="3" t="str">
        <f t="shared" si="99"/>
        <v>ST</v>
      </c>
      <c r="H1039" s="3" t="str">
        <f t="shared" si="100"/>
        <v>001</v>
      </c>
      <c r="I1039" s="3" t="str">
        <f t="shared" si="101"/>
        <v>01</v>
      </c>
      <c r="L1039" s="3" t="s">
        <v>3309</v>
      </c>
      <c r="R1039" s="3" t="s">
        <v>6138</v>
      </c>
      <c r="S1039" s="15" t="s">
        <v>3247</v>
      </c>
    </row>
    <row r="1040" spans="1:19" ht="30" x14ac:dyDescent="0.25">
      <c r="A1040" s="4" t="s">
        <v>6139</v>
      </c>
      <c r="B1040" s="4" t="s">
        <v>6049</v>
      </c>
      <c r="C1040" s="4" t="s">
        <v>6140</v>
      </c>
      <c r="D1040" s="3" t="str">
        <f t="shared" si="96"/>
        <v>PLA</v>
      </c>
      <c r="E1040" s="3" t="str">
        <f t="shared" si="97"/>
        <v>M</v>
      </c>
      <c r="F1040" s="3" t="str">
        <f t="shared" si="98"/>
        <v>102</v>
      </c>
      <c r="G1040" s="3" t="str">
        <f t="shared" si="99"/>
        <v>ST</v>
      </c>
      <c r="H1040" s="3" t="str">
        <f t="shared" si="100"/>
        <v>001</v>
      </c>
      <c r="I1040" s="3" t="str">
        <f t="shared" si="101"/>
        <v>01</v>
      </c>
      <c r="L1040" s="3" t="s">
        <v>3309</v>
      </c>
      <c r="R1040" s="3" t="s">
        <v>6141</v>
      </c>
      <c r="S1040" s="15" t="s">
        <v>3247</v>
      </c>
    </row>
    <row r="1041" spans="1:19" ht="30" x14ac:dyDescent="0.25">
      <c r="A1041" s="4" t="s">
        <v>6142</v>
      </c>
      <c r="B1041" s="4" t="s">
        <v>6049</v>
      </c>
      <c r="C1041" s="4" t="s">
        <v>6143</v>
      </c>
      <c r="D1041" s="3" t="str">
        <f t="shared" si="96"/>
        <v>PLA</v>
      </c>
      <c r="E1041" s="3" t="str">
        <f t="shared" si="97"/>
        <v>M</v>
      </c>
      <c r="F1041" s="3" t="str">
        <f t="shared" si="98"/>
        <v>000</v>
      </c>
      <c r="G1041" s="3" t="str">
        <f t="shared" si="99"/>
        <v>ST</v>
      </c>
      <c r="H1041" s="3" t="str">
        <f t="shared" si="100"/>
        <v>004</v>
      </c>
      <c r="I1041" s="3" t="str">
        <f t="shared" si="101"/>
        <v>11</v>
      </c>
      <c r="L1041" s="3" t="s">
        <v>3309</v>
      </c>
      <c r="R1041" s="3" t="s">
        <v>6144</v>
      </c>
      <c r="S1041" s="15" t="s">
        <v>3247</v>
      </c>
    </row>
    <row r="1042" spans="1:19" ht="30" x14ac:dyDescent="0.25">
      <c r="A1042" s="4" t="s">
        <v>6145</v>
      </c>
      <c r="B1042" s="4" t="s">
        <v>6049</v>
      </c>
      <c r="C1042" s="4" t="s">
        <v>6146</v>
      </c>
      <c r="D1042" s="3" t="str">
        <f t="shared" si="96"/>
        <v>PLA</v>
      </c>
      <c r="E1042" s="3" t="str">
        <f t="shared" si="97"/>
        <v>G</v>
      </c>
      <c r="F1042" s="3" t="str">
        <f t="shared" si="98"/>
        <v>000</v>
      </c>
      <c r="G1042" s="3" t="str">
        <f t="shared" si="99"/>
        <v>ST</v>
      </c>
      <c r="H1042" s="3" t="str">
        <f t="shared" si="100"/>
        <v>000</v>
      </c>
      <c r="I1042" s="3" t="str">
        <f t="shared" si="101"/>
        <v>01</v>
      </c>
      <c r="L1042" s="3" t="s">
        <v>3309</v>
      </c>
      <c r="R1042" s="3" t="s">
        <v>6147</v>
      </c>
      <c r="S1042" s="15">
        <v>600</v>
      </c>
    </row>
    <row r="1043" spans="1:19" ht="30" x14ac:dyDescent="0.25">
      <c r="A1043" s="4" t="s">
        <v>6148</v>
      </c>
      <c r="B1043" s="4" t="s">
        <v>6049</v>
      </c>
      <c r="C1043" s="4" t="s">
        <v>6149</v>
      </c>
      <c r="D1043" s="3" t="str">
        <f t="shared" si="96"/>
        <v>PLA</v>
      </c>
      <c r="E1043" s="3" t="str">
        <f t="shared" si="97"/>
        <v>N</v>
      </c>
      <c r="F1043" s="3" t="str">
        <f t="shared" si="98"/>
        <v>602</v>
      </c>
      <c r="G1043" s="3" t="str">
        <f t="shared" si="99"/>
        <v>ST</v>
      </c>
      <c r="H1043" s="3" t="str">
        <f t="shared" si="100"/>
        <v>000</v>
      </c>
      <c r="I1043" s="3" t="str">
        <f t="shared" si="101"/>
        <v>12</v>
      </c>
      <c r="L1043" s="3" t="s">
        <v>3309</v>
      </c>
      <c r="R1043" s="3" t="s">
        <v>6150</v>
      </c>
      <c r="S1043" s="15" t="s">
        <v>3247</v>
      </c>
    </row>
    <row r="1044" spans="1:19" ht="30" x14ac:dyDescent="0.25">
      <c r="A1044" s="4" t="s">
        <v>6151</v>
      </c>
      <c r="B1044" s="4" t="s">
        <v>6049</v>
      </c>
      <c r="C1044" s="4" t="s">
        <v>6152</v>
      </c>
      <c r="D1044" s="3" t="str">
        <f t="shared" si="96"/>
        <v>PLA</v>
      </c>
      <c r="E1044" s="3" t="str">
        <f t="shared" si="97"/>
        <v>N</v>
      </c>
      <c r="F1044" s="3" t="str">
        <f t="shared" si="98"/>
        <v>108</v>
      </c>
      <c r="G1044" s="3" t="str">
        <f t="shared" si="99"/>
        <v>ST</v>
      </c>
      <c r="H1044" s="3" t="str">
        <f t="shared" si="100"/>
        <v>000</v>
      </c>
      <c r="I1044" s="3" t="str">
        <f t="shared" si="101"/>
        <v>00</v>
      </c>
      <c r="L1044" s="3" t="s">
        <v>3309</v>
      </c>
      <c r="R1044" s="3" t="s">
        <v>6153</v>
      </c>
      <c r="S1044" s="15" t="s">
        <v>3247</v>
      </c>
    </row>
    <row r="1045" spans="1:19" ht="30" x14ac:dyDescent="0.25">
      <c r="A1045" s="4" t="s">
        <v>6154</v>
      </c>
      <c r="B1045" s="4" t="s">
        <v>6049</v>
      </c>
      <c r="C1045" s="4" t="s">
        <v>6155</v>
      </c>
      <c r="D1045" s="3" t="str">
        <f t="shared" si="96"/>
        <v>PLA</v>
      </c>
      <c r="E1045" s="3" t="str">
        <f t="shared" si="97"/>
        <v>L</v>
      </c>
      <c r="F1045" s="3" t="str">
        <f t="shared" si="98"/>
        <v>002</v>
      </c>
      <c r="G1045" s="3" t="str">
        <f t="shared" si="99"/>
        <v>ST</v>
      </c>
      <c r="H1045" s="3" t="str">
        <f t="shared" si="100"/>
        <v>000</v>
      </c>
      <c r="I1045" s="3" t="str">
        <f t="shared" si="101"/>
        <v>11</v>
      </c>
      <c r="L1045" s="3" t="s">
        <v>3309</v>
      </c>
      <c r="R1045" s="3" t="s">
        <v>6156</v>
      </c>
      <c r="S1045" s="15" t="s">
        <v>3247</v>
      </c>
    </row>
    <row r="1046" spans="1:19" ht="30" x14ac:dyDescent="0.25">
      <c r="A1046" s="4" t="s">
        <v>6157</v>
      </c>
      <c r="B1046" s="4" t="s">
        <v>6049</v>
      </c>
      <c r="C1046" s="4" t="s">
        <v>6158</v>
      </c>
      <c r="D1046" s="3" t="str">
        <f t="shared" si="96"/>
        <v>PLA</v>
      </c>
      <c r="E1046" s="3" t="str">
        <f t="shared" si="97"/>
        <v>H</v>
      </c>
      <c r="F1046" s="3" t="str">
        <f t="shared" si="98"/>
        <v>004</v>
      </c>
      <c r="G1046" s="3" t="str">
        <f t="shared" si="99"/>
        <v>ST</v>
      </c>
      <c r="H1046" s="3" t="str">
        <f t="shared" si="100"/>
        <v>000</v>
      </c>
      <c r="I1046" s="3" t="str">
        <f t="shared" si="101"/>
        <v>0</v>
      </c>
      <c r="L1046" s="3" t="s">
        <v>3309</v>
      </c>
      <c r="R1046" s="3" t="s">
        <v>6159</v>
      </c>
      <c r="S1046" s="15" t="s">
        <v>3247</v>
      </c>
    </row>
    <row r="1047" spans="1:19" ht="30" x14ac:dyDescent="0.25">
      <c r="A1047" s="4" t="s">
        <v>6160</v>
      </c>
      <c r="B1047" s="4" t="s">
        <v>6049</v>
      </c>
      <c r="C1047" s="4" t="s">
        <v>1372</v>
      </c>
      <c r="D1047" s="3" t="str">
        <f t="shared" si="96"/>
        <v>PLA</v>
      </c>
      <c r="E1047" s="3" t="str">
        <f t="shared" si="97"/>
        <v>P</v>
      </c>
      <c r="F1047" s="3" t="str">
        <f t="shared" si="98"/>
        <v>001</v>
      </c>
      <c r="G1047" s="3" t="str">
        <f t="shared" si="99"/>
        <v>ST</v>
      </c>
      <c r="H1047" s="3" t="str">
        <f t="shared" si="100"/>
        <v>000</v>
      </c>
      <c r="I1047" s="3" t="str">
        <f t="shared" si="101"/>
        <v>00</v>
      </c>
      <c r="L1047" s="3" t="s">
        <v>3309</v>
      </c>
      <c r="R1047" s="3" t="s">
        <v>6161</v>
      </c>
      <c r="S1047" s="15" t="s">
        <v>3247</v>
      </c>
    </row>
    <row r="1048" spans="1:19" ht="30" x14ac:dyDescent="0.25">
      <c r="A1048" s="4" t="s">
        <v>6162</v>
      </c>
      <c r="B1048" s="4" t="s">
        <v>6049</v>
      </c>
      <c r="C1048" s="4" t="s">
        <v>6163</v>
      </c>
      <c r="D1048" s="3" t="str">
        <f t="shared" si="96"/>
        <v>PLA</v>
      </c>
      <c r="E1048" s="3" t="str">
        <f t="shared" si="97"/>
        <v>P</v>
      </c>
      <c r="F1048" s="3" t="str">
        <f t="shared" si="98"/>
        <v>002</v>
      </c>
      <c r="G1048" s="3" t="str">
        <f t="shared" si="99"/>
        <v>ST</v>
      </c>
      <c r="H1048" s="3" t="str">
        <f t="shared" si="100"/>
        <v>000</v>
      </c>
      <c r="I1048" s="3" t="str">
        <f t="shared" si="101"/>
        <v>00</v>
      </c>
      <c r="L1048" s="3" t="s">
        <v>3309</v>
      </c>
      <c r="R1048" s="3" t="s">
        <v>6164</v>
      </c>
      <c r="S1048" s="15" t="s">
        <v>3247</v>
      </c>
    </row>
    <row r="1049" spans="1:19" ht="30" x14ac:dyDescent="0.25">
      <c r="A1049" s="4" t="s">
        <v>6165</v>
      </c>
      <c r="B1049" s="4" t="s">
        <v>6049</v>
      </c>
      <c r="C1049" s="4" t="s">
        <v>6166</v>
      </c>
      <c r="D1049" s="3" t="str">
        <f t="shared" si="96"/>
        <v>PLA</v>
      </c>
      <c r="E1049" s="3" t="str">
        <f t="shared" si="97"/>
        <v>M</v>
      </c>
      <c r="F1049" s="3" t="str">
        <f t="shared" si="98"/>
        <v>302</v>
      </c>
      <c r="G1049" s="3" t="str">
        <f t="shared" si="99"/>
        <v>WE</v>
      </c>
      <c r="H1049" s="3" t="str">
        <f t="shared" si="100"/>
        <v>000</v>
      </c>
      <c r="I1049" s="3" t="str">
        <f t="shared" si="101"/>
        <v>12</v>
      </c>
      <c r="L1049" s="3" t="s">
        <v>3309</v>
      </c>
      <c r="R1049" s="3" t="s">
        <v>6167</v>
      </c>
      <c r="S1049" s="15" t="s">
        <v>3247</v>
      </c>
    </row>
    <row r="1050" spans="1:19" ht="30" x14ac:dyDescent="0.25">
      <c r="A1050" s="4" t="s">
        <v>6168</v>
      </c>
      <c r="B1050" s="4" t="s">
        <v>6049</v>
      </c>
      <c r="C1050" s="4" t="s">
        <v>6169</v>
      </c>
      <c r="D1050" s="3" t="str">
        <f t="shared" si="96"/>
        <v>PLA</v>
      </c>
      <c r="E1050" s="3" t="str">
        <f t="shared" si="97"/>
        <v>S</v>
      </c>
      <c r="F1050" s="3" t="str">
        <f t="shared" si="98"/>
        <v>001</v>
      </c>
      <c r="G1050" s="3" t="str">
        <f t="shared" si="99"/>
        <v>WE</v>
      </c>
      <c r="H1050" s="3" t="str">
        <f t="shared" si="100"/>
        <v>000</v>
      </c>
      <c r="I1050" s="3" t="str">
        <f t="shared" si="101"/>
        <v>11</v>
      </c>
      <c r="L1050" s="3" t="s">
        <v>3309</v>
      </c>
      <c r="R1050" s="3" t="s">
        <v>6170</v>
      </c>
      <c r="S1050" s="15" t="s">
        <v>3247</v>
      </c>
    </row>
    <row r="1051" spans="1:19" ht="30" x14ac:dyDescent="0.25">
      <c r="A1051" s="4" t="s">
        <v>6171</v>
      </c>
      <c r="B1051" s="4" t="s">
        <v>6049</v>
      </c>
      <c r="C1051" s="4" t="s">
        <v>6172</v>
      </c>
      <c r="D1051" s="3" t="str">
        <f t="shared" si="96"/>
        <v>PLA</v>
      </c>
      <c r="E1051" s="3" t="str">
        <f t="shared" si="97"/>
        <v>S</v>
      </c>
      <c r="F1051" s="3" t="str">
        <f t="shared" si="98"/>
        <v>002</v>
      </c>
      <c r="G1051" s="3" t="str">
        <f t="shared" si="99"/>
        <v>WE</v>
      </c>
      <c r="H1051" s="3" t="str">
        <f t="shared" si="100"/>
        <v>000</v>
      </c>
      <c r="I1051" s="3" t="str">
        <f t="shared" si="101"/>
        <v>11</v>
      </c>
      <c r="L1051" s="3" t="s">
        <v>3309</v>
      </c>
      <c r="R1051" s="3" t="s">
        <v>6173</v>
      </c>
      <c r="S1051" s="15" t="s">
        <v>3247</v>
      </c>
    </row>
    <row r="1052" spans="1:19" ht="30" x14ac:dyDescent="0.25">
      <c r="A1052" s="4" t="s">
        <v>6174</v>
      </c>
      <c r="B1052" s="4" t="s">
        <v>6049</v>
      </c>
      <c r="C1052" s="4" t="s">
        <v>1395</v>
      </c>
      <c r="D1052" s="3" t="str">
        <f t="shared" si="96"/>
        <v>PLA</v>
      </c>
      <c r="E1052" s="3" t="str">
        <f t="shared" si="97"/>
        <v>S</v>
      </c>
      <c r="F1052" s="3" t="str">
        <f t="shared" si="98"/>
        <v>101</v>
      </c>
      <c r="G1052" s="3" t="str">
        <f t="shared" si="99"/>
        <v>WE</v>
      </c>
      <c r="H1052" s="3" t="str">
        <f t="shared" si="100"/>
        <v>000</v>
      </c>
      <c r="I1052" s="3" t="str">
        <f t="shared" si="101"/>
        <v>11</v>
      </c>
      <c r="L1052" s="3" t="s">
        <v>3309</v>
      </c>
      <c r="R1052" s="3" t="s">
        <v>6175</v>
      </c>
      <c r="S1052" s="15" t="s">
        <v>3247</v>
      </c>
    </row>
    <row r="1053" spans="1:19" ht="30" x14ac:dyDescent="0.25">
      <c r="A1053" s="4" t="s">
        <v>6176</v>
      </c>
      <c r="B1053" s="4" t="s">
        <v>6049</v>
      </c>
      <c r="C1053" s="4" t="s">
        <v>1396</v>
      </c>
      <c r="D1053" s="3" t="str">
        <f t="shared" si="96"/>
        <v>PLA</v>
      </c>
      <c r="E1053" s="3" t="str">
        <f t="shared" si="97"/>
        <v>S</v>
      </c>
      <c r="F1053" s="3" t="str">
        <f t="shared" si="98"/>
        <v>201</v>
      </c>
      <c r="G1053" s="3" t="str">
        <f t="shared" si="99"/>
        <v>WE</v>
      </c>
      <c r="H1053" s="3" t="str">
        <f t="shared" si="100"/>
        <v>000</v>
      </c>
      <c r="I1053" s="3" t="str">
        <f t="shared" si="101"/>
        <v>00</v>
      </c>
      <c r="L1053" s="3" t="s">
        <v>3309</v>
      </c>
      <c r="R1053" s="3" t="s">
        <v>6177</v>
      </c>
      <c r="S1053" s="15" t="s">
        <v>3247</v>
      </c>
    </row>
    <row r="1054" spans="1:19" ht="30" x14ac:dyDescent="0.25">
      <c r="A1054" s="4" t="s">
        <v>6178</v>
      </c>
      <c r="B1054" s="4" t="s">
        <v>6049</v>
      </c>
      <c r="C1054" s="4" t="s">
        <v>6179</v>
      </c>
      <c r="D1054" s="3" t="str">
        <f t="shared" si="96"/>
        <v>PLA</v>
      </c>
      <c r="E1054" s="3" t="str">
        <f t="shared" si="97"/>
        <v>T</v>
      </c>
      <c r="F1054" s="3" t="str">
        <f t="shared" si="98"/>
        <v>001</v>
      </c>
      <c r="G1054" s="3" t="str">
        <f t="shared" si="99"/>
        <v>WE</v>
      </c>
      <c r="H1054" s="3" t="str">
        <f t="shared" si="100"/>
        <v>000</v>
      </c>
      <c r="I1054" s="3" t="str">
        <f t="shared" si="101"/>
        <v>11</v>
      </c>
      <c r="L1054" s="3" t="s">
        <v>3309</v>
      </c>
      <c r="R1054" s="3" t="s">
        <v>6180</v>
      </c>
      <c r="S1054" s="15" t="s">
        <v>3247</v>
      </c>
    </row>
    <row r="1055" spans="1:19" ht="30" x14ac:dyDescent="0.25">
      <c r="A1055" s="4" t="s">
        <v>6181</v>
      </c>
      <c r="B1055" s="4" t="s">
        <v>6049</v>
      </c>
      <c r="C1055" s="4" t="s">
        <v>1398</v>
      </c>
      <c r="D1055" s="3" t="str">
        <f t="shared" si="96"/>
        <v>PLA</v>
      </c>
      <c r="E1055" s="3" t="str">
        <f t="shared" si="97"/>
        <v>T</v>
      </c>
      <c r="F1055" s="3" t="str">
        <f t="shared" si="98"/>
        <v>002</v>
      </c>
      <c r="G1055" s="3" t="str">
        <f t="shared" si="99"/>
        <v>WE</v>
      </c>
      <c r="H1055" s="3" t="str">
        <f t="shared" si="100"/>
        <v>000</v>
      </c>
      <c r="I1055" s="3" t="str">
        <f t="shared" si="101"/>
        <v>11</v>
      </c>
      <c r="L1055" s="3" t="s">
        <v>3245</v>
      </c>
      <c r="R1055" s="3" t="s">
        <v>6182</v>
      </c>
      <c r="S1055" s="15" t="s">
        <v>3247</v>
      </c>
    </row>
    <row r="1056" spans="1:19" ht="30" x14ac:dyDescent="0.25">
      <c r="A1056" s="4" t="s">
        <v>6183</v>
      </c>
      <c r="B1056" s="4" t="s">
        <v>6049</v>
      </c>
      <c r="C1056" s="4" t="s">
        <v>6184</v>
      </c>
      <c r="D1056" s="3" t="str">
        <f t="shared" si="96"/>
        <v>PLA</v>
      </c>
      <c r="E1056" s="3" t="str">
        <f t="shared" si="97"/>
        <v>A</v>
      </c>
      <c r="F1056" s="3" t="str">
        <f t="shared" si="98"/>
        <v>001</v>
      </c>
      <c r="G1056" s="3" t="str">
        <f t="shared" si="99"/>
        <v>ST</v>
      </c>
      <c r="H1056" s="3" t="str">
        <f t="shared" si="100"/>
        <v>000</v>
      </c>
      <c r="I1056" s="3" t="str">
        <f t="shared" si="101"/>
        <v>00</v>
      </c>
      <c r="L1056" s="3" t="s">
        <v>3309</v>
      </c>
      <c r="R1056" s="3" t="s">
        <v>6185</v>
      </c>
      <c r="S1056" s="15" t="s">
        <v>3247</v>
      </c>
    </row>
    <row r="1057" spans="1:19" ht="30" x14ac:dyDescent="0.25">
      <c r="A1057" s="4" t="s">
        <v>6186</v>
      </c>
      <c r="B1057" s="4" t="s">
        <v>6049</v>
      </c>
      <c r="C1057" s="4" t="s">
        <v>6187</v>
      </c>
      <c r="D1057" s="3" t="str">
        <f t="shared" si="96"/>
        <v>PLA</v>
      </c>
      <c r="E1057" s="3" t="str">
        <f t="shared" si="97"/>
        <v>G</v>
      </c>
      <c r="F1057" s="3" t="str">
        <f t="shared" si="98"/>
        <v>002</v>
      </c>
      <c r="G1057" s="3" t="str">
        <f t="shared" si="99"/>
        <v>ST</v>
      </c>
      <c r="H1057" s="3" t="str">
        <f t="shared" si="100"/>
        <v>000</v>
      </c>
      <c r="I1057" s="3" t="str">
        <f t="shared" si="101"/>
        <v>00</v>
      </c>
      <c r="L1057" s="3" t="s">
        <v>3309</v>
      </c>
      <c r="R1057" s="3" t="s">
        <v>6188</v>
      </c>
      <c r="S1057" s="15" t="s">
        <v>3247</v>
      </c>
    </row>
    <row r="1058" spans="1:19" ht="30" x14ac:dyDescent="0.25">
      <c r="A1058" s="4" t="s">
        <v>6189</v>
      </c>
      <c r="B1058" s="4" t="s">
        <v>6049</v>
      </c>
      <c r="C1058" s="4" t="s">
        <v>6190</v>
      </c>
      <c r="D1058" s="3" t="str">
        <f t="shared" si="96"/>
        <v>PLA</v>
      </c>
      <c r="E1058" s="3" t="str">
        <f t="shared" si="97"/>
        <v>B</v>
      </c>
      <c r="F1058" s="3" t="str">
        <f t="shared" si="98"/>
        <v>002</v>
      </c>
      <c r="G1058" s="3" t="str">
        <f t="shared" si="99"/>
        <v>FE</v>
      </c>
      <c r="H1058" s="3" t="str">
        <f t="shared" si="100"/>
        <v>000</v>
      </c>
      <c r="I1058" s="3" t="str">
        <f t="shared" si="101"/>
        <v>00</v>
      </c>
      <c r="L1058" s="3" t="s">
        <v>3309</v>
      </c>
      <c r="R1058" s="3" t="s">
        <v>6191</v>
      </c>
      <c r="S1058" s="15" t="s">
        <v>3247</v>
      </c>
    </row>
    <row r="1059" spans="1:19" ht="30" x14ac:dyDescent="0.25">
      <c r="A1059" s="4" t="s">
        <v>6192</v>
      </c>
      <c r="B1059" s="4" t="s">
        <v>6049</v>
      </c>
      <c r="C1059" s="4" t="s">
        <v>6193</v>
      </c>
      <c r="D1059" s="3" t="str">
        <f t="shared" si="96"/>
        <v>PLA</v>
      </c>
      <c r="E1059" s="3" t="str">
        <f t="shared" si="97"/>
        <v>B</v>
      </c>
      <c r="F1059" s="3" t="str">
        <f t="shared" si="98"/>
        <v>607</v>
      </c>
      <c r="G1059" s="3" t="str">
        <f t="shared" si="99"/>
        <v>FE</v>
      </c>
      <c r="H1059" s="3" t="str">
        <f t="shared" si="100"/>
        <v>000</v>
      </c>
      <c r="I1059" s="3" t="str">
        <f t="shared" si="101"/>
        <v>00</v>
      </c>
      <c r="L1059" s="3" t="s">
        <v>3309</v>
      </c>
      <c r="R1059" s="3" t="s">
        <v>6194</v>
      </c>
      <c r="S1059" s="15" t="s">
        <v>3247</v>
      </c>
    </row>
    <row r="1060" spans="1:19" ht="30" x14ac:dyDescent="0.25">
      <c r="A1060" s="4" t="s">
        <v>6195</v>
      </c>
      <c r="B1060" s="4" t="s">
        <v>6049</v>
      </c>
      <c r="C1060" s="4" t="s">
        <v>6196</v>
      </c>
      <c r="D1060" s="3" t="str">
        <f t="shared" si="96"/>
        <v>PLA</v>
      </c>
      <c r="E1060" s="3" t="str">
        <f t="shared" si="97"/>
        <v>B</v>
      </c>
      <c r="F1060" s="3" t="str">
        <f t="shared" si="98"/>
        <v>203</v>
      </c>
      <c r="G1060" s="3" t="str">
        <f t="shared" si="99"/>
        <v>FE</v>
      </c>
      <c r="H1060" s="3" t="str">
        <f t="shared" si="100"/>
        <v>000</v>
      </c>
      <c r="I1060" s="3" t="str">
        <f t="shared" si="101"/>
        <v>00</v>
      </c>
      <c r="L1060" s="3" t="s">
        <v>3309</v>
      </c>
      <c r="R1060" s="3" t="s">
        <v>6197</v>
      </c>
      <c r="S1060" s="15" t="s">
        <v>3247</v>
      </c>
    </row>
    <row r="1061" spans="1:19" ht="30" x14ac:dyDescent="0.25">
      <c r="A1061" s="4" t="s">
        <v>6198</v>
      </c>
      <c r="B1061" s="4" t="s">
        <v>6049</v>
      </c>
      <c r="C1061" s="4" t="s">
        <v>6199</v>
      </c>
      <c r="D1061" s="3" t="str">
        <f t="shared" si="96"/>
        <v>PLA</v>
      </c>
      <c r="E1061" s="3" t="str">
        <f t="shared" si="97"/>
        <v>B</v>
      </c>
      <c r="F1061" s="3" t="str">
        <f t="shared" si="98"/>
        <v>003</v>
      </c>
      <c r="G1061" s="3" t="str">
        <f t="shared" si="99"/>
        <v>FE</v>
      </c>
      <c r="H1061" s="3" t="str">
        <f t="shared" si="100"/>
        <v>000</v>
      </c>
      <c r="I1061" s="3" t="str">
        <f t="shared" si="101"/>
        <v>00</v>
      </c>
      <c r="L1061" s="3" t="s">
        <v>3309</v>
      </c>
      <c r="R1061" s="3" t="s">
        <v>6200</v>
      </c>
      <c r="S1061" s="15" t="s">
        <v>3247</v>
      </c>
    </row>
    <row r="1062" spans="1:19" ht="30" x14ac:dyDescent="0.25">
      <c r="A1062" s="4" t="s">
        <v>6201</v>
      </c>
      <c r="B1062" s="4" t="s">
        <v>6049</v>
      </c>
      <c r="C1062" s="4" t="s">
        <v>6202</v>
      </c>
      <c r="D1062" s="3" t="str">
        <f t="shared" si="96"/>
        <v>PLA</v>
      </c>
      <c r="E1062" s="3" t="str">
        <f t="shared" si="97"/>
        <v>C</v>
      </c>
      <c r="F1062" s="3" t="str">
        <f t="shared" si="98"/>
        <v>001</v>
      </c>
      <c r="G1062" s="3" t="str">
        <f t="shared" si="99"/>
        <v>AP</v>
      </c>
      <c r="H1062" s="3" t="str">
        <f t="shared" si="100"/>
        <v>000</v>
      </c>
      <c r="I1062" s="3" t="str">
        <f t="shared" si="101"/>
        <v>00</v>
      </c>
      <c r="L1062" s="3" t="s">
        <v>3309</v>
      </c>
      <c r="R1062" s="3" t="s">
        <v>6203</v>
      </c>
      <c r="S1062" s="15" t="s">
        <v>3247</v>
      </c>
    </row>
    <row r="1063" spans="1:19" ht="30" x14ac:dyDescent="0.25">
      <c r="A1063" s="4" t="s">
        <v>6204</v>
      </c>
      <c r="B1063" s="4" t="s">
        <v>6049</v>
      </c>
      <c r="C1063" s="4" t="s">
        <v>6205</v>
      </c>
      <c r="D1063" s="3" t="str">
        <f t="shared" si="96"/>
        <v>PLA</v>
      </c>
      <c r="E1063" s="3" t="str">
        <f t="shared" si="97"/>
        <v>C</v>
      </c>
      <c r="F1063" s="3" t="str">
        <f t="shared" si="98"/>
        <v>003</v>
      </c>
      <c r="G1063" s="3" t="str">
        <f t="shared" si="99"/>
        <v>ST</v>
      </c>
      <c r="H1063" s="3" t="str">
        <f t="shared" si="100"/>
        <v>000</v>
      </c>
      <c r="I1063" s="3" t="str">
        <f t="shared" si="101"/>
        <v>00</v>
      </c>
      <c r="L1063" s="3" t="s">
        <v>3309</v>
      </c>
      <c r="R1063" s="3" t="s">
        <v>6206</v>
      </c>
      <c r="S1063" s="15" t="s">
        <v>3247</v>
      </c>
    </row>
    <row r="1064" spans="1:19" ht="30" x14ac:dyDescent="0.25">
      <c r="A1064" s="4" t="s">
        <v>6207</v>
      </c>
      <c r="B1064" s="4" t="s">
        <v>6049</v>
      </c>
      <c r="C1064" s="4" t="s">
        <v>6208</v>
      </c>
      <c r="D1064" s="3" t="str">
        <f t="shared" si="96"/>
        <v>PLA</v>
      </c>
      <c r="E1064" s="3" t="str">
        <f t="shared" si="97"/>
        <v>C</v>
      </c>
      <c r="F1064" s="3" t="str">
        <f t="shared" si="98"/>
        <v>004</v>
      </c>
      <c r="G1064" s="3" t="str">
        <f t="shared" si="99"/>
        <v>ST</v>
      </c>
      <c r="H1064" s="3" t="str">
        <f t="shared" si="100"/>
        <v>000</v>
      </c>
      <c r="I1064" s="3" t="str">
        <f t="shared" si="101"/>
        <v>00</v>
      </c>
      <c r="L1064" s="3" t="s">
        <v>3309</v>
      </c>
      <c r="R1064" s="3" t="s">
        <v>6209</v>
      </c>
      <c r="S1064" s="15" t="s">
        <v>3247</v>
      </c>
    </row>
    <row r="1065" spans="1:19" ht="30" x14ac:dyDescent="0.25">
      <c r="A1065" s="4" t="s">
        <v>6210</v>
      </c>
      <c r="B1065" s="4" t="s">
        <v>6049</v>
      </c>
      <c r="C1065" s="4" t="s">
        <v>6211</v>
      </c>
      <c r="D1065" s="3" t="str">
        <f t="shared" si="96"/>
        <v>PLA</v>
      </c>
      <c r="E1065" s="3" t="str">
        <f t="shared" si="97"/>
        <v>N</v>
      </c>
      <c r="F1065" s="3" t="str">
        <f t="shared" si="98"/>
        <v>702</v>
      </c>
      <c r="G1065" s="3" t="str">
        <f t="shared" si="99"/>
        <v>ST</v>
      </c>
      <c r="H1065" s="3" t="str">
        <f t="shared" si="100"/>
        <v>000</v>
      </c>
      <c r="I1065" s="3" t="str">
        <f t="shared" si="101"/>
        <v>00</v>
      </c>
      <c r="L1065" s="3" t="s">
        <v>3309</v>
      </c>
      <c r="R1065" s="3" t="s">
        <v>6212</v>
      </c>
      <c r="S1065" s="15" t="s">
        <v>3247</v>
      </c>
    </row>
    <row r="1066" spans="1:19" ht="30" x14ac:dyDescent="0.25">
      <c r="A1066" s="4" t="s">
        <v>6213</v>
      </c>
      <c r="B1066" s="4" t="s">
        <v>6049</v>
      </c>
      <c r="C1066" s="4" t="s">
        <v>6214</v>
      </c>
      <c r="D1066" s="3" t="str">
        <f t="shared" si="96"/>
        <v>PLA</v>
      </c>
      <c r="E1066" s="3" t="str">
        <f t="shared" si="97"/>
        <v>N</v>
      </c>
      <c r="F1066" s="3" t="str">
        <f t="shared" si="98"/>
        <v>103</v>
      </c>
      <c r="G1066" s="3" t="str">
        <f t="shared" si="99"/>
        <v>ST</v>
      </c>
      <c r="H1066" s="3" t="str">
        <f t="shared" si="100"/>
        <v>000</v>
      </c>
      <c r="I1066" s="3" t="str">
        <f t="shared" si="101"/>
        <v>00</v>
      </c>
      <c r="L1066" s="3" t="s">
        <v>3309</v>
      </c>
      <c r="R1066" s="3" t="s">
        <v>6215</v>
      </c>
      <c r="S1066" s="15" t="s">
        <v>3247</v>
      </c>
    </row>
    <row r="1067" spans="1:19" ht="30" x14ac:dyDescent="0.25">
      <c r="A1067" s="4" t="s">
        <v>6216</v>
      </c>
      <c r="B1067" s="4" t="s">
        <v>6049</v>
      </c>
      <c r="C1067" s="4" t="s">
        <v>6217</v>
      </c>
      <c r="D1067" s="3" t="str">
        <f t="shared" si="96"/>
        <v>PLA</v>
      </c>
      <c r="E1067" s="3" t="str">
        <f t="shared" si="97"/>
        <v>N</v>
      </c>
      <c r="F1067" s="3" t="str">
        <f t="shared" si="98"/>
        <v>503</v>
      </c>
      <c r="G1067" s="3" t="str">
        <f t="shared" si="99"/>
        <v>ST</v>
      </c>
      <c r="H1067" s="3" t="str">
        <f t="shared" si="100"/>
        <v>000</v>
      </c>
      <c r="I1067" s="3" t="str">
        <f t="shared" si="101"/>
        <v>00</v>
      </c>
      <c r="L1067" s="3" t="s">
        <v>3309</v>
      </c>
      <c r="R1067" s="3" t="s">
        <v>6218</v>
      </c>
      <c r="S1067" s="15" t="s">
        <v>3247</v>
      </c>
    </row>
    <row r="1068" spans="1:19" ht="30" x14ac:dyDescent="0.25">
      <c r="A1068" s="4" t="s">
        <v>6219</v>
      </c>
      <c r="B1068" s="4" t="s">
        <v>6049</v>
      </c>
      <c r="C1068" s="4" t="s">
        <v>6220</v>
      </c>
      <c r="D1068" s="3" t="str">
        <f t="shared" si="96"/>
        <v>PLA</v>
      </c>
      <c r="E1068" s="3" t="str">
        <f t="shared" si="97"/>
        <v>N</v>
      </c>
      <c r="F1068" s="3" t="str">
        <f t="shared" si="98"/>
        <v>203</v>
      </c>
      <c r="G1068" s="3" t="str">
        <f t="shared" si="99"/>
        <v>ST</v>
      </c>
      <c r="H1068" s="3" t="str">
        <f t="shared" si="100"/>
        <v>000</v>
      </c>
      <c r="I1068" s="3" t="str">
        <f t="shared" si="101"/>
        <v>00</v>
      </c>
      <c r="L1068" s="3" t="s">
        <v>3309</v>
      </c>
      <c r="R1068" s="3" t="s">
        <v>6221</v>
      </c>
      <c r="S1068" s="15" t="s">
        <v>3247</v>
      </c>
    </row>
    <row r="1069" spans="1:19" ht="30" x14ac:dyDescent="0.25">
      <c r="A1069" s="4" t="s">
        <v>6222</v>
      </c>
      <c r="B1069" s="4" t="s">
        <v>6049</v>
      </c>
      <c r="C1069" s="4" t="s">
        <v>6223</v>
      </c>
      <c r="D1069" s="3" t="str">
        <f t="shared" si="96"/>
        <v>PLA</v>
      </c>
      <c r="E1069" s="3" t="str">
        <f t="shared" si="97"/>
        <v>N</v>
      </c>
      <c r="F1069" s="3" t="str">
        <f t="shared" si="98"/>
        <v>804</v>
      </c>
      <c r="G1069" s="3" t="str">
        <f t="shared" si="99"/>
        <v>ST</v>
      </c>
      <c r="H1069" s="3" t="str">
        <f t="shared" si="100"/>
        <v>000</v>
      </c>
      <c r="I1069" s="3" t="str">
        <f t="shared" si="101"/>
        <v>00</v>
      </c>
      <c r="L1069" s="3" t="s">
        <v>3309</v>
      </c>
      <c r="R1069" s="3" t="s">
        <v>6224</v>
      </c>
      <c r="S1069" s="15" t="s">
        <v>3247</v>
      </c>
    </row>
    <row r="1070" spans="1:19" ht="30" x14ac:dyDescent="0.25">
      <c r="A1070" s="4" t="s">
        <v>6225</v>
      </c>
      <c r="B1070" s="4" t="s">
        <v>6049</v>
      </c>
      <c r="C1070" s="4" t="s">
        <v>6226</v>
      </c>
      <c r="D1070" s="3" t="str">
        <f t="shared" si="96"/>
        <v>PLA</v>
      </c>
      <c r="E1070" s="3" t="str">
        <f t="shared" si="97"/>
        <v>N</v>
      </c>
      <c r="F1070" s="3" t="str">
        <f t="shared" si="98"/>
        <v>701</v>
      </c>
      <c r="G1070" s="3" t="str">
        <f t="shared" si="99"/>
        <v>ST</v>
      </c>
      <c r="H1070" s="3" t="str">
        <f t="shared" si="100"/>
        <v>000</v>
      </c>
      <c r="I1070" s="3" t="str">
        <f t="shared" si="101"/>
        <v>00</v>
      </c>
      <c r="L1070" s="3" t="s">
        <v>3309</v>
      </c>
      <c r="R1070" s="3" t="s">
        <v>6227</v>
      </c>
      <c r="S1070" s="15" t="s">
        <v>3247</v>
      </c>
    </row>
    <row r="1071" spans="1:19" ht="30" x14ac:dyDescent="0.25">
      <c r="A1071" s="4" t="s">
        <v>6228</v>
      </c>
      <c r="B1071" s="4" t="s">
        <v>6049</v>
      </c>
      <c r="C1071" s="4" t="s">
        <v>6229</v>
      </c>
      <c r="D1071" s="3" t="str">
        <f t="shared" si="96"/>
        <v>PLA</v>
      </c>
      <c r="E1071" s="3" t="str">
        <f t="shared" si="97"/>
        <v>N</v>
      </c>
      <c r="F1071" s="3" t="str">
        <f t="shared" si="98"/>
        <v>502</v>
      </c>
      <c r="G1071" s="3" t="str">
        <f t="shared" si="99"/>
        <v>ST</v>
      </c>
      <c r="H1071" s="3" t="str">
        <f t="shared" si="100"/>
        <v>000</v>
      </c>
      <c r="I1071" s="3" t="str">
        <f t="shared" si="101"/>
        <v>00</v>
      </c>
      <c r="L1071" s="3" t="s">
        <v>3309</v>
      </c>
      <c r="R1071" s="3" t="s">
        <v>6230</v>
      </c>
      <c r="S1071" s="15" t="s">
        <v>3247</v>
      </c>
    </row>
    <row r="1072" spans="1:19" ht="30" x14ac:dyDescent="0.25">
      <c r="A1072" s="4" t="s">
        <v>6231</v>
      </c>
      <c r="B1072" s="4" t="s">
        <v>6049</v>
      </c>
      <c r="C1072" s="4" t="s">
        <v>6232</v>
      </c>
      <c r="D1072" s="3" t="str">
        <f t="shared" si="96"/>
        <v>PLA</v>
      </c>
      <c r="E1072" s="3" t="str">
        <f t="shared" si="97"/>
        <v>N</v>
      </c>
      <c r="F1072" s="3" t="str">
        <f t="shared" si="98"/>
        <v>202</v>
      </c>
      <c r="G1072" s="3" t="str">
        <f t="shared" si="99"/>
        <v>ST</v>
      </c>
      <c r="H1072" s="3" t="str">
        <f t="shared" si="100"/>
        <v>000</v>
      </c>
      <c r="I1072" s="3" t="str">
        <f t="shared" si="101"/>
        <v>00</v>
      </c>
      <c r="L1072" s="3" t="s">
        <v>3309</v>
      </c>
      <c r="R1072" s="3" t="s">
        <v>6233</v>
      </c>
      <c r="S1072" s="15" t="s">
        <v>3247</v>
      </c>
    </row>
    <row r="1073" spans="1:19" ht="30" x14ac:dyDescent="0.25">
      <c r="A1073" s="4" t="s">
        <v>6234</v>
      </c>
      <c r="B1073" s="4" t="s">
        <v>6049</v>
      </c>
      <c r="C1073" s="4" t="s">
        <v>6235</v>
      </c>
      <c r="D1073" s="3" t="str">
        <f t="shared" si="96"/>
        <v>PLA</v>
      </c>
      <c r="E1073" s="3" t="str">
        <f t="shared" si="97"/>
        <v>N</v>
      </c>
      <c r="F1073" s="3" t="str">
        <f t="shared" si="98"/>
        <v>109</v>
      </c>
      <c r="G1073" s="3" t="str">
        <f t="shared" si="99"/>
        <v>ST</v>
      </c>
      <c r="H1073" s="3" t="str">
        <f t="shared" si="100"/>
        <v>000</v>
      </c>
      <c r="I1073" s="3" t="str">
        <f t="shared" si="101"/>
        <v>00</v>
      </c>
      <c r="L1073" s="3" t="s">
        <v>3309</v>
      </c>
      <c r="R1073" s="3" t="s">
        <v>6236</v>
      </c>
      <c r="S1073" s="15" t="s">
        <v>3247</v>
      </c>
    </row>
    <row r="1074" spans="1:19" ht="30" x14ac:dyDescent="0.25">
      <c r="A1074" s="4" t="s">
        <v>6237</v>
      </c>
      <c r="B1074" s="4" t="s">
        <v>6049</v>
      </c>
      <c r="C1074" s="4" t="s">
        <v>6238</v>
      </c>
      <c r="D1074" s="3" t="str">
        <f t="shared" si="96"/>
        <v>PLA</v>
      </c>
      <c r="E1074" s="3" t="str">
        <f t="shared" si="97"/>
        <v>N</v>
      </c>
      <c r="F1074" s="3" t="str">
        <f t="shared" si="98"/>
        <v>102</v>
      </c>
      <c r="G1074" s="3" t="str">
        <f t="shared" si="99"/>
        <v>ST</v>
      </c>
      <c r="H1074" s="3" t="str">
        <f t="shared" si="100"/>
        <v>000</v>
      </c>
      <c r="I1074" s="3" t="str">
        <f t="shared" si="101"/>
        <v>00</v>
      </c>
      <c r="L1074" s="3" t="s">
        <v>3309</v>
      </c>
      <c r="R1074" s="3" t="s">
        <v>6239</v>
      </c>
      <c r="S1074" s="15" t="s">
        <v>3247</v>
      </c>
    </row>
    <row r="1075" spans="1:19" ht="30" x14ac:dyDescent="0.25">
      <c r="A1075" s="4" t="s">
        <v>6240</v>
      </c>
      <c r="B1075" s="4" t="s">
        <v>6049</v>
      </c>
      <c r="C1075" s="4" t="s">
        <v>6241</v>
      </c>
      <c r="D1075" s="3" t="str">
        <f t="shared" si="96"/>
        <v>PLA</v>
      </c>
      <c r="E1075" s="3" t="str">
        <f t="shared" si="97"/>
        <v>N</v>
      </c>
      <c r="F1075" s="3" t="str">
        <f t="shared" si="98"/>
        <v>801</v>
      </c>
      <c r="G1075" s="3" t="str">
        <f t="shared" si="99"/>
        <v>ST</v>
      </c>
      <c r="H1075" s="3" t="str">
        <f t="shared" si="100"/>
        <v>000</v>
      </c>
      <c r="I1075" s="3" t="str">
        <f t="shared" si="101"/>
        <v>00</v>
      </c>
      <c r="L1075" s="3" t="s">
        <v>3309</v>
      </c>
      <c r="R1075" s="3" t="s">
        <v>6242</v>
      </c>
      <c r="S1075" s="15" t="s">
        <v>3247</v>
      </c>
    </row>
    <row r="1076" spans="1:19" ht="30" x14ac:dyDescent="0.25">
      <c r="A1076" s="4" t="s">
        <v>6243</v>
      </c>
      <c r="B1076" s="4" t="s">
        <v>6049</v>
      </c>
      <c r="C1076" s="4" t="s">
        <v>6244</v>
      </c>
      <c r="D1076" s="3" t="str">
        <f t="shared" si="96"/>
        <v>PLA</v>
      </c>
      <c r="E1076" s="3" t="str">
        <f t="shared" si="97"/>
        <v>N</v>
      </c>
      <c r="F1076" s="3" t="str">
        <f t="shared" si="98"/>
        <v>802</v>
      </c>
      <c r="G1076" s="3" t="str">
        <f t="shared" si="99"/>
        <v>ST</v>
      </c>
      <c r="H1076" s="3" t="str">
        <f t="shared" si="100"/>
        <v>000</v>
      </c>
      <c r="I1076" s="3" t="str">
        <f t="shared" si="101"/>
        <v>00</v>
      </c>
      <c r="L1076" s="3" t="s">
        <v>3309</v>
      </c>
      <c r="R1076" s="3" t="s">
        <v>6245</v>
      </c>
      <c r="S1076" s="15" t="s">
        <v>3247</v>
      </c>
    </row>
    <row r="1077" spans="1:19" ht="30" x14ac:dyDescent="0.25">
      <c r="A1077" s="4" t="s">
        <v>6246</v>
      </c>
      <c r="B1077" s="4" t="s">
        <v>6049</v>
      </c>
      <c r="C1077" s="4" t="s">
        <v>6247</v>
      </c>
      <c r="D1077" s="3" t="str">
        <f t="shared" si="96"/>
        <v>PLA</v>
      </c>
      <c r="E1077" s="3" t="str">
        <f t="shared" si="97"/>
        <v>M</v>
      </c>
      <c r="F1077" s="3" t="str">
        <f t="shared" si="98"/>
        <v>108</v>
      </c>
      <c r="G1077" s="3" t="str">
        <f t="shared" si="99"/>
        <v>ST</v>
      </c>
      <c r="H1077" s="3" t="str">
        <f t="shared" si="100"/>
        <v>000</v>
      </c>
      <c r="I1077" s="3" t="str">
        <f t="shared" si="101"/>
        <v>00</v>
      </c>
      <c r="L1077" s="3" t="s">
        <v>3309</v>
      </c>
      <c r="R1077" s="3" t="s">
        <v>6248</v>
      </c>
      <c r="S1077" s="15" t="s">
        <v>3247</v>
      </c>
    </row>
    <row r="1078" spans="1:19" ht="30" x14ac:dyDescent="0.25">
      <c r="A1078" s="4" t="s">
        <v>6249</v>
      </c>
      <c r="B1078" s="4" t="s">
        <v>6049</v>
      </c>
      <c r="C1078" s="4" t="s">
        <v>6250</v>
      </c>
      <c r="D1078" s="3" t="str">
        <f t="shared" si="96"/>
        <v>PLA</v>
      </c>
      <c r="E1078" s="3" t="str">
        <f t="shared" si="97"/>
        <v>M</v>
      </c>
      <c r="F1078" s="3" t="str">
        <f t="shared" si="98"/>
        <v>503</v>
      </c>
      <c r="G1078" s="3" t="str">
        <f t="shared" si="99"/>
        <v>ST</v>
      </c>
      <c r="H1078" s="3" t="str">
        <f t="shared" si="100"/>
        <v>000</v>
      </c>
      <c r="I1078" s="3" t="str">
        <f t="shared" si="101"/>
        <v>00</v>
      </c>
      <c r="L1078" s="3" t="s">
        <v>3309</v>
      </c>
      <c r="R1078" s="3" t="s">
        <v>6251</v>
      </c>
      <c r="S1078" s="15" t="s">
        <v>3247</v>
      </c>
    </row>
    <row r="1079" spans="1:19" ht="30" x14ac:dyDescent="0.25">
      <c r="A1079" s="4" t="s">
        <v>6252</v>
      </c>
      <c r="B1079" s="4" t="s">
        <v>6049</v>
      </c>
      <c r="C1079" s="4" t="s">
        <v>6253</v>
      </c>
      <c r="D1079" s="3" t="str">
        <f t="shared" si="96"/>
        <v>PLA</v>
      </c>
      <c r="E1079" s="3" t="str">
        <f t="shared" si="97"/>
        <v>M</v>
      </c>
      <c r="F1079" s="3" t="str">
        <f t="shared" si="98"/>
        <v>109</v>
      </c>
      <c r="G1079" s="3" t="str">
        <f t="shared" si="99"/>
        <v>ST</v>
      </c>
      <c r="H1079" s="3" t="str">
        <f t="shared" si="100"/>
        <v>000</v>
      </c>
      <c r="I1079" s="3" t="str">
        <f t="shared" si="101"/>
        <v>00</v>
      </c>
      <c r="L1079" s="3" t="s">
        <v>3309</v>
      </c>
      <c r="R1079" s="3" t="s">
        <v>6254</v>
      </c>
      <c r="S1079" s="15" t="s">
        <v>3247</v>
      </c>
    </row>
    <row r="1080" spans="1:19" ht="30" x14ac:dyDescent="0.25">
      <c r="A1080" s="4" t="s">
        <v>6255</v>
      </c>
      <c r="B1080" s="4" t="s">
        <v>6049</v>
      </c>
      <c r="C1080" s="4" t="s">
        <v>6256</v>
      </c>
      <c r="D1080" s="3" t="str">
        <f t="shared" si="96"/>
        <v>PLA</v>
      </c>
      <c r="E1080" s="3" t="str">
        <f t="shared" si="97"/>
        <v>N</v>
      </c>
      <c r="F1080" s="3" t="str">
        <f t="shared" si="98"/>
        <v>903</v>
      </c>
      <c r="G1080" s="3" t="str">
        <f t="shared" si="99"/>
        <v>ST</v>
      </c>
      <c r="H1080" s="3" t="str">
        <f t="shared" si="100"/>
        <v>000</v>
      </c>
      <c r="I1080" s="3" t="str">
        <f t="shared" si="101"/>
        <v>00</v>
      </c>
      <c r="L1080" s="3" t="s">
        <v>3309</v>
      </c>
      <c r="R1080" s="3" t="s">
        <v>6257</v>
      </c>
      <c r="S1080" s="15" t="s">
        <v>3247</v>
      </c>
    </row>
    <row r="1081" spans="1:19" ht="30" x14ac:dyDescent="0.25">
      <c r="A1081" s="4" t="s">
        <v>6258</v>
      </c>
      <c r="B1081" s="4" t="s">
        <v>6049</v>
      </c>
      <c r="C1081" s="4" t="s">
        <v>6259</v>
      </c>
      <c r="D1081" s="3" t="str">
        <f t="shared" si="96"/>
        <v>PLA</v>
      </c>
      <c r="E1081" s="3" t="str">
        <f t="shared" si="97"/>
        <v>N</v>
      </c>
      <c r="F1081" s="3" t="str">
        <f t="shared" si="98"/>
        <v>207</v>
      </c>
      <c r="G1081" s="3" t="str">
        <f t="shared" si="99"/>
        <v>ST</v>
      </c>
      <c r="H1081" s="3" t="str">
        <f t="shared" si="100"/>
        <v>000</v>
      </c>
      <c r="I1081" s="3" t="str">
        <f t="shared" si="101"/>
        <v>00</v>
      </c>
      <c r="L1081" s="3" t="s">
        <v>3309</v>
      </c>
      <c r="R1081" s="3" t="s">
        <v>6260</v>
      </c>
      <c r="S1081" s="15" t="s">
        <v>3247</v>
      </c>
    </row>
    <row r="1082" spans="1:19" ht="30" x14ac:dyDescent="0.25">
      <c r="A1082" s="4" t="s">
        <v>6261</v>
      </c>
      <c r="B1082" s="4" t="s">
        <v>6049</v>
      </c>
      <c r="C1082" s="4" t="s">
        <v>6262</v>
      </c>
      <c r="D1082" s="3" t="str">
        <f t="shared" si="96"/>
        <v>PLA</v>
      </c>
      <c r="E1082" s="3" t="str">
        <f t="shared" si="97"/>
        <v>N</v>
      </c>
      <c r="F1082" s="3" t="str">
        <f t="shared" si="98"/>
        <v>706</v>
      </c>
      <c r="G1082" s="3" t="str">
        <f t="shared" si="99"/>
        <v>ST</v>
      </c>
      <c r="H1082" s="3" t="str">
        <f t="shared" si="100"/>
        <v>000</v>
      </c>
      <c r="I1082" s="3" t="str">
        <f t="shared" si="101"/>
        <v>00</v>
      </c>
      <c r="L1082" s="3" t="s">
        <v>3309</v>
      </c>
      <c r="R1082" s="3" t="s">
        <v>6263</v>
      </c>
      <c r="S1082" s="15" t="s">
        <v>3247</v>
      </c>
    </row>
    <row r="1083" spans="1:19" ht="30" x14ac:dyDescent="0.25">
      <c r="A1083" s="4" t="s">
        <v>6264</v>
      </c>
      <c r="B1083" s="4" t="s">
        <v>6049</v>
      </c>
      <c r="C1083" s="4" t="s">
        <v>6265</v>
      </c>
      <c r="D1083" s="3" t="str">
        <f t="shared" si="96"/>
        <v>PLA</v>
      </c>
      <c r="E1083" s="3" t="str">
        <f t="shared" si="97"/>
        <v>V</v>
      </c>
      <c r="F1083" s="3" t="str">
        <f t="shared" si="98"/>
        <v>007</v>
      </c>
      <c r="G1083" s="3" t="str">
        <f t="shared" si="99"/>
        <v>ST</v>
      </c>
      <c r="H1083" s="3" t="str">
        <f t="shared" si="100"/>
        <v>000</v>
      </c>
      <c r="I1083" s="3" t="str">
        <f t="shared" si="101"/>
        <v>00</v>
      </c>
      <c r="L1083" s="3" t="s">
        <v>3309</v>
      </c>
      <c r="R1083" s="3" t="s">
        <v>6266</v>
      </c>
      <c r="S1083" s="15" t="s">
        <v>3247</v>
      </c>
    </row>
    <row r="1084" spans="1:19" ht="30" x14ac:dyDescent="0.25">
      <c r="A1084" s="4" t="s">
        <v>6267</v>
      </c>
      <c r="B1084" s="4" t="s">
        <v>6049</v>
      </c>
      <c r="C1084" s="4" t="s">
        <v>6268</v>
      </c>
      <c r="D1084" s="3" t="str">
        <f t="shared" si="96"/>
        <v>PLA</v>
      </c>
      <c r="E1084" s="3" t="str">
        <f t="shared" si="97"/>
        <v>N</v>
      </c>
      <c r="F1084" s="3" t="str">
        <f t="shared" si="98"/>
        <v>000</v>
      </c>
      <c r="G1084" s="3" t="str">
        <f t="shared" si="99"/>
        <v>ST</v>
      </c>
      <c r="H1084" s="3" t="str">
        <f t="shared" si="100"/>
        <v>000</v>
      </c>
      <c r="I1084" s="3" t="str">
        <f t="shared" si="101"/>
        <v>00</v>
      </c>
      <c r="L1084" s="3" t="s">
        <v>3309</v>
      </c>
      <c r="R1084" s="3" t="s">
        <v>6269</v>
      </c>
      <c r="S1084" s="15" t="s">
        <v>3247</v>
      </c>
    </row>
    <row r="1085" spans="1:19" ht="30" x14ac:dyDescent="0.25">
      <c r="A1085" s="4" t="s">
        <v>6270</v>
      </c>
      <c r="B1085" s="4" t="s">
        <v>6049</v>
      </c>
      <c r="C1085" s="4" t="s">
        <v>6271</v>
      </c>
      <c r="D1085" s="3" t="str">
        <f t="shared" si="96"/>
        <v>PLA</v>
      </c>
      <c r="E1085" s="3" t="str">
        <f t="shared" si="97"/>
        <v>M</v>
      </c>
      <c r="F1085" s="3" t="str">
        <f t="shared" si="98"/>
        <v>003</v>
      </c>
      <c r="G1085" s="3" t="str">
        <f t="shared" si="99"/>
        <v>ST</v>
      </c>
      <c r="H1085" s="3" t="str">
        <f t="shared" si="100"/>
        <v>000</v>
      </c>
      <c r="I1085" s="3" t="str">
        <f t="shared" si="101"/>
        <v>00</v>
      </c>
      <c r="L1085" s="3" t="s">
        <v>3309</v>
      </c>
      <c r="R1085" s="3" t="s">
        <v>6272</v>
      </c>
      <c r="S1085" s="15" t="s">
        <v>3247</v>
      </c>
    </row>
    <row r="1086" spans="1:19" ht="30" x14ac:dyDescent="0.25">
      <c r="A1086" s="4" t="s">
        <v>6273</v>
      </c>
      <c r="B1086" s="4" t="s">
        <v>6049</v>
      </c>
      <c r="C1086" s="4" t="s">
        <v>6274</v>
      </c>
      <c r="D1086" s="3" t="str">
        <f t="shared" si="96"/>
        <v>PLA</v>
      </c>
      <c r="E1086" s="3" t="str">
        <f t="shared" si="97"/>
        <v>M</v>
      </c>
      <c r="F1086" s="3" t="str">
        <f t="shared" si="98"/>
        <v>004</v>
      </c>
      <c r="G1086" s="3" t="str">
        <f t="shared" si="99"/>
        <v>ST</v>
      </c>
      <c r="H1086" s="3" t="str">
        <f t="shared" si="100"/>
        <v>000</v>
      </c>
      <c r="I1086" s="3" t="str">
        <f t="shared" si="101"/>
        <v>00</v>
      </c>
      <c r="L1086" s="3" t="s">
        <v>3309</v>
      </c>
      <c r="R1086" s="3" t="s">
        <v>6275</v>
      </c>
      <c r="S1086" s="15" t="s">
        <v>3247</v>
      </c>
    </row>
    <row r="1087" spans="1:19" ht="30" x14ac:dyDescent="0.25">
      <c r="A1087" s="4" t="s">
        <v>6276</v>
      </c>
      <c r="B1087" s="4" t="s">
        <v>6049</v>
      </c>
      <c r="C1087" s="4" t="s">
        <v>6277</v>
      </c>
      <c r="D1087" s="3" t="str">
        <f t="shared" si="96"/>
        <v>PLA</v>
      </c>
      <c r="E1087" s="3" t="str">
        <f t="shared" si="97"/>
        <v>T</v>
      </c>
      <c r="F1087" s="3" t="str">
        <f t="shared" si="98"/>
        <v>003</v>
      </c>
      <c r="G1087" s="3" t="str">
        <f t="shared" si="99"/>
        <v>AN</v>
      </c>
      <c r="H1087" s="3" t="str">
        <f t="shared" si="100"/>
        <v>000</v>
      </c>
      <c r="I1087" s="3" t="str">
        <f t="shared" si="101"/>
        <v>00</v>
      </c>
      <c r="L1087" s="3" t="s">
        <v>3309</v>
      </c>
      <c r="R1087" s="3" t="s">
        <v>6278</v>
      </c>
      <c r="S1087" s="15" t="s">
        <v>3247</v>
      </c>
    </row>
    <row r="1088" spans="1:19" ht="30" x14ac:dyDescent="0.25">
      <c r="A1088" s="4" t="s">
        <v>6279</v>
      </c>
      <c r="B1088" s="4" t="s">
        <v>6049</v>
      </c>
      <c r="C1088" s="4" t="s">
        <v>6280</v>
      </c>
      <c r="D1088" s="3" t="str">
        <f t="shared" si="96"/>
        <v>PLA</v>
      </c>
      <c r="E1088" s="3" t="str">
        <f t="shared" si="97"/>
        <v>V</v>
      </c>
      <c r="F1088" s="3" t="str">
        <f t="shared" si="98"/>
        <v>200</v>
      </c>
      <c r="G1088" s="3" t="str">
        <f t="shared" si="99"/>
        <v>ST</v>
      </c>
      <c r="H1088" s="3" t="str">
        <f t="shared" si="100"/>
        <v>000</v>
      </c>
      <c r="I1088" s="3" t="str">
        <f t="shared" si="101"/>
        <v>00</v>
      </c>
      <c r="L1088" s="3" t="s">
        <v>3309</v>
      </c>
      <c r="R1088" s="3" t="s">
        <v>6281</v>
      </c>
      <c r="S1088" s="15" t="s">
        <v>3247</v>
      </c>
    </row>
    <row r="1089" spans="1:19" ht="30" x14ac:dyDescent="0.25">
      <c r="A1089" s="4" t="s">
        <v>6282</v>
      </c>
      <c r="B1089" s="4" t="s">
        <v>6049</v>
      </c>
      <c r="C1089" s="4" t="s">
        <v>6283</v>
      </c>
      <c r="D1089" s="3" t="str">
        <f t="shared" si="96"/>
        <v>PLA</v>
      </c>
      <c r="E1089" s="3" t="str">
        <f t="shared" si="97"/>
        <v>T</v>
      </c>
      <c r="F1089" s="3" t="str">
        <f t="shared" si="98"/>
        <v>004</v>
      </c>
      <c r="G1089" s="3" t="str">
        <f t="shared" si="99"/>
        <v>ST</v>
      </c>
      <c r="H1089" s="3" t="str">
        <f t="shared" si="100"/>
        <v>000</v>
      </c>
      <c r="I1089" s="3" t="str">
        <f t="shared" si="101"/>
        <v>00</v>
      </c>
      <c r="L1089" s="3" t="s">
        <v>3309</v>
      </c>
      <c r="R1089" s="3" t="s">
        <v>6284</v>
      </c>
      <c r="S1089" s="15" t="s">
        <v>3247</v>
      </c>
    </row>
    <row r="1090" spans="1:19" ht="30" x14ac:dyDescent="0.25">
      <c r="A1090" s="4" t="s">
        <v>6285</v>
      </c>
      <c r="B1090" s="4" t="s">
        <v>6049</v>
      </c>
      <c r="C1090" s="4" t="s">
        <v>6286</v>
      </c>
      <c r="D1090" s="3" t="str">
        <f t="shared" ref="D1090:D1153" si="102">LEFT(A1090,3)</f>
        <v>PLA</v>
      </c>
      <c r="E1090" s="3" t="str">
        <f t="shared" ref="E1090:E1153" si="103">MID(A1090,4,1)</f>
        <v>H</v>
      </c>
      <c r="F1090" s="3" t="str">
        <f t="shared" ref="F1090:F1153" si="104">MID(A1090,5,3)</f>
        <v>005</v>
      </c>
      <c r="G1090" s="3" t="str">
        <f t="shared" ref="G1090:G1153" si="105">MID(A1090,8,2)</f>
        <v>ST</v>
      </c>
      <c r="H1090" s="3" t="str">
        <f t="shared" ref="H1090:H1153" si="106">MID(A1090,10,3)</f>
        <v>000</v>
      </c>
      <c r="I1090" s="3" t="str">
        <f t="shared" ref="I1090:I1153" si="107">MID(A1090,13,2)</f>
        <v>00</v>
      </c>
      <c r="L1090" s="3" t="s">
        <v>3309</v>
      </c>
      <c r="R1090" s="3" t="s">
        <v>6287</v>
      </c>
      <c r="S1090" s="15">
        <v>60</v>
      </c>
    </row>
    <row r="1091" spans="1:19" ht="30" x14ac:dyDescent="0.25">
      <c r="A1091" s="4" t="s">
        <v>6288</v>
      </c>
      <c r="B1091" s="4" t="s">
        <v>6049</v>
      </c>
      <c r="C1091" s="4" t="s">
        <v>6289</v>
      </c>
      <c r="D1091" s="3" t="str">
        <f t="shared" si="102"/>
        <v>PLA</v>
      </c>
      <c r="E1091" s="3" t="str">
        <f t="shared" si="103"/>
        <v>M</v>
      </c>
      <c r="F1091" s="3" t="str">
        <f t="shared" si="104"/>
        <v>103</v>
      </c>
      <c r="G1091" s="3" t="str">
        <f t="shared" si="105"/>
        <v>ST</v>
      </c>
      <c r="H1091" s="3" t="str">
        <f t="shared" si="106"/>
        <v>000</v>
      </c>
      <c r="I1091" s="3" t="str">
        <f t="shared" si="107"/>
        <v>00</v>
      </c>
      <c r="L1091" s="3" t="s">
        <v>3309</v>
      </c>
      <c r="R1091" s="3" t="s">
        <v>6290</v>
      </c>
      <c r="S1091" s="15" t="s">
        <v>3247</v>
      </c>
    </row>
    <row r="1092" spans="1:19" ht="30" x14ac:dyDescent="0.25">
      <c r="A1092" s="4" t="s">
        <v>6291</v>
      </c>
      <c r="B1092" s="4" t="s">
        <v>6049</v>
      </c>
      <c r="C1092" s="4" t="s">
        <v>6292</v>
      </c>
      <c r="D1092" s="3" t="str">
        <f t="shared" si="102"/>
        <v>PLA</v>
      </c>
      <c r="E1092" s="3" t="str">
        <f t="shared" si="103"/>
        <v>M</v>
      </c>
      <c r="F1092" s="3" t="str">
        <f t="shared" si="104"/>
        <v>300</v>
      </c>
      <c r="G1092" s="3" t="str">
        <f t="shared" si="105"/>
        <v>ST</v>
      </c>
      <c r="H1092" s="3" t="str">
        <f t="shared" si="106"/>
        <v>000</v>
      </c>
      <c r="I1092" s="3" t="str">
        <f t="shared" si="107"/>
        <v>00</v>
      </c>
      <c r="L1092" s="3" t="s">
        <v>3309</v>
      </c>
      <c r="R1092" s="3" t="s">
        <v>6293</v>
      </c>
      <c r="S1092" s="15" t="s">
        <v>3247</v>
      </c>
    </row>
    <row r="1093" spans="1:19" ht="30" x14ac:dyDescent="0.25">
      <c r="A1093" s="4" t="s">
        <v>6294</v>
      </c>
      <c r="B1093" s="4" t="s">
        <v>6049</v>
      </c>
      <c r="C1093" s="4" t="s">
        <v>6295</v>
      </c>
      <c r="D1093" s="3" t="str">
        <f t="shared" si="102"/>
        <v>PLA</v>
      </c>
      <c r="E1093" s="3" t="str">
        <f t="shared" si="103"/>
        <v>M</v>
      </c>
      <c r="F1093" s="3" t="str">
        <f t="shared" si="104"/>
        <v>110</v>
      </c>
      <c r="G1093" s="3" t="str">
        <f t="shared" si="105"/>
        <v>ST</v>
      </c>
      <c r="H1093" s="3" t="str">
        <f t="shared" si="106"/>
        <v>000</v>
      </c>
      <c r="I1093" s="3" t="str">
        <f t="shared" si="107"/>
        <v>00</v>
      </c>
      <c r="L1093" s="3" t="s">
        <v>3309</v>
      </c>
      <c r="R1093" s="3" t="s">
        <v>6296</v>
      </c>
      <c r="S1093" s="15" t="s">
        <v>3247</v>
      </c>
    </row>
    <row r="1094" spans="1:19" ht="30" x14ac:dyDescent="0.25">
      <c r="A1094" s="4" t="s">
        <v>6297</v>
      </c>
      <c r="B1094" s="4" t="s">
        <v>6049</v>
      </c>
      <c r="C1094" s="4" t="s">
        <v>6298</v>
      </c>
      <c r="D1094" s="3" t="str">
        <f t="shared" si="102"/>
        <v>PLA</v>
      </c>
      <c r="E1094" s="3" t="str">
        <f t="shared" si="103"/>
        <v>M</v>
      </c>
      <c r="F1094" s="3" t="str">
        <f t="shared" si="104"/>
        <v>05S</v>
      </c>
      <c r="G1094" s="3" t="str">
        <f t="shared" si="105"/>
        <v>T0</v>
      </c>
      <c r="H1094" s="3" t="str">
        <f t="shared" si="106"/>
        <v>000</v>
      </c>
      <c r="I1094" s="3" t="str">
        <f t="shared" si="107"/>
        <v>0</v>
      </c>
      <c r="L1094" s="3" t="s">
        <v>3309</v>
      </c>
      <c r="R1094" s="3" t="s">
        <v>6299</v>
      </c>
      <c r="S1094" s="15" t="s">
        <v>3247</v>
      </c>
    </row>
    <row r="1095" spans="1:19" ht="30" x14ac:dyDescent="0.25">
      <c r="A1095" s="4" t="s">
        <v>6300</v>
      </c>
      <c r="B1095" s="4" t="s">
        <v>6049</v>
      </c>
      <c r="C1095" s="4" t="s">
        <v>6301</v>
      </c>
      <c r="D1095" s="3" t="str">
        <f t="shared" si="102"/>
        <v>PLA</v>
      </c>
      <c r="E1095" s="3" t="str">
        <f t="shared" si="103"/>
        <v>S</v>
      </c>
      <c r="F1095" s="3" t="str">
        <f t="shared" si="104"/>
        <v>001</v>
      </c>
      <c r="G1095" s="3" t="str">
        <f t="shared" si="105"/>
        <v>ST</v>
      </c>
      <c r="H1095" s="3" t="str">
        <f t="shared" si="106"/>
        <v>000</v>
      </c>
      <c r="I1095" s="3" t="str">
        <f t="shared" si="107"/>
        <v>00</v>
      </c>
      <c r="L1095" s="3" t="s">
        <v>3309</v>
      </c>
      <c r="R1095" s="3" t="s">
        <v>6302</v>
      </c>
      <c r="S1095" s="15" t="s">
        <v>3247</v>
      </c>
    </row>
    <row r="1096" spans="1:19" ht="30" x14ac:dyDescent="0.25">
      <c r="A1096" s="4" t="s">
        <v>6303</v>
      </c>
      <c r="B1096" s="4" t="s">
        <v>6049</v>
      </c>
      <c r="C1096" s="4" t="s">
        <v>6304</v>
      </c>
      <c r="D1096" s="3" t="str">
        <f t="shared" si="102"/>
        <v>PLA</v>
      </c>
      <c r="E1096" s="3" t="str">
        <f t="shared" si="103"/>
        <v>S</v>
      </c>
      <c r="F1096" s="3" t="str">
        <f t="shared" si="104"/>
        <v>003</v>
      </c>
      <c r="G1096" s="3" t="str">
        <f t="shared" si="105"/>
        <v>WE</v>
      </c>
      <c r="H1096" s="3" t="str">
        <f t="shared" si="106"/>
        <v>000</v>
      </c>
      <c r="I1096" s="3" t="str">
        <f t="shared" si="107"/>
        <v>00</v>
      </c>
      <c r="L1096" s="3" t="s">
        <v>3309</v>
      </c>
      <c r="R1096" s="3" t="s">
        <v>6305</v>
      </c>
      <c r="S1096" s="15" t="s">
        <v>3247</v>
      </c>
    </row>
    <row r="1097" spans="1:19" ht="30" x14ac:dyDescent="0.25">
      <c r="A1097" s="4" t="s">
        <v>6306</v>
      </c>
      <c r="B1097" s="4" t="s">
        <v>6049</v>
      </c>
      <c r="C1097" s="4" t="s">
        <v>6307</v>
      </c>
      <c r="D1097" s="3" t="str">
        <f t="shared" si="102"/>
        <v>PLA</v>
      </c>
      <c r="E1097" s="3" t="str">
        <f t="shared" si="103"/>
        <v>C</v>
      </c>
      <c r="F1097" s="3" t="str">
        <f t="shared" si="104"/>
        <v>109</v>
      </c>
      <c r="G1097" s="3" t="str">
        <f t="shared" si="105"/>
        <v>WE</v>
      </c>
      <c r="H1097" s="3" t="str">
        <f t="shared" si="106"/>
        <v>000</v>
      </c>
      <c r="I1097" s="3" t="str">
        <f t="shared" si="107"/>
        <v>11</v>
      </c>
      <c r="L1097" s="3" t="s">
        <v>3309</v>
      </c>
      <c r="R1097" s="3" t="s">
        <v>6308</v>
      </c>
      <c r="S1097" s="15" t="s">
        <v>3247</v>
      </c>
    </row>
    <row r="1098" spans="1:19" ht="30" x14ac:dyDescent="0.25">
      <c r="A1098" s="4" t="s">
        <v>6309</v>
      </c>
      <c r="B1098" s="4" t="s">
        <v>6049</v>
      </c>
      <c r="C1098" s="4" t="s">
        <v>6310</v>
      </c>
      <c r="D1098" s="3" t="str">
        <f t="shared" si="102"/>
        <v>PLA</v>
      </c>
      <c r="E1098" s="3" t="str">
        <f t="shared" si="103"/>
        <v>C</v>
      </c>
      <c r="F1098" s="3" t="str">
        <f t="shared" si="104"/>
        <v>110</v>
      </c>
      <c r="G1098" s="3" t="str">
        <f t="shared" si="105"/>
        <v>WE</v>
      </c>
      <c r="H1098" s="3" t="str">
        <f t="shared" si="106"/>
        <v>000</v>
      </c>
      <c r="I1098" s="3" t="str">
        <f t="shared" si="107"/>
        <v>00</v>
      </c>
      <c r="L1098" s="3" t="s">
        <v>3309</v>
      </c>
      <c r="R1098" s="3" t="s">
        <v>6311</v>
      </c>
      <c r="S1098" s="15" t="s">
        <v>3247</v>
      </c>
    </row>
    <row r="1099" spans="1:19" ht="30" x14ac:dyDescent="0.25">
      <c r="A1099" s="4" t="s">
        <v>6312</v>
      </c>
      <c r="B1099" s="4" t="s">
        <v>6049</v>
      </c>
      <c r="C1099" s="4" t="s">
        <v>6313</v>
      </c>
      <c r="D1099" s="3" t="str">
        <f t="shared" si="102"/>
        <v>PLA</v>
      </c>
      <c r="E1099" s="3" t="str">
        <f t="shared" si="103"/>
        <v>W</v>
      </c>
      <c r="F1099" s="3" t="str">
        <f t="shared" si="104"/>
        <v>001</v>
      </c>
      <c r="G1099" s="3" t="str">
        <f t="shared" si="105"/>
        <v>KR</v>
      </c>
      <c r="H1099" s="3" t="str">
        <f t="shared" si="106"/>
        <v>000</v>
      </c>
      <c r="I1099" s="3" t="str">
        <f t="shared" si="107"/>
        <v>00</v>
      </c>
      <c r="L1099" s="3" t="s">
        <v>3309</v>
      </c>
      <c r="R1099" s="3" t="s">
        <v>6314</v>
      </c>
      <c r="S1099" s="15" t="s">
        <v>3247</v>
      </c>
    </row>
    <row r="1100" spans="1:19" ht="30" x14ac:dyDescent="0.25">
      <c r="A1100" s="4" t="s">
        <v>6315</v>
      </c>
      <c r="B1100" s="4" t="s">
        <v>6049</v>
      </c>
      <c r="C1100" s="4" t="s">
        <v>6316</v>
      </c>
      <c r="D1100" s="3" t="str">
        <f t="shared" si="102"/>
        <v>PLA</v>
      </c>
      <c r="E1100" s="3" t="str">
        <f t="shared" si="103"/>
        <v>T</v>
      </c>
      <c r="F1100" s="3" t="str">
        <f t="shared" si="104"/>
        <v>006</v>
      </c>
      <c r="G1100" s="3" t="str">
        <f t="shared" si="105"/>
        <v>CO</v>
      </c>
      <c r="H1100" s="3" t="str">
        <f t="shared" si="106"/>
        <v>000</v>
      </c>
      <c r="I1100" s="3" t="str">
        <f t="shared" si="107"/>
        <v>00</v>
      </c>
      <c r="L1100" s="3" t="s">
        <v>3309</v>
      </c>
      <c r="R1100" s="3" t="s">
        <v>6317</v>
      </c>
      <c r="S1100" s="15" t="s">
        <v>3247</v>
      </c>
    </row>
    <row r="1101" spans="1:19" ht="30" x14ac:dyDescent="0.25">
      <c r="A1101" s="4" t="s">
        <v>6318</v>
      </c>
      <c r="B1101" s="4" t="s">
        <v>6049</v>
      </c>
      <c r="C1101" s="4" t="s">
        <v>6319</v>
      </c>
      <c r="D1101" s="3" t="str">
        <f t="shared" si="102"/>
        <v>PLA</v>
      </c>
      <c r="E1101" s="3" t="str">
        <f t="shared" si="103"/>
        <v>C</v>
      </c>
      <c r="F1101" s="3" t="str">
        <f t="shared" si="104"/>
        <v>111</v>
      </c>
      <c r="G1101" s="3" t="str">
        <f t="shared" si="105"/>
        <v>AN</v>
      </c>
      <c r="H1101" s="3" t="str">
        <f t="shared" si="106"/>
        <v>000</v>
      </c>
      <c r="I1101" s="3" t="str">
        <f t="shared" si="107"/>
        <v>00</v>
      </c>
      <c r="L1101" s="3" t="s">
        <v>3309</v>
      </c>
      <c r="R1101" s="3" t="s">
        <v>6320</v>
      </c>
      <c r="S1101" s="15" t="s">
        <v>3247</v>
      </c>
    </row>
    <row r="1102" spans="1:19" ht="30" x14ac:dyDescent="0.25">
      <c r="A1102" s="4" t="s">
        <v>6321</v>
      </c>
      <c r="B1102" s="4" t="s">
        <v>6049</v>
      </c>
      <c r="C1102" s="4" t="s">
        <v>6322</v>
      </c>
      <c r="D1102" s="3" t="str">
        <f t="shared" si="102"/>
        <v>PLA</v>
      </c>
      <c r="E1102" s="3" t="str">
        <f t="shared" si="103"/>
        <v>P</v>
      </c>
      <c r="F1102" s="3" t="str">
        <f t="shared" si="104"/>
        <v>401</v>
      </c>
      <c r="G1102" s="3" t="str">
        <f t="shared" si="105"/>
        <v>CO</v>
      </c>
      <c r="H1102" s="3" t="str">
        <f t="shared" si="106"/>
        <v>000</v>
      </c>
      <c r="I1102" s="3" t="str">
        <f t="shared" si="107"/>
        <v>00</v>
      </c>
      <c r="L1102" s="3" t="s">
        <v>3309</v>
      </c>
      <c r="R1102" s="3" t="s">
        <v>6323</v>
      </c>
      <c r="S1102" s="15" t="s">
        <v>3247</v>
      </c>
    </row>
    <row r="1103" spans="1:19" ht="30" x14ac:dyDescent="0.25">
      <c r="A1103" s="4" t="s">
        <v>6324</v>
      </c>
      <c r="B1103" s="4" t="s">
        <v>6049</v>
      </c>
      <c r="C1103" s="4" t="s">
        <v>6325</v>
      </c>
      <c r="D1103" s="3" t="str">
        <f t="shared" si="102"/>
        <v>PLA</v>
      </c>
      <c r="E1103" s="3" t="str">
        <f t="shared" si="103"/>
        <v>M</v>
      </c>
      <c r="F1103" s="3" t="str">
        <f t="shared" si="104"/>
        <v>301</v>
      </c>
      <c r="G1103" s="3" t="str">
        <f t="shared" si="105"/>
        <v>WE</v>
      </c>
      <c r="H1103" s="3" t="str">
        <f t="shared" si="106"/>
        <v>000</v>
      </c>
      <c r="I1103" s="3" t="str">
        <f t="shared" si="107"/>
        <v>00</v>
      </c>
      <c r="L1103" s="3" t="s">
        <v>3309</v>
      </c>
      <c r="R1103" s="3" t="s">
        <v>6326</v>
      </c>
      <c r="S1103" s="15" t="s">
        <v>3247</v>
      </c>
    </row>
    <row r="1104" spans="1:19" ht="30" x14ac:dyDescent="0.25">
      <c r="A1104" s="4" t="s">
        <v>6327</v>
      </c>
      <c r="B1104" s="4" t="s">
        <v>6049</v>
      </c>
      <c r="C1104" s="4" t="s">
        <v>6328</v>
      </c>
      <c r="D1104" s="3" t="str">
        <f t="shared" si="102"/>
        <v>PLA</v>
      </c>
      <c r="E1104" s="3" t="str">
        <f t="shared" si="103"/>
        <v>J</v>
      </c>
      <c r="F1104" s="3" t="str">
        <f t="shared" si="104"/>
        <v>110</v>
      </c>
      <c r="G1104" s="3" t="str">
        <f t="shared" si="105"/>
        <v>AN</v>
      </c>
      <c r="H1104" s="3" t="str">
        <f t="shared" si="106"/>
        <v>000</v>
      </c>
      <c r="I1104" s="3" t="str">
        <f t="shared" si="107"/>
        <v>00</v>
      </c>
      <c r="L1104" s="3" t="s">
        <v>3309</v>
      </c>
      <c r="R1104" s="3" t="s">
        <v>6329</v>
      </c>
      <c r="S1104" s="15" t="s">
        <v>3247</v>
      </c>
    </row>
    <row r="1105" spans="1:19" ht="30" x14ac:dyDescent="0.25">
      <c r="A1105" s="4" t="s">
        <v>6330</v>
      </c>
      <c r="B1105" s="4" t="s">
        <v>6049</v>
      </c>
      <c r="C1105" s="4" t="s">
        <v>6331</v>
      </c>
      <c r="D1105" s="3" t="str">
        <f t="shared" si="102"/>
        <v>PLA</v>
      </c>
      <c r="E1105" s="3" t="str">
        <f t="shared" si="103"/>
        <v>X</v>
      </c>
      <c r="F1105" s="3" t="str">
        <f t="shared" si="104"/>
        <v>101</v>
      </c>
      <c r="G1105" s="3" t="str">
        <f t="shared" si="105"/>
        <v>FI</v>
      </c>
      <c r="H1105" s="3" t="str">
        <f t="shared" si="106"/>
        <v>006</v>
      </c>
      <c r="I1105" s="3" t="str">
        <f t="shared" si="107"/>
        <v>00</v>
      </c>
      <c r="L1105" s="3" t="s">
        <v>3309</v>
      </c>
      <c r="R1105" s="3" t="s">
        <v>6332</v>
      </c>
      <c r="S1105" s="15" t="s">
        <v>3247</v>
      </c>
    </row>
    <row r="1106" spans="1:19" ht="30" x14ac:dyDescent="0.25">
      <c r="A1106" s="4" t="s">
        <v>6333</v>
      </c>
      <c r="B1106" s="4" t="s">
        <v>6049</v>
      </c>
      <c r="C1106" s="4" t="s">
        <v>6334</v>
      </c>
      <c r="D1106" s="3" t="str">
        <f t="shared" si="102"/>
        <v>PLA</v>
      </c>
      <c r="E1106" s="3" t="str">
        <f t="shared" si="103"/>
        <v>M</v>
      </c>
      <c r="F1106" s="3" t="str">
        <f t="shared" si="104"/>
        <v>009</v>
      </c>
      <c r="G1106" s="3" t="str">
        <f t="shared" si="105"/>
        <v>CB</v>
      </c>
      <c r="H1106" s="3" t="str">
        <f t="shared" si="106"/>
        <v>000</v>
      </c>
      <c r="I1106" s="3" t="str">
        <f t="shared" si="107"/>
        <v>00</v>
      </c>
      <c r="L1106" s="3" t="s">
        <v>3309</v>
      </c>
      <c r="R1106" s="3" t="s">
        <v>6335</v>
      </c>
      <c r="S1106" s="15" t="s">
        <v>3247</v>
      </c>
    </row>
    <row r="1107" spans="1:19" ht="30" x14ac:dyDescent="0.25">
      <c r="A1107" s="4" t="s">
        <v>6336</v>
      </c>
      <c r="B1107" s="4" t="s">
        <v>6049</v>
      </c>
      <c r="C1107" s="4" t="s">
        <v>6337</v>
      </c>
      <c r="D1107" s="3" t="str">
        <f t="shared" si="102"/>
        <v>PLA</v>
      </c>
      <c r="E1107" s="3" t="str">
        <f t="shared" si="103"/>
        <v>G</v>
      </c>
      <c r="F1107" s="3" t="str">
        <f t="shared" si="104"/>
        <v>006</v>
      </c>
      <c r="G1107" s="3" t="str">
        <f t="shared" si="105"/>
        <v>ST</v>
      </c>
      <c r="H1107" s="3" t="str">
        <f t="shared" si="106"/>
        <v>000</v>
      </c>
      <c r="I1107" s="3" t="str">
        <f t="shared" si="107"/>
        <v>00</v>
      </c>
      <c r="L1107" s="3" t="s">
        <v>3309</v>
      </c>
      <c r="R1107" s="3" t="s">
        <v>6338</v>
      </c>
      <c r="S1107" s="15" t="s">
        <v>3247</v>
      </c>
    </row>
    <row r="1108" spans="1:19" ht="30" x14ac:dyDescent="0.25">
      <c r="A1108" s="4" t="s">
        <v>6339</v>
      </c>
      <c r="B1108" s="4" t="s">
        <v>6049</v>
      </c>
      <c r="C1108" s="4" t="s">
        <v>6340</v>
      </c>
      <c r="D1108" s="3" t="str">
        <f t="shared" si="102"/>
        <v>PLA</v>
      </c>
      <c r="E1108" s="3" t="str">
        <f t="shared" si="103"/>
        <v>G</v>
      </c>
      <c r="F1108" s="3" t="str">
        <f t="shared" si="104"/>
        <v>008</v>
      </c>
      <c r="G1108" s="3" t="str">
        <f t="shared" si="105"/>
        <v>ST</v>
      </c>
      <c r="H1108" s="3" t="str">
        <f t="shared" si="106"/>
        <v>000</v>
      </c>
      <c r="I1108" s="3" t="str">
        <f t="shared" si="107"/>
        <v>00</v>
      </c>
      <c r="L1108" s="3" t="s">
        <v>3309</v>
      </c>
      <c r="R1108" s="3" t="s">
        <v>6341</v>
      </c>
      <c r="S1108" s="15" t="s">
        <v>3247</v>
      </c>
    </row>
    <row r="1109" spans="1:19" ht="30" x14ac:dyDescent="0.25">
      <c r="A1109" s="4" t="s">
        <v>6342</v>
      </c>
      <c r="B1109" s="4" t="s">
        <v>6049</v>
      </c>
      <c r="C1109" s="4" t="s">
        <v>6343</v>
      </c>
      <c r="D1109" s="3" t="str">
        <f t="shared" si="102"/>
        <v>PLA</v>
      </c>
      <c r="E1109" s="3" t="str">
        <f t="shared" si="103"/>
        <v>G</v>
      </c>
      <c r="F1109" s="3" t="str">
        <f t="shared" si="104"/>
        <v>010</v>
      </c>
      <c r="G1109" s="3" t="str">
        <f t="shared" si="105"/>
        <v>ST</v>
      </c>
      <c r="H1109" s="3" t="str">
        <f t="shared" si="106"/>
        <v>000</v>
      </c>
      <c r="I1109" s="3" t="str">
        <f t="shared" si="107"/>
        <v>00</v>
      </c>
      <c r="L1109" s="3" t="s">
        <v>3309</v>
      </c>
      <c r="R1109" s="3" t="s">
        <v>6344</v>
      </c>
      <c r="S1109" s="15" t="s">
        <v>3247</v>
      </c>
    </row>
    <row r="1110" spans="1:19" ht="30" x14ac:dyDescent="0.25">
      <c r="A1110" s="4" t="s">
        <v>6345</v>
      </c>
      <c r="B1110" s="4" t="s">
        <v>6049</v>
      </c>
      <c r="C1110" s="4" t="s">
        <v>6346</v>
      </c>
      <c r="D1110" s="3" t="str">
        <f t="shared" si="102"/>
        <v>PLA</v>
      </c>
      <c r="E1110" s="3" t="str">
        <f t="shared" si="103"/>
        <v>H</v>
      </c>
      <c r="F1110" s="3" t="str">
        <f t="shared" si="104"/>
        <v>006</v>
      </c>
      <c r="G1110" s="3" t="str">
        <f t="shared" si="105"/>
        <v>LB</v>
      </c>
      <c r="H1110" s="3" t="str">
        <f t="shared" si="106"/>
        <v>000</v>
      </c>
      <c r="I1110" s="3" t="str">
        <f t="shared" si="107"/>
        <v>00</v>
      </c>
      <c r="L1110" s="3" t="s">
        <v>3309</v>
      </c>
      <c r="R1110" s="3" t="s">
        <v>6347</v>
      </c>
      <c r="S1110" s="15" t="s">
        <v>3247</v>
      </c>
    </row>
    <row r="1111" spans="1:19" ht="30" x14ac:dyDescent="0.25">
      <c r="A1111" s="4" t="s">
        <v>6348</v>
      </c>
      <c r="B1111" s="4" t="s">
        <v>6049</v>
      </c>
      <c r="C1111" s="4" t="s">
        <v>1248</v>
      </c>
      <c r="D1111" s="3" t="str">
        <f t="shared" si="102"/>
        <v>PLA</v>
      </c>
      <c r="E1111" s="3" t="str">
        <f t="shared" si="103"/>
        <v>C</v>
      </c>
      <c r="F1111" s="3" t="str">
        <f t="shared" si="104"/>
        <v>012</v>
      </c>
      <c r="G1111" s="3" t="str">
        <f t="shared" si="105"/>
        <v>ST</v>
      </c>
      <c r="H1111" s="3" t="str">
        <f t="shared" si="106"/>
        <v>000</v>
      </c>
      <c r="I1111" s="3" t="str">
        <f t="shared" si="107"/>
        <v>00</v>
      </c>
      <c r="L1111" s="3" t="s">
        <v>3309</v>
      </c>
      <c r="R1111" s="3" t="s">
        <v>6349</v>
      </c>
      <c r="S1111" s="15" t="s">
        <v>3247</v>
      </c>
    </row>
    <row r="1112" spans="1:19" ht="30" x14ac:dyDescent="0.25">
      <c r="A1112" s="4" t="s">
        <v>6350</v>
      </c>
      <c r="B1112" s="4" t="s">
        <v>6049</v>
      </c>
      <c r="C1112" s="4" t="s">
        <v>6351</v>
      </c>
      <c r="D1112" s="3" t="str">
        <f t="shared" si="102"/>
        <v>PLA</v>
      </c>
      <c r="E1112" s="3" t="str">
        <f t="shared" si="103"/>
        <v>Q</v>
      </c>
      <c r="F1112" s="3" t="str">
        <f t="shared" si="104"/>
        <v>001</v>
      </c>
      <c r="G1112" s="3" t="str">
        <f t="shared" si="105"/>
        <v>AS</v>
      </c>
      <c r="H1112" s="3" t="str">
        <f t="shared" si="106"/>
        <v>000</v>
      </c>
      <c r="I1112" s="3" t="str">
        <f t="shared" si="107"/>
        <v>00</v>
      </c>
      <c r="L1112" s="3" t="s">
        <v>3309</v>
      </c>
      <c r="R1112" s="3" t="s">
        <v>6352</v>
      </c>
      <c r="S1112" s="15" t="s">
        <v>3247</v>
      </c>
    </row>
    <row r="1113" spans="1:19" ht="30" x14ac:dyDescent="0.25">
      <c r="A1113" s="4" t="s">
        <v>6353</v>
      </c>
      <c r="B1113" s="4" t="s">
        <v>6049</v>
      </c>
      <c r="C1113" s="4" t="s">
        <v>6354</v>
      </c>
      <c r="D1113" s="3" t="str">
        <f t="shared" si="102"/>
        <v>PLA</v>
      </c>
      <c r="E1113" s="3" t="str">
        <f t="shared" si="103"/>
        <v>R</v>
      </c>
      <c r="F1113" s="3" t="str">
        <f t="shared" si="104"/>
        <v>601</v>
      </c>
      <c r="G1113" s="3" t="str">
        <f t="shared" si="105"/>
        <v>AS</v>
      </c>
      <c r="H1113" s="3" t="str">
        <f t="shared" si="106"/>
        <v>000</v>
      </c>
      <c r="I1113" s="3" t="str">
        <f t="shared" si="107"/>
        <v>00</v>
      </c>
      <c r="L1113" s="3" t="s">
        <v>3309</v>
      </c>
      <c r="R1113" s="3" t="s">
        <v>6355</v>
      </c>
      <c r="S1113" s="15" t="s">
        <v>3247</v>
      </c>
    </row>
    <row r="1114" spans="1:19" ht="30" x14ac:dyDescent="0.25">
      <c r="A1114" s="4" t="s">
        <v>6356</v>
      </c>
      <c r="B1114" s="4" t="s">
        <v>6049</v>
      </c>
      <c r="C1114" s="4" t="s">
        <v>1384</v>
      </c>
      <c r="D1114" s="3" t="str">
        <f t="shared" si="102"/>
        <v>PLA</v>
      </c>
      <c r="E1114" s="3" t="str">
        <f t="shared" si="103"/>
        <v>R</v>
      </c>
      <c r="F1114" s="3" t="str">
        <f t="shared" si="104"/>
        <v>701</v>
      </c>
      <c r="G1114" s="3" t="str">
        <f t="shared" si="105"/>
        <v>AS</v>
      </c>
      <c r="H1114" s="3" t="str">
        <f t="shared" si="106"/>
        <v>000</v>
      </c>
      <c r="I1114" s="3" t="str">
        <f t="shared" si="107"/>
        <v>00</v>
      </c>
      <c r="L1114" s="3" t="s">
        <v>3309</v>
      </c>
      <c r="R1114" s="3" t="s">
        <v>6357</v>
      </c>
      <c r="S1114" s="15" t="s">
        <v>3247</v>
      </c>
    </row>
    <row r="1115" spans="1:19" ht="30" x14ac:dyDescent="0.25">
      <c r="A1115" s="4" t="s">
        <v>6358</v>
      </c>
      <c r="B1115" s="4" t="s">
        <v>6049</v>
      </c>
      <c r="C1115" s="4" t="s">
        <v>1385</v>
      </c>
      <c r="D1115" s="3" t="str">
        <f t="shared" si="102"/>
        <v>PLA</v>
      </c>
      <c r="E1115" s="3" t="str">
        <f t="shared" si="103"/>
        <v>R</v>
      </c>
      <c r="F1115" s="3" t="str">
        <f t="shared" si="104"/>
        <v>801</v>
      </c>
      <c r="G1115" s="3" t="str">
        <f t="shared" si="105"/>
        <v>AS</v>
      </c>
      <c r="H1115" s="3" t="str">
        <f t="shared" si="106"/>
        <v>000</v>
      </c>
      <c r="I1115" s="3" t="str">
        <f t="shared" si="107"/>
        <v>00</v>
      </c>
      <c r="L1115" s="3" t="s">
        <v>3309</v>
      </c>
      <c r="R1115" s="3" t="s">
        <v>6359</v>
      </c>
      <c r="S1115" s="15" t="s">
        <v>3247</v>
      </c>
    </row>
    <row r="1116" spans="1:19" ht="30" x14ac:dyDescent="0.25">
      <c r="A1116" s="4" t="s">
        <v>6360</v>
      </c>
      <c r="B1116" s="4" t="s">
        <v>6049</v>
      </c>
      <c r="C1116" s="4" t="s">
        <v>6361</v>
      </c>
      <c r="D1116" s="3" t="str">
        <f t="shared" si="102"/>
        <v>PLA</v>
      </c>
      <c r="E1116" s="3" t="str">
        <f t="shared" si="103"/>
        <v>R</v>
      </c>
      <c r="F1116" s="3" t="str">
        <f t="shared" si="104"/>
        <v>208</v>
      </c>
      <c r="G1116" s="3" t="str">
        <f t="shared" si="105"/>
        <v>AS</v>
      </c>
      <c r="H1116" s="3" t="str">
        <f t="shared" si="106"/>
        <v>000</v>
      </c>
      <c r="I1116" s="3" t="str">
        <f t="shared" si="107"/>
        <v>00</v>
      </c>
      <c r="L1116" s="3" t="s">
        <v>3309</v>
      </c>
      <c r="R1116" s="3" t="s">
        <v>6362</v>
      </c>
      <c r="S1116" s="15" t="s">
        <v>3247</v>
      </c>
    </row>
    <row r="1117" spans="1:19" ht="30" x14ac:dyDescent="0.25">
      <c r="A1117" s="4" t="s">
        <v>6363</v>
      </c>
      <c r="B1117" s="4" t="s">
        <v>6049</v>
      </c>
      <c r="C1117" s="4" t="s">
        <v>6364</v>
      </c>
      <c r="D1117" s="3" t="str">
        <f t="shared" si="102"/>
        <v>PLA</v>
      </c>
      <c r="E1117" s="3" t="str">
        <f t="shared" si="103"/>
        <v>X</v>
      </c>
      <c r="F1117" s="3" t="str">
        <f t="shared" si="104"/>
        <v>102</v>
      </c>
      <c r="G1117" s="3" t="str">
        <f t="shared" si="105"/>
        <v>SP</v>
      </c>
      <c r="H1117" s="3" t="str">
        <f t="shared" si="106"/>
        <v>000</v>
      </c>
      <c r="I1117" s="3" t="str">
        <f t="shared" si="107"/>
        <v>00</v>
      </c>
      <c r="L1117" s="3" t="s">
        <v>3309</v>
      </c>
      <c r="R1117" s="3" t="s">
        <v>6365</v>
      </c>
      <c r="S1117" s="15">
        <v>1</v>
      </c>
    </row>
    <row r="1118" spans="1:19" ht="30" x14ac:dyDescent="0.25">
      <c r="A1118" s="4" t="s">
        <v>6366</v>
      </c>
      <c r="B1118" s="4" t="s">
        <v>6049</v>
      </c>
      <c r="C1118" s="4" t="s">
        <v>6367</v>
      </c>
      <c r="D1118" s="3" t="str">
        <f t="shared" si="102"/>
        <v>PLA</v>
      </c>
      <c r="E1118" s="3" t="str">
        <f t="shared" si="103"/>
        <v>Y</v>
      </c>
      <c r="F1118" s="3" t="str">
        <f t="shared" si="104"/>
        <v>001</v>
      </c>
      <c r="G1118" s="3" t="str">
        <f t="shared" si="105"/>
        <v>ST</v>
      </c>
      <c r="H1118" s="3" t="str">
        <f t="shared" si="106"/>
        <v>000</v>
      </c>
      <c r="I1118" s="3" t="str">
        <f t="shared" si="107"/>
        <v>00</v>
      </c>
      <c r="L1118" s="3" t="s">
        <v>3245</v>
      </c>
      <c r="R1118" s="3" t="s">
        <v>6368</v>
      </c>
      <c r="S1118" s="15" t="s">
        <v>3247</v>
      </c>
    </row>
    <row r="1119" spans="1:19" ht="30" x14ac:dyDescent="0.25">
      <c r="A1119" s="4" t="s">
        <v>6369</v>
      </c>
      <c r="B1119" s="4" t="s">
        <v>6049</v>
      </c>
      <c r="C1119" s="4" t="s">
        <v>6370</v>
      </c>
      <c r="D1119" s="3" t="str">
        <f t="shared" si="102"/>
        <v>PLA</v>
      </c>
      <c r="E1119" s="3" t="str">
        <f t="shared" si="103"/>
        <v>B</v>
      </c>
      <c r="F1119" s="3" t="str">
        <f t="shared" si="104"/>
        <v>006</v>
      </c>
      <c r="G1119" s="3" t="str">
        <f t="shared" si="105"/>
        <v>NA</v>
      </c>
      <c r="H1119" s="3" t="str">
        <f t="shared" si="106"/>
        <v>000</v>
      </c>
      <c r="I1119" s="3" t="str">
        <f t="shared" si="107"/>
        <v>00</v>
      </c>
      <c r="L1119" s="3" t="s">
        <v>3309</v>
      </c>
      <c r="R1119" s="3" t="s">
        <v>6371</v>
      </c>
      <c r="S1119" s="15" t="s">
        <v>3247</v>
      </c>
    </row>
    <row r="1120" spans="1:19" ht="30" x14ac:dyDescent="0.25">
      <c r="A1120" s="4" t="s">
        <v>6372</v>
      </c>
      <c r="B1120" s="4" t="s">
        <v>6049</v>
      </c>
      <c r="C1120" s="4" t="s">
        <v>6373</v>
      </c>
      <c r="D1120" s="3" t="str">
        <f t="shared" si="102"/>
        <v>PLA</v>
      </c>
      <c r="E1120" s="3" t="str">
        <f t="shared" si="103"/>
        <v>O</v>
      </c>
      <c r="F1120" s="3" t="str">
        <f t="shared" si="104"/>
        <v>207</v>
      </c>
      <c r="G1120" s="3" t="str">
        <f t="shared" si="105"/>
        <v>NA</v>
      </c>
      <c r="H1120" s="3" t="str">
        <f t="shared" si="106"/>
        <v>000</v>
      </c>
      <c r="I1120" s="3" t="str">
        <f t="shared" si="107"/>
        <v>00</v>
      </c>
      <c r="L1120" s="3" t="s">
        <v>3309</v>
      </c>
      <c r="R1120" s="3" t="s">
        <v>6374</v>
      </c>
      <c r="S1120" s="15" t="s">
        <v>3247</v>
      </c>
    </row>
    <row r="1121" spans="1:19" ht="30" x14ac:dyDescent="0.25">
      <c r="A1121" s="4" t="s">
        <v>6375</v>
      </c>
      <c r="B1121" s="4" t="s">
        <v>6049</v>
      </c>
      <c r="C1121" s="4" t="s">
        <v>6376</v>
      </c>
      <c r="D1121" s="3" t="str">
        <f t="shared" si="102"/>
        <v>PLA</v>
      </c>
      <c r="E1121" s="3" t="str">
        <f t="shared" si="103"/>
        <v>O</v>
      </c>
      <c r="F1121" s="3" t="str">
        <f t="shared" si="104"/>
        <v>506</v>
      </c>
      <c r="G1121" s="3" t="str">
        <f t="shared" si="105"/>
        <v>NA</v>
      </c>
      <c r="H1121" s="3" t="str">
        <f t="shared" si="106"/>
        <v>000</v>
      </c>
      <c r="I1121" s="3" t="str">
        <f t="shared" si="107"/>
        <v>00</v>
      </c>
      <c r="L1121" s="3" t="s">
        <v>3309</v>
      </c>
      <c r="R1121" s="3" t="s">
        <v>6377</v>
      </c>
      <c r="S1121" s="15" t="s">
        <v>3247</v>
      </c>
    </row>
    <row r="1122" spans="1:19" ht="30" x14ac:dyDescent="0.25">
      <c r="A1122" s="4" t="s">
        <v>6378</v>
      </c>
      <c r="B1122" s="4" t="s">
        <v>6049</v>
      </c>
      <c r="C1122" s="4" t="s">
        <v>6379</v>
      </c>
      <c r="D1122" s="3" t="str">
        <f t="shared" si="102"/>
        <v>PLA</v>
      </c>
      <c r="E1122" s="3" t="str">
        <f t="shared" si="103"/>
        <v>N</v>
      </c>
      <c r="F1122" s="3" t="str">
        <f t="shared" si="104"/>
        <v>601</v>
      </c>
      <c r="G1122" s="3" t="str">
        <f t="shared" si="105"/>
        <v>NA</v>
      </c>
      <c r="H1122" s="3" t="str">
        <f t="shared" si="106"/>
        <v>000</v>
      </c>
      <c r="I1122" s="3" t="str">
        <f t="shared" si="107"/>
        <v>00</v>
      </c>
      <c r="L1122" s="3" t="s">
        <v>3309</v>
      </c>
      <c r="R1122" s="3" t="s">
        <v>6380</v>
      </c>
      <c r="S1122" s="15" t="s">
        <v>3247</v>
      </c>
    </row>
    <row r="1123" spans="1:19" ht="30" x14ac:dyDescent="0.25">
      <c r="A1123" s="4" t="s">
        <v>6381</v>
      </c>
      <c r="B1123" s="4" t="s">
        <v>6049</v>
      </c>
      <c r="C1123" s="4" t="s">
        <v>6382</v>
      </c>
      <c r="D1123" s="3" t="str">
        <f t="shared" si="102"/>
        <v>PLA</v>
      </c>
      <c r="E1123" s="3" t="str">
        <f t="shared" si="103"/>
        <v>A</v>
      </c>
      <c r="F1123" s="3" t="str">
        <f t="shared" si="104"/>
        <v>001</v>
      </c>
      <c r="G1123" s="3" t="str">
        <f t="shared" si="105"/>
        <v>NA</v>
      </c>
      <c r="H1123" s="3" t="str">
        <f t="shared" si="106"/>
        <v>000</v>
      </c>
      <c r="I1123" s="3" t="str">
        <f t="shared" si="107"/>
        <v>00</v>
      </c>
      <c r="L1123" s="3" t="s">
        <v>3309</v>
      </c>
      <c r="R1123" s="3" t="s">
        <v>6383</v>
      </c>
      <c r="S1123" s="15" t="s">
        <v>3247</v>
      </c>
    </row>
    <row r="1124" spans="1:19" ht="30" x14ac:dyDescent="0.25">
      <c r="A1124" s="4" t="s">
        <v>6384</v>
      </c>
      <c r="B1124" s="4" t="s">
        <v>6049</v>
      </c>
      <c r="C1124" s="4" t="s">
        <v>6385</v>
      </c>
      <c r="D1124" s="3" t="str">
        <f t="shared" si="102"/>
        <v>PLA</v>
      </c>
      <c r="E1124" s="3" t="str">
        <f t="shared" si="103"/>
        <v>A</v>
      </c>
      <c r="F1124" s="3" t="str">
        <f t="shared" si="104"/>
        <v>003</v>
      </c>
      <c r="G1124" s="3" t="str">
        <f t="shared" si="105"/>
        <v>NA</v>
      </c>
      <c r="H1124" s="3" t="str">
        <f t="shared" si="106"/>
        <v>000</v>
      </c>
      <c r="I1124" s="3" t="str">
        <f t="shared" si="107"/>
        <v>00</v>
      </c>
      <c r="L1124" s="3" t="s">
        <v>3309</v>
      </c>
      <c r="R1124" s="3" t="s">
        <v>6386</v>
      </c>
      <c r="S1124" s="15" t="s">
        <v>3247</v>
      </c>
    </row>
    <row r="1125" spans="1:19" ht="30" x14ac:dyDescent="0.25">
      <c r="A1125" s="4" t="s">
        <v>6387</v>
      </c>
      <c r="B1125" s="4" t="s">
        <v>6049</v>
      </c>
      <c r="C1125" s="4" t="s">
        <v>6388</v>
      </c>
      <c r="D1125" s="3" t="str">
        <f t="shared" si="102"/>
        <v>PLA</v>
      </c>
      <c r="E1125" s="3" t="str">
        <f t="shared" si="103"/>
        <v>A</v>
      </c>
      <c r="F1125" s="3" t="str">
        <f t="shared" si="104"/>
        <v>004</v>
      </c>
      <c r="G1125" s="3" t="str">
        <f t="shared" si="105"/>
        <v>NA</v>
      </c>
      <c r="H1125" s="3" t="str">
        <f t="shared" si="106"/>
        <v>000</v>
      </c>
      <c r="I1125" s="3" t="str">
        <f t="shared" si="107"/>
        <v>00</v>
      </c>
      <c r="L1125" s="3" t="s">
        <v>3309</v>
      </c>
      <c r="R1125" s="3" t="s">
        <v>6389</v>
      </c>
      <c r="S1125" s="15" t="s">
        <v>3247</v>
      </c>
    </row>
    <row r="1126" spans="1:19" ht="30" x14ac:dyDescent="0.25">
      <c r="A1126" s="4" t="s">
        <v>6390</v>
      </c>
      <c r="B1126" s="4" t="s">
        <v>6049</v>
      </c>
      <c r="C1126" s="4" t="s">
        <v>6391</v>
      </c>
      <c r="D1126" s="3" t="str">
        <f t="shared" si="102"/>
        <v>PLA</v>
      </c>
      <c r="E1126" s="3" t="str">
        <f t="shared" si="103"/>
        <v>N</v>
      </c>
      <c r="F1126" s="3" t="str">
        <f t="shared" si="104"/>
        <v>101</v>
      </c>
      <c r="G1126" s="3" t="str">
        <f t="shared" si="105"/>
        <v>ST</v>
      </c>
      <c r="H1126" s="3" t="str">
        <f t="shared" si="106"/>
        <v>000</v>
      </c>
      <c r="I1126" s="3" t="str">
        <f t="shared" si="107"/>
        <v>04</v>
      </c>
      <c r="L1126" s="3" t="s">
        <v>3309</v>
      </c>
      <c r="R1126" s="3" t="s">
        <v>6392</v>
      </c>
      <c r="S1126" s="15" t="s">
        <v>3247</v>
      </c>
    </row>
    <row r="1127" spans="1:19" ht="30" x14ac:dyDescent="0.25">
      <c r="A1127" s="4" t="s">
        <v>6393</v>
      </c>
      <c r="B1127" s="4" t="s">
        <v>6049</v>
      </c>
      <c r="C1127" s="4" t="s">
        <v>6394</v>
      </c>
      <c r="D1127" s="3" t="str">
        <f t="shared" si="102"/>
        <v>PLA</v>
      </c>
      <c r="E1127" s="3" t="str">
        <f t="shared" si="103"/>
        <v>N</v>
      </c>
      <c r="F1127" s="3" t="str">
        <f t="shared" si="104"/>
        <v>108</v>
      </c>
      <c r="G1127" s="3" t="str">
        <f t="shared" si="105"/>
        <v>ST</v>
      </c>
      <c r="H1127" s="3" t="str">
        <f t="shared" si="106"/>
        <v>000</v>
      </c>
      <c r="I1127" s="3" t="str">
        <f t="shared" si="107"/>
        <v>03</v>
      </c>
      <c r="L1127" s="3" t="s">
        <v>3309</v>
      </c>
      <c r="R1127" s="3" t="s">
        <v>6395</v>
      </c>
      <c r="S1127" s="15" t="s">
        <v>3247</v>
      </c>
    </row>
    <row r="1128" spans="1:19" ht="30" x14ac:dyDescent="0.25">
      <c r="A1128" s="4" t="s">
        <v>6396</v>
      </c>
      <c r="B1128" s="4" t="s">
        <v>6049</v>
      </c>
      <c r="C1128" s="4" t="s">
        <v>6397</v>
      </c>
      <c r="D1128" s="3" t="str">
        <f t="shared" si="102"/>
        <v>PLA</v>
      </c>
      <c r="E1128" s="3" t="str">
        <f t="shared" si="103"/>
        <v>N</v>
      </c>
      <c r="F1128" s="3" t="str">
        <f t="shared" si="104"/>
        <v>110</v>
      </c>
      <c r="G1128" s="3" t="str">
        <f t="shared" si="105"/>
        <v>ST</v>
      </c>
      <c r="H1128" s="3" t="str">
        <f t="shared" si="106"/>
        <v>000</v>
      </c>
      <c r="I1128" s="3" t="str">
        <f t="shared" si="107"/>
        <v>06</v>
      </c>
      <c r="L1128" s="3" t="s">
        <v>3309</v>
      </c>
      <c r="R1128" s="3" t="s">
        <v>6398</v>
      </c>
      <c r="S1128" s="15" t="s">
        <v>3247</v>
      </c>
    </row>
    <row r="1129" spans="1:19" ht="30" x14ac:dyDescent="0.25">
      <c r="A1129" s="4" t="s">
        <v>6399</v>
      </c>
      <c r="B1129" s="4" t="s">
        <v>6049</v>
      </c>
      <c r="C1129" s="4" t="s">
        <v>6400</v>
      </c>
      <c r="D1129" s="3" t="str">
        <f t="shared" si="102"/>
        <v>PLA</v>
      </c>
      <c r="E1129" s="3" t="str">
        <f t="shared" si="103"/>
        <v>G</v>
      </c>
      <c r="F1129" s="3" t="str">
        <f t="shared" si="104"/>
        <v>011</v>
      </c>
      <c r="G1129" s="3" t="str">
        <f t="shared" si="105"/>
        <v>ST</v>
      </c>
      <c r="H1129" s="3" t="str">
        <f t="shared" si="106"/>
        <v>000</v>
      </c>
      <c r="I1129" s="3" t="str">
        <f t="shared" si="107"/>
        <v>00</v>
      </c>
      <c r="L1129" s="3" t="s">
        <v>3309</v>
      </c>
      <c r="R1129" s="3" t="s">
        <v>6401</v>
      </c>
      <c r="S1129" s="15" t="s">
        <v>3247</v>
      </c>
    </row>
    <row r="1130" spans="1:19" ht="30" x14ac:dyDescent="0.25">
      <c r="A1130" s="4" t="s">
        <v>6402</v>
      </c>
      <c r="B1130" s="4" t="s">
        <v>6049</v>
      </c>
      <c r="C1130" s="4" t="s">
        <v>6403</v>
      </c>
      <c r="D1130" s="3" t="str">
        <f t="shared" si="102"/>
        <v>PLA</v>
      </c>
      <c r="E1130" s="3" t="str">
        <f t="shared" si="103"/>
        <v>G</v>
      </c>
      <c r="F1130" s="3" t="str">
        <f t="shared" si="104"/>
        <v>007</v>
      </c>
      <c r="G1130" s="3" t="str">
        <f t="shared" si="105"/>
        <v>ST</v>
      </c>
      <c r="H1130" s="3" t="str">
        <f t="shared" si="106"/>
        <v>000</v>
      </c>
      <c r="I1130" s="3" t="str">
        <f t="shared" si="107"/>
        <v>00</v>
      </c>
      <c r="L1130" s="3" t="s">
        <v>3309</v>
      </c>
      <c r="R1130" s="3" t="s">
        <v>6404</v>
      </c>
      <c r="S1130" s="15" t="s">
        <v>3247</v>
      </c>
    </row>
    <row r="1131" spans="1:19" ht="30" x14ac:dyDescent="0.25">
      <c r="A1131" s="4" t="s">
        <v>6405</v>
      </c>
      <c r="B1131" s="4" t="s">
        <v>6049</v>
      </c>
      <c r="C1131" s="4" t="s">
        <v>6406</v>
      </c>
      <c r="D1131" s="3" t="str">
        <f t="shared" si="102"/>
        <v>PLA</v>
      </c>
      <c r="E1131" s="3" t="str">
        <f t="shared" si="103"/>
        <v>G</v>
      </c>
      <c r="F1131" s="3" t="str">
        <f t="shared" si="104"/>
        <v>009</v>
      </c>
      <c r="G1131" s="3" t="str">
        <f t="shared" si="105"/>
        <v>ST</v>
      </c>
      <c r="H1131" s="3" t="str">
        <f t="shared" si="106"/>
        <v>000</v>
      </c>
      <c r="I1131" s="3" t="str">
        <f t="shared" si="107"/>
        <v>00</v>
      </c>
      <c r="L1131" s="3" t="s">
        <v>3309</v>
      </c>
      <c r="R1131" s="3" t="s">
        <v>6407</v>
      </c>
      <c r="S1131" s="15" t="s">
        <v>3247</v>
      </c>
    </row>
    <row r="1132" spans="1:19" ht="30" x14ac:dyDescent="0.25">
      <c r="A1132" s="4" t="s">
        <v>6408</v>
      </c>
      <c r="B1132" s="4" t="s">
        <v>6049</v>
      </c>
      <c r="C1132" s="4" t="s">
        <v>6409</v>
      </c>
      <c r="D1132" s="3" t="str">
        <f t="shared" si="102"/>
        <v>PLA</v>
      </c>
      <c r="E1132" s="3" t="str">
        <f t="shared" si="103"/>
        <v>Z</v>
      </c>
      <c r="F1132" s="3" t="str">
        <f t="shared" si="104"/>
        <v>000</v>
      </c>
      <c r="G1132" s="3" t="str">
        <f t="shared" si="105"/>
        <v>ST</v>
      </c>
      <c r="H1132" s="3" t="str">
        <f t="shared" si="106"/>
        <v>000</v>
      </c>
      <c r="I1132" s="3" t="str">
        <f t="shared" si="107"/>
        <v>00</v>
      </c>
      <c r="L1132" s="3" t="s">
        <v>3309</v>
      </c>
      <c r="R1132" s="3" t="s">
        <v>6410</v>
      </c>
      <c r="S1132" s="15" t="s">
        <v>3247</v>
      </c>
    </row>
    <row r="1133" spans="1:19" ht="30" x14ac:dyDescent="0.25">
      <c r="A1133" s="4" t="s">
        <v>6411</v>
      </c>
      <c r="B1133" s="4" t="s">
        <v>6049</v>
      </c>
      <c r="C1133" s="4" t="s">
        <v>6412</v>
      </c>
      <c r="D1133" s="3" t="str">
        <f t="shared" si="102"/>
        <v>PLA</v>
      </c>
      <c r="E1133" s="3" t="str">
        <f t="shared" si="103"/>
        <v>K</v>
      </c>
      <c r="F1133" s="3" t="str">
        <f t="shared" si="104"/>
        <v>001</v>
      </c>
      <c r="G1133" s="3" t="str">
        <f t="shared" si="105"/>
        <v>ST</v>
      </c>
      <c r="H1133" s="3" t="str">
        <f t="shared" si="106"/>
        <v>000</v>
      </c>
      <c r="I1133" s="3" t="str">
        <f t="shared" si="107"/>
        <v>00</v>
      </c>
      <c r="L1133" s="3" t="s">
        <v>3309</v>
      </c>
      <c r="R1133" s="3" t="s">
        <v>6413</v>
      </c>
      <c r="S1133" s="15" t="s">
        <v>3247</v>
      </c>
    </row>
    <row r="1134" spans="1:19" ht="30" x14ac:dyDescent="0.25">
      <c r="A1134" s="4" t="s">
        <v>6414</v>
      </c>
      <c r="B1134" s="4" t="s">
        <v>6049</v>
      </c>
      <c r="C1134" s="4" t="s">
        <v>1347</v>
      </c>
      <c r="D1134" s="3" t="str">
        <f t="shared" si="102"/>
        <v>PLA</v>
      </c>
      <c r="E1134" s="3" t="str">
        <f t="shared" si="103"/>
        <v>N</v>
      </c>
      <c r="F1134" s="3" t="str">
        <f t="shared" si="104"/>
        <v>035</v>
      </c>
      <c r="G1134" s="3" t="str">
        <f t="shared" si="105"/>
        <v>ST</v>
      </c>
      <c r="H1134" s="3" t="str">
        <f t="shared" si="106"/>
        <v>000</v>
      </c>
      <c r="I1134" s="3" t="str">
        <f t="shared" si="107"/>
        <v>00</v>
      </c>
      <c r="L1134" s="3" t="s">
        <v>3309</v>
      </c>
      <c r="R1134" s="3" t="s">
        <v>6415</v>
      </c>
      <c r="S1134" s="15" t="s">
        <v>3247</v>
      </c>
    </row>
    <row r="1135" spans="1:19" ht="30" x14ac:dyDescent="0.25">
      <c r="A1135" s="4" t="s">
        <v>6416</v>
      </c>
      <c r="B1135" s="4" t="s">
        <v>6049</v>
      </c>
      <c r="C1135" s="4" t="s">
        <v>6417</v>
      </c>
      <c r="D1135" s="3" t="str">
        <f t="shared" si="102"/>
        <v>PLA</v>
      </c>
      <c r="E1135" s="3" t="str">
        <f t="shared" si="103"/>
        <v>Q</v>
      </c>
      <c r="F1135" s="3" t="str">
        <f t="shared" si="104"/>
        <v>000</v>
      </c>
      <c r="G1135" s="3" t="str">
        <f t="shared" si="105"/>
        <v>NA</v>
      </c>
      <c r="H1135" s="3" t="str">
        <f t="shared" si="106"/>
        <v>000</v>
      </c>
      <c r="I1135" s="3" t="str">
        <f t="shared" si="107"/>
        <v>00</v>
      </c>
      <c r="L1135" s="3" t="s">
        <v>3309</v>
      </c>
      <c r="R1135" s="3" t="s">
        <v>6418</v>
      </c>
      <c r="S1135" s="15" t="s">
        <v>3247</v>
      </c>
    </row>
    <row r="1136" spans="1:19" ht="30" x14ac:dyDescent="0.25">
      <c r="A1136" s="4" t="s">
        <v>6419</v>
      </c>
      <c r="B1136" s="4" t="s">
        <v>6049</v>
      </c>
      <c r="C1136" s="4" t="s">
        <v>6420</v>
      </c>
      <c r="D1136" s="3" t="str">
        <f t="shared" si="102"/>
        <v>PLA</v>
      </c>
      <c r="E1136" s="3" t="str">
        <f t="shared" si="103"/>
        <v>V</v>
      </c>
      <c r="F1136" s="3" t="str">
        <f t="shared" si="104"/>
        <v>004</v>
      </c>
      <c r="G1136" s="3" t="str">
        <f t="shared" si="105"/>
        <v>ST</v>
      </c>
      <c r="H1136" s="3" t="str">
        <f t="shared" si="106"/>
        <v>000</v>
      </c>
      <c r="I1136" s="3" t="str">
        <f t="shared" si="107"/>
        <v>00</v>
      </c>
      <c r="L1136" s="3" t="s">
        <v>3309</v>
      </c>
      <c r="R1136" s="3" t="s">
        <v>6421</v>
      </c>
      <c r="S1136" s="15" t="s">
        <v>3247</v>
      </c>
    </row>
    <row r="1137" spans="1:19" ht="30" x14ac:dyDescent="0.25">
      <c r="A1137" s="4" t="s">
        <v>6422</v>
      </c>
      <c r="B1137" s="4" t="s">
        <v>6049</v>
      </c>
      <c r="C1137" s="4" t="s">
        <v>6423</v>
      </c>
      <c r="D1137" s="3" t="str">
        <f t="shared" si="102"/>
        <v>PLA</v>
      </c>
      <c r="E1137" s="3" t="str">
        <f t="shared" si="103"/>
        <v>N</v>
      </c>
      <c r="F1137" s="3" t="str">
        <f t="shared" si="104"/>
        <v>004</v>
      </c>
      <c r="G1137" s="3" t="str">
        <f t="shared" si="105"/>
        <v>ST</v>
      </c>
      <c r="H1137" s="3" t="str">
        <f t="shared" si="106"/>
        <v>000</v>
      </c>
      <c r="I1137" s="3" t="str">
        <f t="shared" si="107"/>
        <v>00</v>
      </c>
      <c r="L1137" s="3" t="s">
        <v>3309</v>
      </c>
      <c r="R1137" s="3" t="s">
        <v>6424</v>
      </c>
      <c r="S1137" s="15" t="s">
        <v>3247</v>
      </c>
    </row>
    <row r="1138" spans="1:19" ht="30" x14ac:dyDescent="0.25">
      <c r="A1138" s="4" t="s">
        <v>6425</v>
      </c>
      <c r="B1138" s="4" t="s">
        <v>6049</v>
      </c>
      <c r="C1138" s="4" t="s">
        <v>6426</v>
      </c>
      <c r="D1138" s="3" t="str">
        <f t="shared" si="102"/>
        <v>PLA</v>
      </c>
      <c r="E1138" s="3" t="str">
        <f t="shared" si="103"/>
        <v>N</v>
      </c>
      <c r="F1138" s="3" t="str">
        <f t="shared" si="104"/>
        <v>008</v>
      </c>
      <c r="G1138" s="3" t="str">
        <f t="shared" si="105"/>
        <v>ST</v>
      </c>
      <c r="H1138" s="3" t="str">
        <f t="shared" si="106"/>
        <v>000</v>
      </c>
      <c r="I1138" s="3" t="str">
        <f t="shared" si="107"/>
        <v>00</v>
      </c>
      <c r="L1138" s="3" t="s">
        <v>3309</v>
      </c>
      <c r="R1138" s="3" t="s">
        <v>6427</v>
      </c>
      <c r="S1138" s="15" t="s">
        <v>3247</v>
      </c>
    </row>
    <row r="1139" spans="1:19" ht="30" x14ac:dyDescent="0.25">
      <c r="A1139" s="4" t="s">
        <v>6428</v>
      </c>
      <c r="B1139" s="4" t="s">
        <v>6049</v>
      </c>
      <c r="C1139" s="4" t="s">
        <v>6429</v>
      </c>
      <c r="D1139" s="3" t="str">
        <f t="shared" si="102"/>
        <v>PLA</v>
      </c>
      <c r="E1139" s="3" t="str">
        <f t="shared" si="103"/>
        <v>N</v>
      </c>
      <c r="F1139" s="3" t="str">
        <f t="shared" si="104"/>
        <v>111</v>
      </c>
      <c r="G1139" s="3" t="str">
        <f t="shared" si="105"/>
        <v>ST</v>
      </c>
      <c r="H1139" s="3" t="str">
        <f t="shared" si="106"/>
        <v>000</v>
      </c>
      <c r="I1139" s="3" t="str">
        <f t="shared" si="107"/>
        <v>04</v>
      </c>
      <c r="L1139" s="3" t="s">
        <v>3309</v>
      </c>
      <c r="R1139" s="3" t="s">
        <v>6430</v>
      </c>
      <c r="S1139" s="15" t="s">
        <v>3247</v>
      </c>
    </row>
    <row r="1140" spans="1:19" ht="30" x14ac:dyDescent="0.25">
      <c r="A1140" s="4" t="s">
        <v>6431</v>
      </c>
      <c r="B1140" s="4" t="s">
        <v>6049</v>
      </c>
      <c r="C1140" s="4" t="s">
        <v>6432</v>
      </c>
      <c r="D1140" s="3" t="str">
        <f t="shared" si="102"/>
        <v>PLA</v>
      </c>
      <c r="E1140" s="3" t="str">
        <f t="shared" si="103"/>
        <v>G</v>
      </c>
      <c r="F1140" s="3" t="str">
        <f t="shared" si="104"/>
        <v>208</v>
      </c>
      <c r="G1140" s="3" t="str">
        <f t="shared" si="105"/>
        <v>ST</v>
      </c>
      <c r="H1140" s="3" t="str">
        <f t="shared" si="106"/>
        <v>000</v>
      </c>
      <c r="I1140" s="3" t="str">
        <f t="shared" si="107"/>
        <v>00</v>
      </c>
      <c r="L1140" s="3" t="s">
        <v>3309</v>
      </c>
      <c r="R1140" s="3" t="s">
        <v>6433</v>
      </c>
      <c r="S1140" s="15" t="s">
        <v>3247</v>
      </c>
    </row>
    <row r="1141" spans="1:19" ht="30" x14ac:dyDescent="0.25">
      <c r="A1141" s="4" t="s">
        <v>6434</v>
      </c>
      <c r="B1141" s="4" t="s">
        <v>6049</v>
      </c>
      <c r="C1141" s="4" t="s">
        <v>6435</v>
      </c>
      <c r="D1141" s="3" t="str">
        <f t="shared" si="102"/>
        <v>PLA</v>
      </c>
      <c r="E1141" s="3" t="str">
        <f t="shared" si="103"/>
        <v>G</v>
      </c>
      <c r="F1141" s="3" t="str">
        <f t="shared" si="104"/>
        <v>601</v>
      </c>
      <c r="G1141" s="3" t="str">
        <f t="shared" si="105"/>
        <v>ST</v>
      </c>
      <c r="H1141" s="3" t="str">
        <f t="shared" si="106"/>
        <v>000</v>
      </c>
      <c r="I1141" s="3" t="str">
        <f t="shared" si="107"/>
        <v>00</v>
      </c>
      <c r="L1141" s="3" t="s">
        <v>3309</v>
      </c>
      <c r="R1141" s="3" t="s">
        <v>6436</v>
      </c>
      <c r="S1141" s="15" t="s">
        <v>3247</v>
      </c>
    </row>
    <row r="1142" spans="1:19" ht="30" x14ac:dyDescent="0.25">
      <c r="A1142" s="4" t="s">
        <v>6437</v>
      </c>
      <c r="B1142" s="4" t="s">
        <v>6049</v>
      </c>
      <c r="C1142" s="4" t="s">
        <v>6438</v>
      </c>
      <c r="D1142" s="3" t="str">
        <f t="shared" si="102"/>
        <v>PLA</v>
      </c>
      <c r="E1142" s="3" t="str">
        <f t="shared" si="103"/>
        <v>G</v>
      </c>
      <c r="F1142" s="3" t="str">
        <f t="shared" si="104"/>
        <v>602</v>
      </c>
      <c r="G1142" s="3" t="str">
        <f t="shared" si="105"/>
        <v>ST</v>
      </c>
      <c r="H1142" s="3" t="str">
        <f t="shared" si="106"/>
        <v>000</v>
      </c>
      <c r="I1142" s="3" t="str">
        <f t="shared" si="107"/>
        <v>00</v>
      </c>
      <c r="L1142" s="3" t="s">
        <v>3309</v>
      </c>
      <c r="R1142" s="3" t="s">
        <v>6439</v>
      </c>
      <c r="S1142" s="15" t="s">
        <v>3247</v>
      </c>
    </row>
    <row r="1143" spans="1:19" ht="30" x14ac:dyDescent="0.25">
      <c r="A1143" s="4" t="s">
        <v>6440</v>
      </c>
      <c r="B1143" s="4" t="s">
        <v>6049</v>
      </c>
      <c r="C1143" s="4" t="s">
        <v>6441</v>
      </c>
      <c r="D1143" s="3" t="str">
        <f t="shared" si="102"/>
        <v>PLA</v>
      </c>
      <c r="E1143" s="3" t="str">
        <f t="shared" si="103"/>
        <v>G</v>
      </c>
      <c r="F1143" s="3" t="str">
        <f t="shared" si="104"/>
        <v>012</v>
      </c>
      <c r="G1143" s="3" t="str">
        <f t="shared" si="105"/>
        <v>ST</v>
      </c>
      <c r="H1143" s="3" t="str">
        <f t="shared" si="106"/>
        <v>000</v>
      </c>
      <c r="I1143" s="3" t="str">
        <f t="shared" si="107"/>
        <v>00</v>
      </c>
      <c r="L1143" s="3" t="s">
        <v>3309</v>
      </c>
      <c r="R1143" s="3" t="s">
        <v>6442</v>
      </c>
      <c r="S1143" s="15" t="s">
        <v>3247</v>
      </c>
    </row>
    <row r="1144" spans="1:19" ht="30" x14ac:dyDescent="0.25">
      <c r="A1144" s="4" t="s">
        <v>6443</v>
      </c>
      <c r="B1144" s="4" t="s">
        <v>6049</v>
      </c>
      <c r="C1144" s="4" t="s">
        <v>6444</v>
      </c>
      <c r="D1144" s="3" t="str">
        <f t="shared" si="102"/>
        <v>PLA</v>
      </c>
      <c r="E1144" s="3" t="str">
        <f t="shared" si="103"/>
        <v>N</v>
      </c>
      <c r="F1144" s="3" t="str">
        <f t="shared" si="104"/>
        <v>042</v>
      </c>
      <c r="G1144" s="3" t="str">
        <f t="shared" si="105"/>
        <v>ST</v>
      </c>
      <c r="H1144" s="3" t="str">
        <f t="shared" si="106"/>
        <v>000</v>
      </c>
      <c r="I1144" s="3" t="str">
        <f t="shared" si="107"/>
        <v>00</v>
      </c>
      <c r="L1144" s="3" t="s">
        <v>3309</v>
      </c>
      <c r="R1144" s="3" t="s">
        <v>6445</v>
      </c>
      <c r="S1144" s="15" t="s">
        <v>3247</v>
      </c>
    </row>
    <row r="1145" spans="1:19" ht="30" x14ac:dyDescent="0.25">
      <c r="A1145" s="4" t="s">
        <v>6446</v>
      </c>
      <c r="B1145" s="4" t="s">
        <v>6049</v>
      </c>
      <c r="C1145" s="4" t="s">
        <v>6447</v>
      </c>
      <c r="D1145" s="3" t="str">
        <f t="shared" si="102"/>
        <v>PLA</v>
      </c>
      <c r="E1145" s="3" t="str">
        <f t="shared" si="103"/>
        <v>N</v>
      </c>
      <c r="F1145" s="3" t="str">
        <f t="shared" si="104"/>
        <v>043</v>
      </c>
      <c r="G1145" s="3" t="str">
        <f t="shared" si="105"/>
        <v>ST</v>
      </c>
      <c r="H1145" s="3" t="str">
        <f t="shared" si="106"/>
        <v>000</v>
      </c>
      <c r="I1145" s="3" t="str">
        <f t="shared" si="107"/>
        <v>00</v>
      </c>
      <c r="L1145" s="3" t="s">
        <v>3309</v>
      </c>
      <c r="R1145" s="3" t="s">
        <v>6448</v>
      </c>
      <c r="S1145" s="15" t="s">
        <v>3247</v>
      </c>
    </row>
    <row r="1146" spans="1:19" ht="30" x14ac:dyDescent="0.25">
      <c r="A1146" s="4" t="s">
        <v>6449</v>
      </c>
      <c r="B1146" s="4" t="s">
        <v>6049</v>
      </c>
      <c r="C1146" s="4" t="s">
        <v>6450</v>
      </c>
      <c r="D1146" s="3" t="str">
        <f t="shared" si="102"/>
        <v>PLA</v>
      </c>
      <c r="E1146" s="3" t="str">
        <f t="shared" si="103"/>
        <v>I</v>
      </c>
      <c r="F1146" s="3" t="str">
        <f t="shared" si="104"/>
        <v>001</v>
      </c>
      <c r="G1146" s="3" t="str">
        <f t="shared" si="105"/>
        <v>ST</v>
      </c>
      <c r="H1146" s="3" t="str">
        <f t="shared" si="106"/>
        <v>000</v>
      </c>
      <c r="I1146" s="3" t="str">
        <f t="shared" si="107"/>
        <v>00</v>
      </c>
      <c r="L1146" s="3" t="s">
        <v>3309</v>
      </c>
      <c r="R1146" s="3" t="s">
        <v>6451</v>
      </c>
      <c r="S1146" s="15" t="s">
        <v>3247</v>
      </c>
    </row>
    <row r="1147" spans="1:19" ht="30" x14ac:dyDescent="0.25">
      <c r="A1147" s="4" t="s">
        <v>6452</v>
      </c>
      <c r="B1147" s="4" t="s">
        <v>6049</v>
      </c>
      <c r="C1147" s="4" t="s">
        <v>6453</v>
      </c>
      <c r="D1147" s="3" t="str">
        <f t="shared" si="102"/>
        <v>PLA</v>
      </c>
      <c r="E1147" s="3" t="str">
        <f t="shared" si="103"/>
        <v>N</v>
      </c>
      <c r="F1147" s="3" t="str">
        <f t="shared" si="104"/>
        <v>009</v>
      </c>
      <c r="G1147" s="3" t="str">
        <f t="shared" si="105"/>
        <v>ST</v>
      </c>
      <c r="H1147" s="3" t="str">
        <f t="shared" si="106"/>
        <v>000</v>
      </c>
      <c r="I1147" s="3" t="str">
        <f t="shared" si="107"/>
        <v>00</v>
      </c>
      <c r="L1147" s="3" t="s">
        <v>3309</v>
      </c>
      <c r="R1147" s="3" t="s">
        <v>6454</v>
      </c>
      <c r="S1147" s="15" t="s">
        <v>3247</v>
      </c>
    </row>
    <row r="1148" spans="1:19" ht="30" x14ac:dyDescent="0.25">
      <c r="A1148" s="4" t="s">
        <v>6455</v>
      </c>
      <c r="B1148" s="4" t="s">
        <v>6049</v>
      </c>
      <c r="C1148" s="4" t="s">
        <v>6456</v>
      </c>
      <c r="D1148" s="3" t="str">
        <f t="shared" si="102"/>
        <v>PLA</v>
      </c>
      <c r="E1148" s="3" t="str">
        <f t="shared" si="103"/>
        <v>X</v>
      </c>
      <c r="F1148" s="3" t="str">
        <f t="shared" si="104"/>
        <v>201</v>
      </c>
      <c r="G1148" s="3" t="str">
        <f t="shared" si="105"/>
        <v>SP</v>
      </c>
      <c r="H1148" s="3" t="str">
        <f t="shared" si="106"/>
        <v>006</v>
      </c>
      <c r="I1148" s="3" t="str">
        <f t="shared" si="107"/>
        <v>00</v>
      </c>
      <c r="L1148" s="3" t="s">
        <v>3309</v>
      </c>
      <c r="R1148" s="3" t="s">
        <v>6457</v>
      </c>
      <c r="S1148" s="15" t="s">
        <v>3247</v>
      </c>
    </row>
    <row r="1149" spans="1:19" ht="30" x14ac:dyDescent="0.25">
      <c r="A1149" s="4" t="s">
        <v>6458</v>
      </c>
      <c r="B1149" s="4" t="s">
        <v>6049</v>
      </c>
      <c r="C1149" s="4" t="s">
        <v>6459</v>
      </c>
      <c r="D1149" s="3" t="str">
        <f t="shared" si="102"/>
        <v>PLA</v>
      </c>
      <c r="E1149" s="3" t="str">
        <f t="shared" si="103"/>
        <v>C</v>
      </c>
      <c r="F1149" s="3" t="str">
        <f t="shared" si="104"/>
        <v>015</v>
      </c>
      <c r="G1149" s="3" t="str">
        <f t="shared" si="105"/>
        <v>ST</v>
      </c>
      <c r="H1149" s="3" t="str">
        <f t="shared" si="106"/>
        <v>000</v>
      </c>
      <c r="I1149" s="3" t="str">
        <f t="shared" si="107"/>
        <v>13</v>
      </c>
      <c r="L1149" s="3" t="s">
        <v>3309</v>
      </c>
      <c r="R1149" s="3" t="s">
        <v>6460</v>
      </c>
      <c r="S1149" s="15" t="s">
        <v>3247</v>
      </c>
    </row>
    <row r="1150" spans="1:19" ht="30" x14ac:dyDescent="0.25">
      <c r="A1150" s="4" t="s">
        <v>6461</v>
      </c>
      <c r="B1150" s="4" t="s">
        <v>6049</v>
      </c>
      <c r="C1150" s="4" t="s">
        <v>6462</v>
      </c>
      <c r="D1150" s="3" t="str">
        <f t="shared" si="102"/>
        <v>PLA</v>
      </c>
      <c r="E1150" s="3" t="str">
        <f t="shared" si="103"/>
        <v>G</v>
      </c>
      <c r="F1150" s="3" t="str">
        <f t="shared" si="104"/>
        <v>000</v>
      </c>
      <c r="G1150" s="3" t="str">
        <f t="shared" si="105"/>
        <v>ST</v>
      </c>
      <c r="H1150" s="3" t="str">
        <f t="shared" si="106"/>
        <v>000</v>
      </c>
      <c r="I1150" s="3" t="str">
        <f t="shared" si="107"/>
        <v>14</v>
      </c>
      <c r="L1150" s="3" t="s">
        <v>3309</v>
      </c>
      <c r="R1150" s="3" t="s">
        <v>6463</v>
      </c>
      <c r="S1150" s="15">
        <v>150</v>
      </c>
    </row>
    <row r="1151" spans="1:19" ht="30" x14ac:dyDescent="0.25">
      <c r="A1151" s="4" t="s">
        <v>6464</v>
      </c>
      <c r="B1151" s="4" t="s">
        <v>6049</v>
      </c>
      <c r="C1151" s="4" t="s">
        <v>6465</v>
      </c>
      <c r="D1151" s="3" t="str">
        <f t="shared" si="102"/>
        <v>PLA</v>
      </c>
      <c r="E1151" s="3" t="str">
        <f t="shared" si="103"/>
        <v>O</v>
      </c>
      <c r="F1151" s="3" t="str">
        <f t="shared" si="104"/>
        <v>801</v>
      </c>
      <c r="G1151" s="3" t="str">
        <f t="shared" si="105"/>
        <v>ST</v>
      </c>
      <c r="H1151" s="3" t="str">
        <f t="shared" si="106"/>
        <v>000</v>
      </c>
      <c r="I1151" s="3" t="str">
        <f t="shared" si="107"/>
        <v>00</v>
      </c>
      <c r="L1151" s="3" t="s">
        <v>3309</v>
      </c>
      <c r="R1151" s="3" t="s">
        <v>6466</v>
      </c>
      <c r="S1151" s="15" t="s">
        <v>3247</v>
      </c>
    </row>
    <row r="1152" spans="1:19" ht="30" x14ac:dyDescent="0.25">
      <c r="A1152" s="4" t="s">
        <v>6467</v>
      </c>
      <c r="B1152" s="4" t="s">
        <v>6049</v>
      </c>
      <c r="C1152" s="4" t="s">
        <v>6468</v>
      </c>
      <c r="D1152" s="3" t="str">
        <f t="shared" si="102"/>
        <v>PLA</v>
      </c>
      <c r="E1152" s="3" t="str">
        <f t="shared" si="103"/>
        <v>E</v>
      </c>
      <c r="F1152" s="3" t="str">
        <f t="shared" si="104"/>
        <v>001</v>
      </c>
      <c r="G1152" s="3" t="str">
        <f t="shared" si="105"/>
        <v>ST</v>
      </c>
      <c r="H1152" s="3" t="str">
        <f t="shared" si="106"/>
        <v>000</v>
      </c>
      <c r="I1152" s="3" t="str">
        <f t="shared" si="107"/>
        <v>00</v>
      </c>
      <c r="L1152" s="3" t="s">
        <v>3309</v>
      </c>
      <c r="R1152" s="3" t="s">
        <v>6469</v>
      </c>
      <c r="S1152" s="15" t="s">
        <v>3247</v>
      </c>
    </row>
    <row r="1153" spans="1:19" ht="30" x14ac:dyDescent="0.25">
      <c r="A1153" s="4" t="s">
        <v>6470</v>
      </c>
      <c r="B1153" s="4" t="s">
        <v>6049</v>
      </c>
      <c r="C1153" s="4" t="s">
        <v>6471</v>
      </c>
      <c r="D1153" s="3" t="str">
        <f t="shared" si="102"/>
        <v>PLA</v>
      </c>
      <c r="E1153" s="3" t="str">
        <f t="shared" si="103"/>
        <v>E</v>
      </c>
      <c r="F1153" s="3" t="str">
        <f t="shared" si="104"/>
        <v>002</v>
      </c>
      <c r="G1153" s="3" t="str">
        <f t="shared" si="105"/>
        <v>ST</v>
      </c>
      <c r="H1153" s="3" t="str">
        <f t="shared" si="106"/>
        <v>000</v>
      </c>
      <c r="I1153" s="3" t="str">
        <f t="shared" si="107"/>
        <v>00</v>
      </c>
      <c r="L1153" s="3" t="s">
        <v>3309</v>
      </c>
      <c r="R1153" s="3" t="s">
        <v>6472</v>
      </c>
      <c r="S1153" s="15" t="s">
        <v>3247</v>
      </c>
    </row>
    <row r="1154" spans="1:19" ht="30" x14ac:dyDescent="0.25">
      <c r="A1154" s="4" t="s">
        <v>6473</v>
      </c>
      <c r="B1154" s="4" t="s">
        <v>6049</v>
      </c>
      <c r="C1154" s="4" t="s">
        <v>6474</v>
      </c>
      <c r="D1154" s="3" t="str">
        <f t="shared" ref="D1154:D1217" si="108">LEFT(A1154,3)</f>
        <v>PLA</v>
      </c>
      <c r="E1154" s="3" t="str">
        <f t="shared" ref="E1154:E1217" si="109">MID(A1154,4,1)</f>
        <v>C</v>
      </c>
      <c r="F1154" s="3" t="str">
        <f t="shared" ref="F1154:F1217" si="110">MID(A1154,5,3)</f>
        <v>016</v>
      </c>
      <c r="G1154" s="3" t="str">
        <f t="shared" ref="G1154:G1217" si="111">MID(A1154,8,2)</f>
        <v>ST</v>
      </c>
      <c r="H1154" s="3" t="str">
        <f t="shared" ref="H1154:H1217" si="112">MID(A1154,10,3)</f>
        <v>000</v>
      </c>
      <c r="I1154" s="3" t="str">
        <f t="shared" ref="I1154:I1217" si="113">MID(A1154,13,2)</f>
        <v>00</v>
      </c>
      <c r="L1154" s="3" t="s">
        <v>3309</v>
      </c>
      <c r="R1154" s="3" t="s">
        <v>6475</v>
      </c>
      <c r="S1154" s="15" t="s">
        <v>3247</v>
      </c>
    </row>
    <row r="1155" spans="1:19" ht="30" x14ac:dyDescent="0.25">
      <c r="A1155" s="4" t="s">
        <v>6476</v>
      </c>
      <c r="B1155" s="4" t="s">
        <v>6049</v>
      </c>
      <c r="C1155" s="4" t="s">
        <v>6477</v>
      </c>
      <c r="D1155" s="3" t="str">
        <f t="shared" si="108"/>
        <v>PLA</v>
      </c>
      <c r="E1155" s="3" t="str">
        <f t="shared" si="109"/>
        <v>M</v>
      </c>
      <c r="F1155" s="3" t="str">
        <f t="shared" si="110"/>
        <v>001</v>
      </c>
      <c r="G1155" s="3" t="str">
        <f t="shared" si="111"/>
        <v>ST</v>
      </c>
      <c r="H1155" s="3" t="str">
        <f t="shared" si="112"/>
        <v>000</v>
      </c>
      <c r="I1155" s="3" t="str">
        <f t="shared" si="113"/>
        <v>00</v>
      </c>
      <c r="L1155" s="3" t="s">
        <v>3309</v>
      </c>
      <c r="R1155" s="3" t="s">
        <v>6478</v>
      </c>
      <c r="S1155" s="15" t="s">
        <v>3247</v>
      </c>
    </row>
    <row r="1156" spans="1:19" ht="30" x14ac:dyDescent="0.25">
      <c r="A1156" s="4" t="s">
        <v>6479</v>
      </c>
      <c r="B1156" s="4" t="s">
        <v>6049</v>
      </c>
      <c r="C1156" s="4" t="s">
        <v>6480</v>
      </c>
      <c r="D1156" s="3" t="str">
        <f t="shared" si="108"/>
        <v>PLA</v>
      </c>
      <c r="E1156" s="3" t="str">
        <f t="shared" si="109"/>
        <v>O</v>
      </c>
      <c r="F1156" s="3" t="str">
        <f t="shared" si="110"/>
        <v>802</v>
      </c>
      <c r="G1156" s="3" t="str">
        <f t="shared" si="111"/>
        <v>ST</v>
      </c>
      <c r="H1156" s="3" t="str">
        <f t="shared" si="112"/>
        <v>000</v>
      </c>
      <c r="I1156" s="3" t="str">
        <f t="shared" si="113"/>
        <v>00</v>
      </c>
      <c r="L1156" s="3" t="s">
        <v>3309</v>
      </c>
      <c r="R1156" s="3" t="s">
        <v>6481</v>
      </c>
      <c r="S1156" s="15" t="s">
        <v>3247</v>
      </c>
    </row>
    <row r="1157" spans="1:19" ht="30" x14ac:dyDescent="0.25">
      <c r="A1157" s="4" t="s">
        <v>6482</v>
      </c>
      <c r="B1157" s="4" t="s">
        <v>6049</v>
      </c>
      <c r="C1157" s="4" t="s">
        <v>6483</v>
      </c>
      <c r="D1157" s="3" t="str">
        <f t="shared" si="108"/>
        <v>PLA</v>
      </c>
      <c r="E1157" s="3" t="str">
        <f t="shared" si="109"/>
        <v>R</v>
      </c>
      <c r="F1157" s="3" t="str">
        <f t="shared" si="110"/>
        <v>902</v>
      </c>
      <c r="G1157" s="3" t="str">
        <f t="shared" si="111"/>
        <v>ST</v>
      </c>
      <c r="H1157" s="3" t="str">
        <f t="shared" si="112"/>
        <v>000</v>
      </c>
      <c r="I1157" s="3" t="str">
        <f t="shared" si="113"/>
        <v>00</v>
      </c>
      <c r="L1157" s="3" t="s">
        <v>3309</v>
      </c>
      <c r="R1157" s="3" t="s">
        <v>6484</v>
      </c>
      <c r="S1157" s="15" t="s">
        <v>3247</v>
      </c>
    </row>
    <row r="1158" spans="1:19" ht="30" x14ac:dyDescent="0.25">
      <c r="A1158" s="4" t="s">
        <v>6485</v>
      </c>
      <c r="B1158" s="4" t="s">
        <v>6049</v>
      </c>
      <c r="C1158" s="4" t="s">
        <v>6486</v>
      </c>
      <c r="D1158" s="3" t="str">
        <f t="shared" si="108"/>
        <v>PLA</v>
      </c>
      <c r="E1158" s="3" t="str">
        <f t="shared" si="109"/>
        <v>O</v>
      </c>
      <c r="F1158" s="3" t="str">
        <f t="shared" si="110"/>
        <v>901</v>
      </c>
      <c r="G1158" s="3" t="str">
        <f t="shared" si="111"/>
        <v>ST</v>
      </c>
      <c r="H1158" s="3" t="str">
        <f t="shared" si="112"/>
        <v>000</v>
      </c>
      <c r="I1158" s="3" t="str">
        <f t="shared" si="113"/>
        <v>00</v>
      </c>
      <c r="L1158" s="3" t="s">
        <v>3309</v>
      </c>
      <c r="R1158" s="3" t="s">
        <v>6487</v>
      </c>
      <c r="S1158" s="15" t="s">
        <v>3247</v>
      </c>
    </row>
    <row r="1159" spans="1:19" ht="30" x14ac:dyDescent="0.25">
      <c r="A1159" s="4" t="s">
        <v>6488</v>
      </c>
      <c r="B1159" s="4" t="s">
        <v>6049</v>
      </c>
      <c r="C1159" s="4" t="s">
        <v>6489</v>
      </c>
      <c r="D1159" s="3" t="str">
        <f t="shared" si="108"/>
        <v>PLA</v>
      </c>
      <c r="E1159" s="3" t="str">
        <f t="shared" si="109"/>
        <v>M</v>
      </c>
      <c r="F1159" s="3" t="str">
        <f t="shared" si="110"/>
        <v>008</v>
      </c>
      <c r="G1159" s="3" t="str">
        <f t="shared" si="111"/>
        <v>ST</v>
      </c>
      <c r="H1159" s="3" t="str">
        <f t="shared" si="112"/>
        <v>000</v>
      </c>
      <c r="I1159" s="3" t="str">
        <f t="shared" si="113"/>
        <v>00</v>
      </c>
      <c r="L1159" s="3" t="s">
        <v>3309</v>
      </c>
      <c r="R1159" s="3" t="s">
        <v>6490</v>
      </c>
      <c r="S1159" s="15" t="s">
        <v>3247</v>
      </c>
    </row>
    <row r="1160" spans="1:19" ht="30" x14ac:dyDescent="0.25">
      <c r="A1160" s="4" t="s">
        <v>6491</v>
      </c>
      <c r="B1160" s="4" t="s">
        <v>6049</v>
      </c>
      <c r="C1160" s="4" t="s">
        <v>6492</v>
      </c>
      <c r="D1160" s="3" t="str">
        <f t="shared" si="108"/>
        <v>PLA</v>
      </c>
      <c r="E1160" s="3" t="str">
        <f t="shared" si="109"/>
        <v>C</v>
      </c>
      <c r="F1160" s="3" t="str">
        <f t="shared" si="110"/>
        <v>017</v>
      </c>
      <c r="G1160" s="3" t="str">
        <f t="shared" si="111"/>
        <v>ST</v>
      </c>
      <c r="H1160" s="3" t="str">
        <f t="shared" si="112"/>
        <v>000</v>
      </c>
      <c r="I1160" s="3" t="str">
        <f t="shared" si="113"/>
        <v>00</v>
      </c>
      <c r="L1160" s="3" t="s">
        <v>3309</v>
      </c>
      <c r="R1160" s="3" t="s">
        <v>6493</v>
      </c>
      <c r="S1160" s="15" t="s">
        <v>3247</v>
      </c>
    </row>
    <row r="1161" spans="1:19" ht="30" x14ac:dyDescent="0.25">
      <c r="A1161" s="4" t="s">
        <v>6494</v>
      </c>
      <c r="B1161" s="4" t="s">
        <v>6049</v>
      </c>
      <c r="C1161" s="4" t="s">
        <v>6495</v>
      </c>
      <c r="D1161" s="3" t="str">
        <f t="shared" si="108"/>
        <v>PLA</v>
      </c>
      <c r="E1161" s="3" t="str">
        <f t="shared" si="109"/>
        <v>X</v>
      </c>
      <c r="F1161" s="3" t="str">
        <f t="shared" si="110"/>
        <v>101</v>
      </c>
      <c r="G1161" s="3" t="str">
        <f t="shared" si="111"/>
        <v>SP</v>
      </c>
      <c r="H1161" s="3" t="str">
        <f t="shared" si="112"/>
        <v>000</v>
      </c>
      <c r="I1161" s="3" t="str">
        <f t="shared" si="113"/>
        <v>00</v>
      </c>
      <c r="L1161" s="3" t="s">
        <v>3309</v>
      </c>
      <c r="R1161" s="3" t="s">
        <v>6496</v>
      </c>
      <c r="S1161" s="15">
        <v>4</v>
      </c>
    </row>
    <row r="1162" spans="1:19" ht="30" x14ac:dyDescent="0.25">
      <c r="A1162" s="4" t="s">
        <v>6497</v>
      </c>
      <c r="B1162" s="4" t="s">
        <v>6498</v>
      </c>
      <c r="C1162" s="4" t="s">
        <v>6499</v>
      </c>
      <c r="D1162" s="3" t="str">
        <f t="shared" si="108"/>
        <v>PRG</v>
      </c>
      <c r="E1162" s="3" t="str">
        <f t="shared" si="109"/>
        <v>A</v>
      </c>
      <c r="F1162" s="3" t="str">
        <f t="shared" si="110"/>
        <v>100</v>
      </c>
      <c r="G1162" s="3" t="str">
        <f t="shared" si="111"/>
        <v>AM</v>
      </c>
      <c r="H1162" s="3" t="str">
        <f t="shared" si="112"/>
        <v>000</v>
      </c>
      <c r="I1162" s="3" t="str">
        <f t="shared" si="113"/>
        <v>01</v>
      </c>
      <c r="L1162" s="3" t="s">
        <v>3309</v>
      </c>
      <c r="R1162" s="3" t="s">
        <v>6500</v>
      </c>
      <c r="S1162" s="15" t="s">
        <v>3247</v>
      </c>
    </row>
    <row r="1163" spans="1:19" ht="30" x14ac:dyDescent="0.25">
      <c r="A1163" s="4" t="s">
        <v>6501</v>
      </c>
      <c r="B1163" s="4" t="s">
        <v>6498</v>
      </c>
      <c r="C1163" s="4" t="s">
        <v>6502</v>
      </c>
      <c r="D1163" s="3" t="str">
        <f t="shared" si="108"/>
        <v>PRG</v>
      </c>
      <c r="E1163" s="3" t="str">
        <f t="shared" si="109"/>
        <v>A</v>
      </c>
      <c r="F1163" s="3" t="str">
        <f t="shared" si="110"/>
        <v>025</v>
      </c>
      <c r="G1163" s="3" t="str">
        <f t="shared" si="111"/>
        <v>AM</v>
      </c>
      <c r="H1163" s="3" t="str">
        <f t="shared" si="112"/>
        <v>000</v>
      </c>
      <c r="I1163" s="3" t="str">
        <f t="shared" si="113"/>
        <v>01</v>
      </c>
      <c r="L1163" s="3" t="s">
        <v>3309</v>
      </c>
      <c r="R1163" s="3" t="s">
        <v>6503</v>
      </c>
      <c r="S1163" s="15">
        <v>2</v>
      </c>
    </row>
    <row r="1164" spans="1:19" ht="30" x14ac:dyDescent="0.25">
      <c r="A1164" s="4" t="s">
        <v>6504</v>
      </c>
      <c r="B1164" s="4" t="s">
        <v>6498</v>
      </c>
      <c r="C1164" s="4" t="s">
        <v>6505</v>
      </c>
      <c r="D1164" s="3" t="str">
        <f t="shared" si="108"/>
        <v>PRG</v>
      </c>
      <c r="E1164" s="3" t="str">
        <f t="shared" si="109"/>
        <v>A</v>
      </c>
      <c r="F1164" s="3" t="str">
        <f t="shared" si="110"/>
        <v>070</v>
      </c>
      <c r="G1164" s="3" t="str">
        <f t="shared" si="111"/>
        <v>AM</v>
      </c>
      <c r="H1164" s="3" t="str">
        <f t="shared" si="112"/>
        <v>000</v>
      </c>
      <c r="I1164" s="3" t="str">
        <f t="shared" si="113"/>
        <v>01</v>
      </c>
      <c r="L1164" s="3" t="s">
        <v>3245</v>
      </c>
      <c r="R1164" s="3" t="s">
        <v>6506</v>
      </c>
      <c r="S1164" s="15" t="s">
        <v>3247</v>
      </c>
    </row>
    <row r="1165" spans="1:19" x14ac:dyDescent="0.25">
      <c r="A1165" s="4" t="s">
        <v>6507</v>
      </c>
      <c r="B1165" s="4" t="s">
        <v>6498</v>
      </c>
      <c r="C1165" s="4" t="s">
        <v>6508</v>
      </c>
      <c r="D1165" s="3" t="str">
        <f t="shared" si="108"/>
        <v>PRG</v>
      </c>
      <c r="E1165" s="3" t="str">
        <f t="shared" si="109"/>
        <v>A</v>
      </c>
      <c r="F1165" s="3" t="str">
        <f t="shared" si="110"/>
        <v>016</v>
      </c>
      <c r="G1165" s="3" t="str">
        <f t="shared" si="111"/>
        <v>HG</v>
      </c>
      <c r="H1165" s="3" t="str">
        <f t="shared" si="112"/>
        <v>000</v>
      </c>
      <c r="I1165" s="3" t="str">
        <f t="shared" si="113"/>
        <v>01</v>
      </c>
      <c r="L1165" s="3" t="s">
        <v>3309</v>
      </c>
      <c r="R1165" s="3" t="s">
        <v>6509</v>
      </c>
      <c r="S1165" s="15" t="s">
        <v>3247</v>
      </c>
    </row>
    <row r="1166" spans="1:19" ht="30" x14ac:dyDescent="0.25">
      <c r="A1166" s="4" t="s">
        <v>6510</v>
      </c>
      <c r="B1166" s="4" t="s">
        <v>6498</v>
      </c>
      <c r="C1166" s="4" t="s">
        <v>6511</v>
      </c>
      <c r="D1166" s="3" t="str">
        <f t="shared" si="108"/>
        <v>PRG</v>
      </c>
      <c r="E1166" s="3" t="str">
        <f t="shared" si="109"/>
        <v>B</v>
      </c>
      <c r="F1166" s="3" t="str">
        <f t="shared" si="110"/>
        <v>025</v>
      </c>
      <c r="G1166" s="3" t="str">
        <f t="shared" si="111"/>
        <v>BE</v>
      </c>
      <c r="H1166" s="3" t="str">
        <f t="shared" si="112"/>
        <v>000</v>
      </c>
      <c r="I1166" s="3" t="str">
        <f t="shared" si="113"/>
        <v>00</v>
      </c>
      <c r="L1166" s="3" t="s">
        <v>3309</v>
      </c>
      <c r="R1166" s="3" t="s">
        <v>6512</v>
      </c>
      <c r="S1166" s="15" t="s">
        <v>3247</v>
      </c>
    </row>
    <row r="1167" spans="1:19" ht="45" x14ac:dyDescent="0.25">
      <c r="A1167" s="4" t="s">
        <v>6513</v>
      </c>
      <c r="B1167" s="4" t="s">
        <v>6514</v>
      </c>
      <c r="C1167" s="4" t="s">
        <v>6515</v>
      </c>
      <c r="D1167" s="3" t="str">
        <f t="shared" si="108"/>
        <v>PRT</v>
      </c>
      <c r="E1167" s="3" t="str">
        <f t="shared" si="109"/>
        <v>A</v>
      </c>
      <c r="F1167" s="3" t="str">
        <f t="shared" si="110"/>
        <v>006</v>
      </c>
      <c r="G1167" s="3" t="str">
        <f t="shared" si="111"/>
        <v>DN</v>
      </c>
      <c r="H1167" s="3" t="str">
        <f t="shared" si="112"/>
        <v>002</v>
      </c>
      <c r="I1167" s="3" t="str">
        <f t="shared" si="113"/>
        <v>02</v>
      </c>
      <c r="L1167" s="3" t="s">
        <v>3245</v>
      </c>
      <c r="R1167" s="3" t="s">
        <v>6516</v>
      </c>
      <c r="S1167" s="15" t="s">
        <v>3247</v>
      </c>
    </row>
    <row r="1168" spans="1:19" ht="30" x14ac:dyDescent="0.25">
      <c r="A1168" s="4" t="s">
        <v>6517</v>
      </c>
      <c r="B1168" s="4" t="s">
        <v>6514</v>
      </c>
      <c r="C1168" s="4" t="s">
        <v>6518</v>
      </c>
      <c r="D1168" s="3" t="str">
        <f t="shared" si="108"/>
        <v>PRT</v>
      </c>
      <c r="E1168" s="3" t="str">
        <f t="shared" si="109"/>
        <v>A</v>
      </c>
      <c r="F1168" s="3" t="str">
        <f t="shared" si="110"/>
        <v>OO5</v>
      </c>
      <c r="G1168" s="3" t="str">
        <f t="shared" si="111"/>
        <v>M1</v>
      </c>
      <c r="H1168" s="3" t="str">
        <f t="shared" si="112"/>
        <v>003</v>
      </c>
      <c r="I1168" s="3" t="str">
        <f t="shared" si="113"/>
        <v>01</v>
      </c>
      <c r="L1168" s="3" t="s">
        <v>3309</v>
      </c>
      <c r="R1168" s="3" t="s">
        <v>6519</v>
      </c>
      <c r="S1168" s="15" t="s">
        <v>3247</v>
      </c>
    </row>
    <row r="1169" spans="1:19" x14ac:dyDescent="0.25">
      <c r="A1169" s="4" t="s">
        <v>6520</v>
      </c>
      <c r="B1169" s="4" t="s">
        <v>6514</v>
      </c>
      <c r="C1169" s="4" t="s">
        <v>6521</v>
      </c>
      <c r="D1169" s="3" t="str">
        <f t="shared" si="108"/>
        <v>PRT</v>
      </c>
      <c r="E1169" s="3" t="str">
        <f t="shared" si="109"/>
        <v>A</v>
      </c>
      <c r="F1169" s="3" t="str">
        <f t="shared" si="110"/>
        <v>010</v>
      </c>
      <c r="G1169" s="3" t="str">
        <f t="shared" si="111"/>
        <v>BA</v>
      </c>
      <c r="H1169" s="3" t="str">
        <f t="shared" si="112"/>
        <v>004</v>
      </c>
      <c r="I1169" s="3" t="str">
        <f t="shared" si="113"/>
        <v>02</v>
      </c>
      <c r="L1169" s="3" t="s">
        <v>3245</v>
      </c>
      <c r="R1169" s="3" t="s">
        <v>6522</v>
      </c>
      <c r="S1169" s="15">
        <v>7</v>
      </c>
    </row>
    <row r="1170" spans="1:19" ht="30" x14ac:dyDescent="0.25">
      <c r="A1170" s="4" t="s">
        <v>6523</v>
      </c>
      <c r="B1170" s="4" t="s">
        <v>6514</v>
      </c>
      <c r="C1170" s="4" t="s">
        <v>6524</v>
      </c>
      <c r="D1170" s="3" t="str">
        <f t="shared" si="108"/>
        <v>PRT</v>
      </c>
      <c r="E1170" s="3" t="str">
        <f t="shared" si="109"/>
        <v>A</v>
      </c>
      <c r="F1170" s="3" t="str">
        <f t="shared" si="110"/>
        <v>010</v>
      </c>
      <c r="G1170" s="3" t="str">
        <f t="shared" si="111"/>
        <v>MI</v>
      </c>
      <c r="H1170" s="3" t="str">
        <f t="shared" si="112"/>
        <v>007</v>
      </c>
      <c r="I1170" s="3" t="str">
        <f t="shared" si="113"/>
        <v>01</v>
      </c>
      <c r="L1170" s="3" t="s">
        <v>3309</v>
      </c>
      <c r="R1170" s="3" t="s">
        <v>6525</v>
      </c>
      <c r="S1170" s="15" t="s">
        <v>3247</v>
      </c>
    </row>
    <row r="1171" spans="1:19" x14ac:dyDescent="0.25">
      <c r="A1171" s="4" t="s">
        <v>6526</v>
      </c>
      <c r="B1171" s="4" t="s">
        <v>6514</v>
      </c>
      <c r="C1171" s="4" t="s">
        <v>6527</v>
      </c>
      <c r="D1171" s="3" t="str">
        <f t="shared" si="108"/>
        <v>PRT</v>
      </c>
      <c r="E1171" s="3" t="str">
        <f t="shared" si="109"/>
        <v>A</v>
      </c>
      <c r="F1171" s="3" t="str">
        <f t="shared" si="110"/>
        <v>010</v>
      </c>
      <c r="G1171" s="3" t="str">
        <f t="shared" si="111"/>
        <v>DN</v>
      </c>
      <c r="H1171" s="3" t="str">
        <f t="shared" si="112"/>
        <v>001</v>
      </c>
      <c r="I1171" s="3" t="str">
        <f t="shared" si="113"/>
        <v>02</v>
      </c>
      <c r="L1171" s="3" t="s">
        <v>3309</v>
      </c>
      <c r="R1171" s="3" t="s">
        <v>6528</v>
      </c>
      <c r="S1171" s="15" t="s">
        <v>3247</v>
      </c>
    </row>
    <row r="1172" spans="1:19" ht="30" x14ac:dyDescent="0.25">
      <c r="A1172" s="4" t="s">
        <v>6529</v>
      </c>
      <c r="B1172" s="4" t="s">
        <v>6514</v>
      </c>
      <c r="C1172" s="4" t="s">
        <v>6530</v>
      </c>
      <c r="D1172" s="3" t="str">
        <f t="shared" si="108"/>
        <v>PRT</v>
      </c>
      <c r="E1172" s="3" t="str">
        <f t="shared" si="109"/>
        <v>A</v>
      </c>
      <c r="F1172" s="3" t="str">
        <f t="shared" si="110"/>
        <v>010</v>
      </c>
      <c r="G1172" s="3" t="str">
        <f t="shared" si="111"/>
        <v>ST</v>
      </c>
      <c r="H1172" s="3" t="str">
        <f t="shared" si="112"/>
        <v>000</v>
      </c>
      <c r="I1172" s="3" t="str">
        <f t="shared" si="113"/>
        <v>05</v>
      </c>
      <c r="L1172" s="3" t="s">
        <v>3608</v>
      </c>
      <c r="R1172" s="3" t="s">
        <v>6531</v>
      </c>
      <c r="S1172" s="15" t="s">
        <v>3247</v>
      </c>
    </row>
    <row r="1173" spans="1:19" ht="30" x14ac:dyDescent="0.25">
      <c r="A1173" s="4" t="s">
        <v>6532</v>
      </c>
      <c r="B1173" s="4" t="s">
        <v>6514</v>
      </c>
      <c r="C1173" s="4" t="s">
        <v>6533</v>
      </c>
      <c r="D1173" s="3" t="str">
        <f t="shared" si="108"/>
        <v>PRT</v>
      </c>
      <c r="E1173" s="3" t="str">
        <f t="shared" si="109"/>
        <v>A</v>
      </c>
      <c r="F1173" s="3" t="str">
        <f t="shared" si="110"/>
        <v>010</v>
      </c>
      <c r="G1173" s="3" t="str">
        <f t="shared" si="111"/>
        <v>MI</v>
      </c>
      <c r="H1173" s="3" t="str">
        <f t="shared" si="112"/>
        <v>000</v>
      </c>
      <c r="I1173" s="3" t="str">
        <f t="shared" si="113"/>
        <v>02</v>
      </c>
      <c r="L1173" s="3" t="s">
        <v>3309</v>
      </c>
      <c r="R1173" s="3" t="s">
        <v>6534</v>
      </c>
      <c r="S1173" s="15">
        <v>2</v>
      </c>
    </row>
    <row r="1174" spans="1:19" x14ac:dyDescent="0.25">
      <c r="A1174" s="4" t="s">
        <v>6535</v>
      </c>
      <c r="B1174" s="4" t="s">
        <v>6514</v>
      </c>
      <c r="C1174" s="4" t="s">
        <v>6536</v>
      </c>
      <c r="D1174" s="3" t="str">
        <f t="shared" si="108"/>
        <v>PRT</v>
      </c>
      <c r="E1174" s="3" t="str">
        <f t="shared" si="109"/>
        <v>A</v>
      </c>
      <c r="F1174" s="3" t="str">
        <f t="shared" si="110"/>
        <v>010</v>
      </c>
      <c r="G1174" s="3" t="str">
        <f t="shared" si="111"/>
        <v>XT</v>
      </c>
      <c r="H1174" s="3" t="str">
        <f t="shared" si="112"/>
        <v>009</v>
      </c>
      <c r="I1174" s="3" t="str">
        <f t="shared" si="113"/>
        <v>01</v>
      </c>
      <c r="L1174" s="3" t="s">
        <v>3309</v>
      </c>
      <c r="R1174" s="3" t="s">
        <v>6537</v>
      </c>
      <c r="S1174" s="15">
        <v>279</v>
      </c>
    </row>
    <row r="1175" spans="1:19" x14ac:dyDescent="0.25">
      <c r="A1175" s="4" t="s">
        <v>6538</v>
      </c>
      <c r="B1175" s="4" t="s">
        <v>6539</v>
      </c>
      <c r="C1175" s="4" t="s">
        <v>6540</v>
      </c>
      <c r="D1175" s="3" t="str">
        <f t="shared" si="108"/>
        <v>PRT</v>
      </c>
      <c r="E1175" s="3" t="str">
        <f t="shared" si="109"/>
        <v>A</v>
      </c>
      <c r="F1175" s="3" t="str">
        <f t="shared" si="110"/>
        <v>100</v>
      </c>
      <c r="G1175" s="3" t="str">
        <f t="shared" si="111"/>
        <v>BA</v>
      </c>
      <c r="H1175" s="3" t="str">
        <f t="shared" si="112"/>
        <v>006</v>
      </c>
      <c r="I1175" s="3" t="str">
        <f t="shared" si="113"/>
        <v>02</v>
      </c>
      <c r="L1175" s="3" t="s">
        <v>3309</v>
      </c>
      <c r="R1175" s="3" t="s">
        <v>6541</v>
      </c>
      <c r="S1175" s="15" t="s">
        <v>3247</v>
      </c>
    </row>
    <row r="1176" spans="1:19" ht="30" x14ac:dyDescent="0.25">
      <c r="A1176" s="4" t="s">
        <v>6542</v>
      </c>
      <c r="B1176" s="4" t="s">
        <v>6539</v>
      </c>
      <c r="C1176" s="4" t="s">
        <v>6543</v>
      </c>
      <c r="D1176" s="3" t="str">
        <f t="shared" si="108"/>
        <v>PRT</v>
      </c>
      <c r="E1176" s="3" t="str">
        <f t="shared" si="109"/>
        <v>A</v>
      </c>
      <c r="F1176" s="3" t="str">
        <f t="shared" si="110"/>
        <v>100</v>
      </c>
      <c r="G1176" s="3" t="str">
        <f t="shared" si="111"/>
        <v>MI</v>
      </c>
      <c r="H1176" s="3" t="str">
        <f t="shared" si="112"/>
        <v>000</v>
      </c>
      <c r="I1176" s="3" t="str">
        <f t="shared" si="113"/>
        <v>02</v>
      </c>
      <c r="L1176" s="3" t="s">
        <v>3309</v>
      </c>
      <c r="R1176" s="3" t="s">
        <v>6544</v>
      </c>
      <c r="S1176" s="15">
        <v>7</v>
      </c>
    </row>
    <row r="1177" spans="1:19" ht="45" x14ac:dyDescent="0.25">
      <c r="A1177" s="4" t="s">
        <v>6545</v>
      </c>
      <c r="B1177" s="4" t="s">
        <v>6546</v>
      </c>
      <c r="C1177" s="4" t="s">
        <v>6547</v>
      </c>
      <c r="D1177" s="3" t="str">
        <f t="shared" si="108"/>
        <v>PRT</v>
      </c>
      <c r="E1177" s="3" t="str">
        <f t="shared" si="109"/>
        <v>A</v>
      </c>
      <c r="F1177" s="3" t="str">
        <f t="shared" si="110"/>
        <v>016</v>
      </c>
      <c r="G1177" s="3" t="str">
        <f t="shared" si="111"/>
        <v>DN</v>
      </c>
      <c r="H1177" s="3" t="str">
        <f t="shared" si="112"/>
        <v>001</v>
      </c>
      <c r="I1177" s="3" t="str">
        <f t="shared" si="113"/>
        <v>02</v>
      </c>
      <c r="L1177" s="3" t="s">
        <v>3245</v>
      </c>
      <c r="R1177" s="3" t="s">
        <v>6548</v>
      </c>
      <c r="S1177" s="15" t="s">
        <v>3247</v>
      </c>
    </row>
    <row r="1178" spans="1:19" ht="30" x14ac:dyDescent="0.25">
      <c r="A1178" s="4" t="s">
        <v>6549</v>
      </c>
      <c r="B1178" s="4" t="s">
        <v>6546</v>
      </c>
      <c r="C1178" s="4" t="s">
        <v>6550</v>
      </c>
      <c r="D1178" s="3" t="str">
        <f t="shared" si="108"/>
        <v>PRT</v>
      </c>
      <c r="E1178" s="3" t="str">
        <f t="shared" si="109"/>
        <v>A</v>
      </c>
      <c r="F1178" s="3" t="str">
        <f t="shared" si="110"/>
        <v>016</v>
      </c>
      <c r="G1178" s="3" t="str">
        <f t="shared" si="111"/>
        <v>SI</v>
      </c>
      <c r="H1178" s="3" t="str">
        <f t="shared" si="112"/>
        <v>008</v>
      </c>
      <c r="I1178" s="3" t="str">
        <f t="shared" si="113"/>
        <v>01</v>
      </c>
      <c r="L1178" s="3" t="s">
        <v>3309</v>
      </c>
      <c r="R1178" s="3" t="s">
        <v>6551</v>
      </c>
      <c r="S1178" s="15" t="s">
        <v>3247</v>
      </c>
    </row>
    <row r="1179" spans="1:19" ht="30" x14ac:dyDescent="0.25">
      <c r="A1179" s="4" t="s">
        <v>6552</v>
      </c>
      <c r="B1179" s="4" t="s">
        <v>6546</v>
      </c>
      <c r="C1179" s="4" t="s">
        <v>6553</v>
      </c>
      <c r="D1179" s="3" t="str">
        <f t="shared" si="108"/>
        <v>PRT</v>
      </c>
      <c r="E1179" s="3" t="str">
        <f t="shared" si="109"/>
        <v>S</v>
      </c>
      <c r="F1179" s="3" t="str">
        <f t="shared" si="110"/>
        <v>016</v>
      </c>
      <c r="G1179" s="3" t="str">
        <f t="shared" si="111"/>
        <v>EN</v>
      </c>
      <c r="H1179" s="3" t="str">
        <f t="shared" si="112"/>
        <v>100</v>
      </c>
      <c r="I1179" s="3" t="str">
        <f t="shared" si="113"/>
        <v>01</v>
      </c>
      <c r="L1179" s="3" t="s">
        <v>3309</v>
      </c>
      <c r="R1179" s="3" t="s">
        <v>6554</v>
      </c>
      <c r="S1179" s="15" t="s">
        <v>3247</v>
      </c>
    </row>
    <row r="1180" spans="1:19" ht="30" x14ac:dyDescent="0.25">
      <c r="A1180" s="4" t="s">
        <v>6555</v>
      </c>
      <c r="B1180" s="4" t="s">
        <v>6546</v>
      </c>
      <c r="C1180" s="4" t="s">
        <v>6553</v>
      </c>
      <c r="D1180" s="3" t="str">
        <f t="shared" si="108"/>
        <v>PRT</v>
      </c>
      <c r="E1180" s="3" t="str">
        <f t="shared" si="109"/>
        <v>A</v>
      </c>
      <c r="F1180" s="3" t="str">
        <f t="shared" si="110"/>
        <v>016</v>
      </c>
      <c r="G1180" s="3" t="str">
        <f t="shared" si="111"/>
        <v>NA</v>
      </c>
      <c r="H1180" s="3" t="str">
        <f t="shared" si="112"/>
        <v>000</v>
      </c>
      <c r="I1180" s="3" t="str">
        <f t="shared" si="113"/>
        <v>00</v>
      </c>
      <c r="L1180" s="3" t="s">
        <v>3309</v>
      </c>
      <c r="R1180" s="3" t="s">
        <v>6556</v>
      </c>
      <c r="S1180" s="15">
        <v>274</v>
      </c>
    </row>
    <row r="1181" spans="1:19" ht="30" x14ac:dyDescent="0.25">
      <c r="A1181" s="4" t="s">
        <v>6557</v>
      </c>
      <c r="B1181" s="4" t="s">
        <v>6546</v>
      </c>
      <c r="C1181" s="4" t="s">
        <v>6558</v>
      </c>
      <c r="D1181" s="3" t="str">
        <f t="shared" si="108"/>
        <v>PRT</v>
      </c>
      <c r="E1181" s="3" t="str">
        <f t="shared" si="109"/>
        <v>A</v>
      </c>
      <c r="F1181" s="3" t="str">
        <f t="shared" si="110"/>
        <v>016</v>
      </c>
      <c r="G1181" s="3" t="str">
        <f t="shared" si="111"/>
        <v>MI</v>
      </c>
      <c r="H1181" s="3" t="str">
        <f t="shared" si="112"/>
        <v>007</v>
      </c>
      <c r="I1181" s="3" t="str">
        <f t="shared" si="113"/>
        <v>01</v>
      </c>
      <c r="L1181" s="3" t="s">
        <v>3309</v>
      </c>
      <c r="R1181" s="3" t="s">
        <v>6559</v>
      </c>
      <c r="S1181" s="15" t="s">
        <v>3247</v>
      </c>
    </row>
    <row r="1182" spans="1:19" x14ac:dyDescent="0.25">
      <c r="A1182" s="4" t="s">
        <v>6560</v>
      </c>
      <c r="B1182" s="4" t="s">
        <v>6546</v>
      </c>
      <c r="C1182" s="4" t="s">
        <v>6561</v>
      </c>
      <c r="D1182" s="3" t="str">
        <f t="shared" si="108"/>
        <v>PRT</v>
      </c>
      <c r="E1182" s="3" t="str">
        <f t="shared" si="109"/>
        <v>A</v>
      </c>
      <c r="F1182" s="3" t="str">
        <f t="shared" si="110"/>
        <v>016</v>
      </c>
      <c r="G1182" s="3" t="str">
        <f t="shared" si="111"/>
        <v>MI</v>
      </c>
      <c r="H1182" s="3" t="str">
        <f t="shared" si="112"/>
        <v>000</v>
      </c>
      <c r="I1182" s="3" t="str">
        <f t="shared" si="113"/>
        <v>01</v>
      </c>
      <c r="L1182" s="3" t="s">
        <v>3309</v>
      </c>
      <c r="R1182" s="3" t="s">
        <v>6562</v>
      </c>
      <c r="S1182" s="15" t="s">
        <v>3247</v>
      </c>
    </row>
    <row r="1183" spans="1:19" x14ac:dyDescent="0.25">
      <c r="A1183" s="4" t="s">
        <v>6563</v>
      </c>
      <c r="B1183" s="4" t="s">
        <v>6564</v>
      </c>
      <c r="C1183" s="4" t="s">
        <v>6565</v>
      </c>
      <c r="D1183" s="3" t="str">
        <f t="shared" si="108"/>
        <v>PRT</v>
      </c>
      <c r="E1183" s="3" t="str">
        <f t="shared" si="109"/>
        <v>A</v>
      </c>
      <c r="F1183" s="3" t="str">
        <f t="shared" si="110"/>
        <v>020</v>
      </c>
      <c r="G1183" s="3" t="str">
        <f t="shared" si="111"/>
        <v>XT</v>
      </c>
      <c r="H1183" s="3" t="str">
        <f t="shared" si="112"/>
        <v>009</v>
      </c>
      <c r="I1183" s="3" t="str">
        <f t="shared" si="113"/>
        <v>01</v>
      </c>
      <c r="L1183" s="3" t="s">
        <v>3309</v>
      </c>
      <c r="R1183" s="3" t="s">
        <v>6566</v>
      </c>
      <c r="S1183" s="15" t="s">
        <v>3247</v>
      </c>
    </row>
    <row r="1184" spans="1:19" x14ac:dyDescent="0.25">
      <c r="A1184" s="4" t="s">
        <v>6567</v>
      </c>
      <c r="B1184" s="4" t="s">
        <v>6568</v>
      </c>
      <c r="C1184" s="4" t="s">
        <v>6569</v>
      </c>
      <c r="D1184" s="3" t="str">
        <f t="shared" si="108"/>
        <v>PRT</v>
      </c>
      <c r="E1184" s="3" t="str">
        <f t="shared" si="109"/>
        <v>A</v>
      </c>
      <c r="F1184" s="3" t="str">
        <f t="shared" si="110"/>
        <v>025</v>
      </c>
      <c r="G1184" s="3" t="str">
        <f t="shared" si="111"/>
        <v>BA</v>
      </c>
      <c r="H1184" s="3" t="str">
        <f t="shared" si="112"/>
        <v>005</v>
      </c>
      <c r="I1184" s="3" t="str">
        <f t="shared" si="113"/>
        <v>02</v>
      </c>
      <c r="L1184" s="3" t="s">
        <v>3309</v>
      </c>
      <c r="R1184" s="3" t="s">
        <v>6570</v>
      </c>
      <c r="S1184" s="15" t="s">
        <v>3247</v>
      </c>
    </row>
    <row r="1185" spans="1:19" x14ac:dyDescent="0.25">
      <c r="A1185" s="4" t="s">
        <v>6571</v>
      </c>
      <c r="B1185" s="4" t="s">
        <v>6568</v>
      </c>
      <c r="C1185" s="4" t="s">
        <v>6572</v>
      </c>
      <c r="D1185" s="3" t="str">
        <f t="shared" si="108"/>
        <v>PRT</v>
      </c>
      <c r="E1185" s="3" t="str">
        <f t="shared" si="109"/>
        <v>A</v>
      </c>
      <c r="F1185" s="3" t="str">
        <f t="shared" si="110"/>
        <v>025</v>
      </c>
      <c r="G1185" s="3" t="str">
        <f t="shared" si="111"/>
        <v>DN</v>
      </c>
      <c r="H1185" s="3" t="str">
        <f t="shared" si="112"/>
        <v>000</v>
      </c>
      <c r="I1185" s="3" t="str">
        <f t="shared" si="113"/>
        <v>02</v>
      </c>
      <c r="L1185" s="3" t="s">
        <v>3309</v>
      </c>
      <c r="R1185" s="3" t="s">
        <v>6573</v>
      </c>
      <c r="S1185" s="15" t="s">
        <v>3247</v>
      </c>
    </row>
    <row r="1186" spans="1:19" ht="30" x14ac:dyDescent="0.25">
      <c r="A1186" s="4" t="s">
        <v>6574</v>
      </c>
      <c r="B1186" s="4" t="s">
        <v>6568</v>
      </c>
      <c r="C1186" s="4" t="s">
        <v>6575</v>
      </c>
      <c r="D1186" s="3" t="str">
        <f t="shared" si="108"/>
        <v>PRT</v>
      </c>
      <c r="E1186" s="3" t="str">
        <f t="shared" si="109"/>
        <v>A</v>
      </c>
      <c r="F1186" s="3" t="str">
        <f t="shared" si="110"/>
        <v>025</v>
      </c>
      <c r="G1186" s="3" t="str">
        <f t="shared" si="111"/>
        <v>MI</v>
      </c>
      <c r="H1186" s="3" t="str">
        <f t="shared" si="112"/>
        <v>000</v>
      </c>
      <c r="I1186" s="3" t="str">
        <f t="shared" si="113"/>
        <v>01</v>
      </c>
      <c r="L1186" s="3" t="s">
        <v>3309</v>
      </c>
      <c r="R1186" s="3" t="s">
        <v>6576</v>
      </c>
      <c r="S1186" s="15">
        <v>4</v>
      </c>
    </row>
    <row r="1187" spans="1:19" ht="30" x14ac:dyDescent="0.25">
      <c r="A1187" s="4" t="s">
        <v>6577</v>
      </c>
      <c r="B1187" s="4" t="s">
        <v>6578</v>
      </c>
      <c r="C1187" s="4" t="s">
        <v>6579</v>
      </c>
      <c r="D1187" s="3" t="str">
        <f t="shared" si="108"/>
        <v>SER</v>
      </c>
      <c r="E1187" s="3" t="str">
        <f t="shared" si="109"/>
        <v>A</v>
      </c>
      <c r="F1187" s="3" t="str">
        <f t="shared" si="110"/>
        <v>001</v>
      </c>
      <c r="G1187" s="3" t="str">
        <f t="shared" si="111"/>
        <v>GI</v>
      </c>
      <c r="H1187" s="3" t="str">
        <f t="shared" si="112"/>
        <v>523</v>
      </c>
      <c r="I1187" s="3" t="str">
        <f t="shared" si="113"/>
        <v>80</v>
      </c>
      <c r="L1187" s="3" t="s">
        <v>3245</v>
      </c>
      <c r="R1187" s="3" t="s">
        <v>6580</v>
      </c>
      <c r="S1187" s="15" t="s">
        <v>3247</v>
      </c>
    </row>
    <row r="1188" spans="1:19" x14ac:dyDescent="0.25">
      <c r="A1188" s="4" t="s">
        <v>6581</v>
      </c>
      <c r="B1188" s="4" t="s">
        <v>6578</v>
      </c>
      <c r="C1188" s="4" t="s">
        <v>6582</v>
      </c>
      <c r="D1188" s="3" t="str">
        <f t="shared" si="108"/>
        <v>SER</v>
      </c>
      <c r="E1188" s="3" t="str">
        <f t="shared" si="109"/>
        <v>E</v>
      </c>
      <c r="F1188" s="3" t="str">
        <f t="shared" si="110"/>
        <v>210</v>
      </c>
      <c r="G1188" s="3" t="str">
        <f t="shared" si="111"/>
        <v>TL</v>
      </c>
      <c r="H1188" s="3" t="str">
        <f t="shared" si="112"/>
        <v>810</v>
      </c>
      <c r="I1188" s="3" t="str">
        <f t="shared" si="113"/>
        <v>40</v>
      </c>
      <c r="L1188" s="3" t="s">
        <v>3309</v>
      </c>
      <c r="R1188" s="3" t="s">
        <v>6583</v>
      </c>
      <c r="S1188" s="15" t="s">
        <v>3247</v>
      </c>
    </row>
    <row r="1189" spans="1:19" x14ac:dyDescent="0.25">
      <c r="A1189" s="4" t="s">
        <v>6584</v>
      </c>
      <c r="B1189" s="4" t="s">
        <v>6578</v>
      </c>
      <c r="C1189" s="4" t="s">
        <v>6585</v>
      </c>
      <c r="D1189" s="3" t="str">
        <f t="shared" si="108"/>
        <v>SER</v>
      </c>
      <c r="E1189" s="3" t="str">
        <f t="shared" si="109"/>
        <v>E</v>
      </c>
      <c r="F1189" s="3" t="str">
        <f t="shared" si="110"/>
        <v>211</v>
      </c>
      <c r="G1189" s="3" t="str">
        <f t="shared" si="111"/>
        <v>TL</v>
      </c>
      <c r="H1189" s="3" t="str">
        <f t="shared" si="112"/>
        <v>810</v>
      </c>
      <c r="I1189" s="3" t="str">
        <f t="shared" si="113"/>
        <v>40</v>
      </c>
      <c r="L1189" s="3" t="s">
        <v>3309</v>
      </c>
      <c r="R1189" s="3" t="s">
        <v>6586</v>
      </c>
      <c r="S1189" s="15" t="s">
        <v>3247</v>
      </c>
    </row>
    <row r="1190" spans="1:19" x14ac:dyDescent="0.25">
      <c r="A1190" s="4" t="s">
        <v>6587</v>
      </c>
      <c r="B1190" s="4" t="s">
        <v>6578</v>
      </c>
      <c r="C1190" s="4" t="s">
        <v>6588</v>
      </c>
      <c r="D1190" s="3" t="str">
        <f t="shared" si="108"/>
        <v>SER</v>
      </c>
      <c r="E1190" s="3" t="str">
        <f t="shared" si="109"/>
        <v>D</v>
      </c>
      <c r="F1190" s="3" t="str">
        <f t="shared" si="110"/>
        <v>003</v>
      </c>
      <c r="G1190" s="3" t="str">
        <f t="shared" si="111"/>
        <v>BA</v>
      </c>
      <c r="H1190" s="3" t="str">
        <f t="shared" si="112"/>
        <v>613</v>
      </c>
      <c r="I1190" s="3" t="str">
        <f t="shared" si="113"/>
        <v>90</v>
      </c>
      <c r="L1190" s="3" t="s">
        <v>3309</v>
      </c>
      <c r="R1190" s="3" t="s">
        <v>6589</v>
      </c>
      <c r="S1190" s="15" t="s">
        <v>3247</v>
      </c>
    </row>
    <row r="1191" spans="1:19" x14ac:dyDescent="0.25">
      <c r="A1191" s="4" t="s">
        <v>6590</v>
      </c>
      <c r="B1191" s="4" t="s">
        <v>6578</v>
      </c>
      <c r="C1191" s="4" t="s">
        <v>6591</v>
      </c>
      <c r="D1191" s="3" t="str">
        <f t="shared" si="108"/>
        <v>SER</v>
      </c>
      <c r="E1191" s="3" t="str">
        <f t="shared" si="109"/>
        <v>E</v>
      </c>
      <c r="F1191" s="3" t="str">
        <f t="shared" si="110"/>
        <v>212</v>
      </c>
      <c r="G1191" s="3" t="str">
        <f t="shared" si="111"/>
        <v>TL</v>
      </c>
      <c r="H1191" s="3" t="str">
        <f t="shared" si="112"/>
        <v>810</v>
      </c>
      <c r="I1191" s="3" t="str">
        <f t="shared" si="113"/>
        <v>40</v>
      </c>
      <c r="L1191" s="3" t="s">
        <v>3309</v>
      </c>
      <c r="R1191" s="3" t="s">
        <v>6592</v>
      </c>
      <c r="S1191" s="15" t="s">
        <v>3247</v>
      </c>
    </row>
    <row r="1192" spans="1:19" x14ac:dyDescent="0.25">
      <c r="A1192" s="4" t="s">
        <v>6593</v>
      </c>
      <c r="B1192" s="4" t="s">
        <v>6578</v>
      </c>
      <c r="C1192" s="4" t="s">
        <v>6594</v>
      </c>
      <c r="D1192" s="3" t="str">
        <f t="shared" si="108"/>
        <v>SER</v>
      </c>
      <c r="E1192" s="3" t="str">
        <f t="shared" si="109"/>
        <v>B</v>
      </c>
      <c r="F1192" s="3" t="str">
        <f t="shared" si="110"/>
        <v>002</v>
      </c>
      <c r="G1192" s="3" t="str">
        <f t="shared" si="111"/>
        <v>DE</v>
      </c>
      <c r="H1192" s="3" t="str">
        <f t="shared" si="112"/>
        <v>523</v>
      </c>
      <c r="I1192" s="3" t="str">
        <f t="shared" si="113"/>
        <v>50</v>
      </c>
      <c r="L1192" s="3" t="s">
        <v>3309</v>
      </c>
      <c r="R1192" s="3" t="s">
        <v>6595</v>
      </c>
      <c r="S1192" s="15" t="s">
        <v>3247</v>
      </c>
    </row>
    <row r="1193" spans="1:19" x14ac:dyDescent="0.25">
      <c r="A1193" s="4" t="s">
        <v>6596</v>
      </c>
      <c r="B1193" s="4" t="s">
        <v>6578</v>
      </c>
      <c r="C1193" s="4" t="s">
        <v>6597</v>
      </c>
      <c r="D1193" s="3" t="str">
        <f t="shared" si="108"/>
        <v>SER</v>
      </c>
      <c r="E1193" s="3" t="str">
        <f t="shared" si="109"/>
        <v>A</v>
      </c>
      <c r="F1193" s="3" t="str">
        <f t="shared" si="110"/>
        <v>001</v>
      </c>
      <c r="G1193" s="3" t="str">
        <f t="shared" si="111"/>
        <v>DH</v>
      </c>
      <c r="H1193" s="3" t="str">
        <f t="shared" si="112"/>
        <v>410</v>
      </c>
      <c r="I1193" s="3" t="str">
        <f t="shared" si="113"/>
        <v>70</v>
      </c>
      <c r="L1193" s="3" t="s">
        <v>3245</v>
      </c>
      <c r="R1193" s="3" t="s">
        <v>6598</v>
      </c>
      <c r="S1193" s="15" t="s">
        <v>3247</v>
      </c>
    </row>
    <row r="1194" spans="1:19" x14ac:dyDescent="0.25">
      <c r="A1194" s="4" t="s">
        <v>6599</v>
      </c>
      <c r="B1194" s="4" t="s">
        <v>6578</v>
      </c>
      <c r="C1194" s="4" t="s">
        <v>6600</v>
      </c>
      <c r="D1194" s="3" t="str">
        <f t="shared" si="108"/>
        <v>SER</v>
      </c>
      <c r="E1194" s="3" t="str">
        <f t="shared" si="109"/>
        <v>A</v>
      </c>
      <c r="F1194" s="3" t="str">
        <f t="shared" si="110"/>
        <v>001</v>
      </c>
      <c r="G1194" s="3" t="str">
        <f t="shared" si="111"/>
        <v>TR</v>
      </c>
      <c r="H1194" s="3" t="str">
        <f t="shared" si="112"/>
        <v>409</v>
      </c>
      <c r="I1194" s="3" t="str">
        <f t="shared" si="113"/>
        <v>70</v>
      </c>
      <c r="L1194" s="3" t="s">
        <v>3309</v>
      </c>
      <c r="R1194" s="3" t="s">
        <v>6601</v>
      </c>
      <c r="S1194" s="15" t="s">
        <v>3247</v>
      </c>
    </row>
    <row r="1195" spans="1:19" x14ac:dyDescent="0.25">
      <c r="A1195" s="4" t="s">
        <v>6602</v>
      </c>
      <c r="B1195" s="4" t="s">
        <v>6578</v>
      </c>
      <c r="C1195" s="4" t="s">
        <v>6603</v>
      </c>
      <c r="D1195" s="3" t="str">
        <f t="shared" si="108"/>
        <v>SER</v>
      </c>
      <c r="E1195" s="3" t="str">
        <f t="shared" si="109"/>
        <v>F</v>
      </c>
      <c r="F1195" s="3" t="str">
        <f t="shared" si="110"/>
        <v>002</v>
      </c>
      <c r="G1195" s="3" t="str">
        <f t="shared" si="111"/>
        <v>TE</v>
      </c>
      <c r="H1195" s="3" t="str">
        <f t="shared" si="112"/>
        <v>407</v>
      </c>
      <c r="I1195" s="3" t="str">
        <f t="shared" si="113"/>
        <v>30</v>
      </c>
      <c r="L1195" s="3" t="s">
        <v>3309</v>
      </c>
      <c r="R1195" s="3" t="s">
        <v>6604</v>
      </c>
      <c r="S1195" s="15" t="s">
        <v>3247</v>
      </c>
    </row>
    <row r="1196" spans="1:19" ht="30" x14ac:dyDescent="0.25">
      <c r="A1196" s="4" t="s">
        <v>6605</v>
      </c>
      <c r="B1196" s="4" t="s">
        <v>6578</v>
      </c>
      <c r="C1196" s="4" t="s">
        <v>6606</v>
      </c>
      <c r="D1196" s="3" t="str">
        <f t="shared" si="108"/>
        <v>SER</v>
      </c>
      <c r="E1196" s="3" t="str">
        <f t="shared" si="109"/>
        <v>F</v>
      </c>
      <c r="F1196" s="3" t="str">
        <f t="shared" si="110"/>
        <v>002</v>
      </c>
      <c r="G1196" s="3" t="str">
        <f t="shared" si="111"/>
        <v>NA</v>
      </c>
      <c r="H1196" s="3" t="str">
        <f t="shared" si="112"/>
        <v>407</v>
      </c>
      <c r="I1196" s="3" t="str">
        <f t="shared" si="113"/>
        <v>30</v>
      </c>
      <c r="L1196" s="3" t="s">
        <v>3309</v>
      </c>
      <c r="R1196" s="3" t="s">
        <v>6607</v>
      </c>
      <c r="S1196" s="15" t="s">
        <v>3247</v>
      </c>
    </row>
    <row r="1197" spans="1:19" x14ac:dyDescent="0.25">
      <c r="A1197" s="4" t="s">
        <v>6608</v>
      </c>
      <c r="B1197" s="4" t="s">
        <v>6578</v>
      </c>
      <c r="C1197" s="4" t="s">
        <v>6609</v>
      </c>
      <c r="D1197" s="3" t="str">
        <f t="shared" si="108"/>
        <v>SER</v>
      </c>
      <c r="E1197" s="3" t="str">
        <f t="shared" si="109"/>
        <v>B</v>
      </c>
      <c r="F1197" s="3" t="str">
        <f t="shared" si="110"/>
        <v>002</v>
      </c>
      <c r="G1197" s="3" t="str">
        <f t="shared" si="111"/>
        <v>VI</v>
      </c>
      <c r="H1197" s="3" t="str">
        <f t="shared" si="112"/>
        <v>408</v>
      </c>
      <c r="I1197" s="3" t="str">
        <f t="shared" si="113"/>
        <v>00</v>
      </c>
      <c r="L1197" s="3" t="s">
        <v>3309</v>
      </c>
      <c r="R1197" s="3" t="s">
        <v>6610</v>
      </c>
      <c r="S1197" s="15" t="s">
        <v>3247</v>
      </c>
    </row>
    <row r="1198" spans="1:19" ht="30" x14ac:dyDescent="0.25">
      <c r="A1198" s="4" t="s">
        <v>6611</v>
      </c>
      <c r="B1198" s="4" t="s">
        <v>6578</v>
      </c>
      <c r="C1198" s="4" t="s">
        <v>6612</v>
      </c>
      <c r="D1198" s="3" t="str">
        <f t="shared" si="108"/>
        <v>SER</v>
      </c>
      <c r="E1198" s="3" t="str">
        <f t="shared" si="109"/>
        <v>D</v>
      </c>
      <c r="F1198" s="3" t="str">
        <f t="shared" si="110"/>
        <v>003</v>
      </c>
      <c r="G1198" s="3" t="str">
        <f t="shared" si="111"/>
        <v>NU</v>
      </c>
      <c r="H1198" s="3" t="str">
        <f t="shared" si="112"/>
        <v>523</v>
      </c>
      <c r="I1198" s="3" t="str">
        <f t="shared" si="113"/>
        <v>90</v>
      </c>
      <c r="L1198" s="3" t="s">
        <v>3309</v>
      </c>
      <c r="R1198" s="3" t="s">
        <v>6613</v>
      </c>
      <c r="S1198" s="15" t="s">
        <v>3247</v>
      </c>
    </row>
    <row r="1199" spans="1:19" ht="30" x14ac:dyDescent="0.25">
      <c r="A1199" s="4" t="s">
        <v>6614</v>
      </c>
      <c r="B1199" s="4" t="s">
        <v>6578</v>
      </c>
      <c r="C1199" s="4" t="s">
        <v>6615</v>
      </c>
      <c r="D1199" s="3" t="str">
        <f t="shared" si="108"/>
        <v>SER</v>
      </c>
      <c r="E1199" s="3" t="str">
        <f t="shared" si="109"/>
        <v>A</v>
      </c>
      <c r="F1199" s="3" t="str">
        <f t="shared" si="110"/>
        <v>005</v>
      </c>
      <c r="G1199" s="3" t="str">
        <f t="shared" si="111"/>
        <v>PA</v>
      </c>
      <c r="H1199" s="3" t="str">
        <f t="shared" si="112"/>
        <v>523</v>
      </c>
      <c r="I1199" s="3" t="str">
        <f t="shared" si="113"/>
        <v>80</v>
      </c>
      <c r="L1199" s="3" t="s">
        <v>3309</v>
      </c>
      <c r="R1199" s="3" t="s">
        <v>6616</v>
      </c>
      <c r="S1199" s="15" t="s">
        <v>3247</v>
      </c>
    </row>
    <row r="1200" spans="1:19" x14ac:dyDescent="0.25">
      <c r="A1200" s="4" t="s">
        <v>6617</v>
      </c>
      <c r="B1200" s="4" t="s">
        <v>6578</v>
      </c>
      <c r="C1200" s="4" t="s">
        <v>6618</v>
      </c>
      <c r="D1200" s="3" t="str">
        <f t="shared" si="108"/>
        <v>SER</v>
      </c>
      <c r="E1200" s="3" t="str">
        <f t="shared" si="109"/>
        <v>B</v>
      </c>
      <c r="F1200" s="3" t="str">
        <f t="shared" si="110"/>
        <v>000</v>
      </c>
      <c r="G1200" s="3" t="str">
        <f t="shared" si="111"/>
        <v>DE</v>
      </c>
      <c r="H1200" s="3" t="str">
        <f t="shared" si="112"/>
        <v>523</v>
      </c>
      <c r="I1200" s="3" t="str">
        <f t="shared" si="113"/>
        <v>80</v>
      </c>
      <c r="L1200" s="3" t="s">
        <v>3309</v>
      </c>
      <c r="R1200" s="3" t="s">
        <v>6619</v>
      </c>
      <c r="S1200" s="15" t="s">
        <v>3247</v>
      </c>
    </row>
    <row r="1201" spans="1:19" x14ac:dyDescent="0.25">
      <c r="A1201" s="4" t="s">
        <v>6620</v>
      </c>
      <c r="B1201" s="4" t="s">
        <v>6578</v>
      </c>
      <c r="C1201" s="4" t="s">
        <v>6621</v>
      </c>
      <c r="D1201" s="3" t="str">
        <f t="shared" si="108"/>
        <v>SER</v>
      </c>
      <c r="E1201" s="3" t="str">
        <f t="shared" si="109"/>
        <v>B</v>
      </c>
      <c r="F1201" s="3" t="str">
        <f t="shared" si="110"/>
        <v>000</v>
      </c>
      <c r="G1201" s="3" t="str">
        <f t="shared" si="111"/>
        <v>DE</v>
      </c>
      <c r="H1201" s="3" t="str">
        <f t="shared" si="112"/>
        <v>523</v>
      </c>
      <c r="I1201" s="3" t="str">
        <f t="shared" si="113"/>
        <v>90</v>
      </c>
      <c r="L1201" s="3" t="s">
        <v>3309</v>
      </c>
      <c r="R1201" s="3" t="s">
        <v>6622</v>
      </c>
      <c r="S1201" s="15" t="s">
        <v>3247</v>
      </c>
    </row>
    <row r="1202" spans="1:19" x14ac:dyDescent="0.25">
      <c r="A1202" s="4" t="s">
        <v>6623</v>
      </c>
      <c r="B1202" s="4" t="s">
        <v>6578</v>
      </c>
      <c r="C1202" s="4" t="s">
        <v>6624</v>
      </c>
      <c r="D1202" s="3" t="str">
        <f t="shared" si="108"/>
        <v>SER</v>
      </c>
      <c r="E1202" s="3" t="str">
        <f t="shared" si="109"/>
        <v>E</v>
      </c>
      <c r="F1202" s="3" t="str">
        <f t="shared" si="110"/>
        <v>001</v>
      </c>
      <c r="G1202" s="3" t="str">
        <f t="shared" si="111"/>
        <v>PQ</v>
      </c>
      <c r="H1202" s="3" t="str">
        <f t="shared" si="112"/>
        <v>810</v>
      </c>
      <c r="I1202" s="3" t="str">
        <f t="shared" si="113"/>
        <v>40</v>
      </c>
      <c r="L1202" s="3" t="s">
        <v>3309</v>
      </c>
      <c r="R1202" s="3" t="s">
        <v>6625</v>
      </c>
      <c r="S1202" s="15" t="s">
        <v>3247</v>
      </c>
    </row>
    <row r="1203" spans="1:19" x14ac:dyDescent="0.25">
      <c r="A1203" s="4" t="s">
        <v>6626</v>
      </c>
      <c r="B1203" s="4" t="s">
        <v>6578</v>
      </c>
      <c r="C1203" s="4" t="s">
        <v>6627</v>
      </c>
      <c r="D1203" s="3" t="str">
        <f t="shared" si="108"/>
        <v>SER</v>
      </c>
      <c r="E1203" s="3" t="str">
        <f t="shared" si="109"/>
        <v>E</v>
      </c>
      <c r="F1203" s="3" t="str">
        <f t="shared" si="110"/>
        <v>101</v>
      </c>
      <c r="G1203" s="3" t="str">
        <f t="shared" si="111"/>
        <v>PQ</v>
      </c>
      <c r="H1203" s="3" t="str">
        <f t="shared" si="112"/>
        <v>810</v>
      </c>
      <c r="I1203" s="3" t="str">
        <f t="shared" si="113"/>
        <v>40</v>
      </c>
      <c r="L1203" s="3" t="s">
        <v>3309</v>
      </c>
      <c r="R1203" s="3" t="s">
        <v>6628</v>
      </c>
      <c r="S1203" s="15" t="s">
        <v>3247</v>
      </c>
    </row>
    <row r="1204" spans="1:19" x14ac:dyDescent="0.25">
      <c r="A1204" s="4" t="s">
        <v>6629</v>
      </c>
      <c r="B1204" s="4" t="s">
        <v>6578</v>
      </c>
      <c r="C1204" s="4" t="s">
        <v>6630</v>
      </c>
      <c r="D1204" s="3" t="str">
        <f t="shared" si="108"/>
        <v>SER</v>
      </c>
      <c r="E1204" s="3" t="str">
        <f t="shared" si="109"/>
        <v>E</v>
      </c>
      <c r="F1204" s="3" t="str">
        <f t="shared" si="110"/>
        <v>203</v>
      </c>
      <c r="G1204" s="3" t="str">
        <f t="shared" si="111"/>
        <v>PQ</v>
      </c>
      <c r="H1204" s="3" t="str">
        <f t="shared" si="112"/>
        <v>810</v>
      </c>
      <c r="I1204" s="3" t="str">
        <f t="shared" si="113"/>
        <v>40</v>
      </c>
      <c r="L1204" s="3" t="s">
        <v>3309</v>
      </c>
      <c r="R1204" s="3" t="s">
        <v>6631</v>
      </c>
      <c r="S1204" s="15" t="s">
        <v>3247</v>
      </c>
    </row>
    <row r="1205" spans="1:19" x14ac:dyDescent="0.25">
      <c r="A1205" s="4" t="s">
        <v>6632</v>
      </c>
      <c r="B1205" s="4" t="s">
        <v>6578</v>
      </c>
      <c r="C1205" s="4" t="s">
        <v>6633</v>
      </c>
      <c r="D1205" s="3" t="str">
        <f t="shared" si="108"/>
        <v>SER</v>
      </c>
      <c r="E1205" s="3" t="str">
        <f t="shared" si="109"/>
        <v>F</v>
      </c>
      <c r="F1205" s="3" t="str">
        <f t="shared" si="110"/>
        <v>007</v>
      </c>
      <c r="G1205" s="3" t="str">
        <f t="shared" si="111"/>
        <v>VR</v>
      </c>
      <c r="H1205" s="3" t="str">
        <f t="shared" si="112"/>
        <v>810</v>
      </c>
      <c r="I1205" s="3" t="str">
        <f t="shared" si="113"/>
        <v>40</v>
      </c>
      <c r="L1205" s="3" t="s">
        <v>3309</v>
      </c>
      <c r="R1205" s="3" t="s">
        <v>6634</v>
      </c>
      <c r="S1205" s="15" t="s">
        <v>3247</v>
      </c>
    </row>
    <row r="1206" spans="1:19" x14ac:dyDescent="0.25">
      <c r="A1206" s="4" t="s">
        <v>6635</v>
      </c>
      <c r="B1206" s="4" t="s">
        <v>6578</v>
      </c>
      <c r="C1206" s="4" t="s">
        <v>6636</v>
      </c>
      <c r="D1206" s="3" t="str">
        <f t="shared" si="108"/>
        <v>SER</v>
      </c>
      <c r="E1206" s="3" t="str">
        <f t="shared" si="109"/>
        <v>F</v>
      </c>
      <c r="F1206" s="3" t="str">
        <f t="shared" si="110"/>
        <v>008</v>
      </c>
      <c r="G1206" s="3" t="str">
        <f t="shared" si="111"/>
        <v>KV</v>
      </c>
      <c r="H1206" s="3" t="str">
        <f t="shared" si="112"/>
        <v>407</v>
      </c>
      <c r="I1206" s="3" t="str">
        <f t="shared" si="113"/>
        <v>30</v>
      </c>
      <c r="L1206" s="3" t="s">
        <v>3309</v>
      </c>
      <c r="R1206" s="3" t="s">
        <v>6637</v>
      </c>
      <c r="S1206" s="15" t="s">
        <v>3247</v>
      </c>
    </row>
    <row r="1207" spans="1:19" ht="30" x14ac:dyDescent="0.25">
      <c r="A1207" s="4" t="s">
        <v>6638</v>
      </c>
      <c r="B1207" s="4" t="s">
        <v>6578</v>
      </c>
      <c r="C1207" s="4" t="s">
        <v>6639</v>
      </c>
      <c r="D1207" s="3" t="str">
        <f t="shared" si="108"/>
        <v>SER</v>
      </c>
      <c r="E1207" s="3" t="str">
        <f t="shared" si="109"/>
        <v>B</v>
      </c>
      <c r="F1207" s="3" t="str">
        <f t="shared" si="110"/>
        <v>000</v>
      </c>
      <c r="G1207" s="3" t="str">
        <f t="shared" si="111"/>
        <v>NE</v>
      </c>
      <c r="H1207" s="3" t="str">
        <f t="shared" si="112"/>
        <v>810</v>
      </c>
      <c r="I1207" s="3" t="str">
        <f t="shared" si="113"/>
        <v>40</v>
      </c>
      <c r="L1207" s="3" t="s">
        <v>3309</v>
      </c>
      <c r="R1207" s="3" t="s">
        <v>6640</v>
      </c>
      <c r="S1207" s="15" t="s">
        <v>3247</v>
      </c>
    </row>
    <row r="1208" spans="1:19" x14ac:dyDescent="0.25">
      <c r="A1208" s="4" t="s">
        <v>6641</v>
      </c>
      <c r="B1208" s="4" t="s">
        <v>6578</v>
      </c>
      <c r="C1208" s="4" t="s">
        <v>6642</v>
      </c>
      <c r="D1208" s="3" t="str">
        <f t="shared" si="108"/>
        <v>SER</v>
      </c>
      <c r="E1208" s="3" t="str">
        <f t="shared" si="109"/>
        <v>E</v>
      </c>
      <c r="F1208" s="3" t="str">
        <f t="shared" si="110"/>
        <v>204</v>
      </c>
      <c r="G1208" s="3" t="str">
        <f t="shared" si="111"/>
        <v>TL</v>
      </c>
      <c r="H1208" s="3" t="str">
        <f t="shared" si="112"/>
        <v>810</v>
      </c>
      <c r="I1208" s="3" t="str">
        <f t="shared" si="113"/>
        <v>40</v>
      </c>
      <c r="L1208" s="3" t="s">
        <v>3309</v>
      </c>
      <c r="R1208" s="3" t="s">
        <v>6643</v>
      </c>
      <c r="S1208" s="15" t="s">
        <v>3247</v>
      </c>
    </row>
    <row r="1209" spans="1:19" x14ac:dyDescent="0.25">
      <c r="A1209" s="4" t="s">
        <v>6644</v>
      </c>
      <c r="B1209" s="4" t="s">
        <v>6578</v>
      </c>
      <c r="C1209" s="4" t="s">
        <v>6645</v>
      </c>
      <c r="D1209" s="3" t="str">
        <f t="shared" si="108"/>
        <v>SER</v>
      </c>
      <c r="E1209" s="3" t="str">
        <f t="shared" si="109"/>
        <v>E</v>
      </c>
      <c r="F1209" s="3" t="str">
        <f t="shared" si="110"/>
        <v>205</v>
      </c>
      <c r="G1209" s="3" t="str">
        <f t="shared" si="111"/>
        <v>TL</v>
      </c>
      <c r="H1209" s="3" t="str">
        <f t="shared" si="112"/>
        <v>810</v>
      </c>
      <c r="I1209" s="3" t="str">
        <f t="shared" si="113"/>
        <v>40</v>
      </c>
      <c r="L1209" s="3" t="s">
        <v>3309</v>
      </c>
      <c r="R1209" s="3" t="s">
        <v>6646</v>
      </c>
      <c r="S1209" s="15" t="s">
        <v>3247</v>
      </c>
    </row>
    <row r="1210" spans="1:19" ht="30" x14ac:dyDescent="0.25">
      <c r="A1210" s="4" t="s">
        <v>6647</v>
      </c>
      <c r="B1210" s="4" t="s">
        <v>6578</v>
      </c>
      <c r="C1210" s="4" t="s">
        <v>6648</v>
      </c>
      <c r="D1210" s="3" t="str">
        <f t="shared" si="108"/>
        <v>SER</v>
      </c>
      <c r="E1210" s="3" t="str">
        <f t="shared" si="109"/>
        <v>E</v>
      </c>
      <c r="F1210" s="3" t="str">
        <f t="shared" si="110"/>
        <v>206</v>
      </c>
      <c r="G1210" s="3" t="str">
        <f t="shared" si="111"/>
        <v>TL</v>
      </c>
      <c r="H1210" s="3" t="str">
        <f t="shared" si="112"/>
        <v>810</v>
      </c>
      <c r="I1210" s="3" t="str">
        <f t="shared" si="113"/>
        <v>40</v>
      </c>
      <c r="L1210" s="3" t="s">
        <v>3309</v>
      </c>
      <c r="R1210" s="3" t="s">
        <v>6649</v>
      </c>
      <c r="S1210" s="15" t="s">
        <v>3247</v>
      </c>
    </row>
    <row r="1211" spans="1:19" x14ac:dyDescent="0.25">
      <c r="A1211" s="4" t="s">
        <v>6650</v>
      </c>
      <c r="B1211" s="4" t="s">
        <v>6578</v>
      </c>
      <c r="C1211" s="4" t="s">
        <v>6651</v>
      </c>
      <c r="D1211" s="3" t="str">
        <f t="shared" si="108"/>
        <v>SER</v>
      </c>
      <c r="E1211" s="3" t="str">
        <f t="shared" si="109"/>
        <v>E</v>
      </c>
      <c r="F1211" s="3" t="str">
        <f t="shared" si="110"/>
        <v>207</v>
      </c>
      <c r="G1211" s="3" t="str">
        <f t="shared" si="111"/>
        <v>TL</v>
      </c>
      <c r="H1211" s="3" t="str">
        <f t="shared" si="112"/>
        <v>810</v>
      </c>
      <c r="I1211" s="3" t="str">
        <f t="shared" si="113"/>
        <v>40</v>
      </c>
      <c r="L1211" s="3" t="s">
        <v>3309</v>
      </c>
      <c r="R1211" s="3" t="s">
        <v>6652</v>
      </c>
      <c r="S1211" s="15" t="s">
        <v>3247</v>
      </c>
    </row>
    <row r="1212" spans="1:19" x14ac:dyDescent="0.25">
      <c r="A1212" s="4" t="s">
        <v>6653</v>
      </c>
      <c r="B1212" s="4" t="s">
        <v>6578</v>
      </c>
      <c r="C1212" s="4" t="s">
        <v>6654</v>
      </c>
      <c r="D1212" s="3" t="str">
        <f t="shared" si="108"/>
        <v>SER</v>
      </c>
      <c r="E1212" s="3" t="str">
        <f t="shared" si="109"/>
        <v>E</v>
      </c>
      <c r="F1212" s="3" t="str">
        <f t="shared" si="110"/>
        <v>213</v>
      </c>
      <c r="G1212" s="3" t="str">
        <f t="shared" si="111"/>
        <v>TL</v>
      </c>
      <c r="H1212" s="3" t="str">
        <f t="shared" si="112"/>
        <v>810</v>
      </c>
      <c r="I1212" s="3" t="str">
        <f t="shared" si="113"/>
        <v>40</v>
      </c>
      <c r="L1212" s="3" t="s">
        <v>3309</v>
      </c>
      <c r="R1212" s="3" t="s">
        <v>6655</v>
      </c>
      <c r="S1212" s="15" t="s">
        <v>3247</v>
      </c>
    </row>
    <row r="1213" spans="1:19" x14ac:dyDescent="0.25">
      <c r="A1213" s="4" t="s">
        <v>6656</v>
      </c>
      <c r="B1213" s="4" t="s">
        <v>6578</v>
      </c>
      <c r="C1213" s="4" t="s">
        <v>6657</v>
      </c>
      <c r="D1213" s="3" t="str">
        <f t="shared" si="108"/>
        <v>SER</v>
      </c>
      <c r="E1213" s="3" t="str">
        <f t="shared" si="109"/>
        <v>E</v>
      </c>
      <c r="F1213" s="3" t="str">
        <f t="shared" si="110"/>
        <v>214</v>
      </c>
      <c r="G1213" s="3" t="str">
        <f t="shared" si="111"/>
        <v>TL</v>
      </c>
      <c r="H1213" s="3" t="str">
        <f t="shared" si="112"/>
        <v>810</v>
      </c>
      <c r="I1213" s="3" t="str">
        <f t="shared" si="113"/>
        <v>40</v>
      </c>
      <c r="L1213" s="3" t="s">
        <v>3309</v>
      </c>
      <c r="R1213" s="3" t="s">
        <v>6658</v>
      </c>
      <c r="S1213" s="15" t="s">
        <v>3247</v>
      </c>
    </row>
    <row r="1214" spans="1:19" ht="30" x14ac:dyDescent="0.25">
      <c r="A1214" s="4" t="s">
        <v>6659</v>
      </c>
      <c r="B1214" s="4" t="s">
        <v>6578</v>
      </c>
      <c r="C1214" s="4" t="s">
        <v>6660</v>
      </c>
      <c r="D1214" s="3" t="str">
        <f t="shared" si="108"/>
        <v>SER</v>
      </c>
      <c r="E1214" s="3" t="str">
        <f t="shared" si="109"/>
        <v>H</v>
      </c>
      <c r="F1214" s="3" t="str">
        <f t="shared" si="110"/>
        <v>001</v>
      </c>
      <c r="G1214" s="3" t="str">
        <f t="shared" si="111"/>
        <v>RI</v>
      </c>
      <c r="H1214" s="3" t="str">
        <f t="shared" si="112"/>
        <v>810</v>
      </c>
      <c r="I1214" s="3" t="str">
        <f t="shared" si="113"/>
        <v>40</v>
      </c>
      <c r="L1214" s="3" t="s">
        <v>3309</v>
      </c>
      <c r="R1214" s="3" t="s">
        <v>6661</v>
      </c>
      <c r="S1214" s="15" t="s">
        <v>3247</v>
      </c>
    </row>
    <row r="1215" spans="1:19" x14ac:dyDescent="0.25">
      <c r="A1215" s="4" t="s">
        <v>6662</v>
      </c>
      <c r="B1215" s="4" t="s">
        <v>6578</v>
      </c>
      <c r="C1215" s="4" t="s">
        <v>6663</v>
      </c>
      <c r="D1215" s="3" t="str">
        <f t="shared" si="108"/>
        <v>SER</v>
      </c>
      <c r="E1215" s="3" t="str">
        <f t="shared" si="109"/>
        <v>A</v>
      </c>
      <c r="F1215" s="3" t="str">
        <f t="shared" si="110"/>
        <v>000</v>
      </c>
      <c r="G1215" s="3" t="str">
        <f t="shared" si="111"/>
        <v>NE</v>
      </c>
      <c r="H1215" s="3" t="str">
        <f t="shared" si="112"/>
        <v>810</v>
      </c>
      <c r="I1215" s="3" t="str">
        <f t="shared" si="113"/>
        <v>40</v>
      </c>
      <c r="L1215" s="3" t="s">
        <v>3309</v>
      </c>
      <c r="R1215" s="3" t="s">
        <v>6664</v>
      </c>
      <c r="S1215" s="15" t="s">
        <v>3247</v>
      </c>
    </row>
    <row r="1216" spans="1:19" x14ac:dyDescent="0.25">
      <c r="A1216" s="4" t="s">
        <v>6665</v>
      </c>
      <c r="B1216" s="4" t="s">
        <v>6578</v>
      </c>
      <c r="C1216" s="4" t="s">
        <v>2686</v>
      </c>
      <c r="D1216" s="3" t="str">
        <f t="shared" si="108"/>
        <v>SER</v>
      </c>
      <c r="E1216" s="3" t="str">
        <f t="shared" si="109"/>
        <v>C</v>
      </c>
      <c r="F1216" s="3" t="str">
        <f t="shared" si="110"/>
        <v>002</v>
      </c>
      <c r="G1216" s="3" t="str">
        <f t="shared" si="111"/>
        <v>SM</v>
      </c>
      <c r="H1216" s="3" t="str">
        <f t="shared" si="112"/>
        <v>523</v>
      </c>
      <c r="I1216" s="3" t="str">
        <f t="shared" si="113"/>
        <v>80</v>
      </c>
      <c r="L1216" s="3" t="s">
        <v>3309</v>
      </c>
      <c r="R1216" s="3" t="s">
        <v>6666</v>
      </c>
      <c r="S1216" s="15" t="s">
        <v>3247</v>
      </c>
    </row>
    <row r="1217" spans="1:19" x14ac:dyDescent="0.25">
      <c r="A1217" s="4" t="s">
        <v>6667</v>
      </c>
      <c r="B1217" s="4" t="s">
        <v>6578</v>
      </c>
      <c r="C1217" s="4" t="s">
        <v>6668</v>
      </c>
      <c r="D1217" s="3" t="str">
        <f t="shared" si="108"/>
        <v>SER</v>
      </c>
      <c r="E1217" s="3" t="str">
        <f t="shared" si="109"/>
        <v>A</v>
      </c>
      <c r="F1217" s="3" t="str">
        <f t="shared" si="110"/>
        <v>000</v>
      </c>
      <c r="G1217" s="3" t="str">
        <f t="shared" si="111"/>
        <v>NA</v>
      </c>
      <c r="H1217" s="3" t="str">
        <f t="shared" si="112"/>
        <v>810</v>
      </c>
      <c r="I1217" s="3" t="str">
        <f t="shared" si="113"/>
        <v>40</v>
      </c>
      <c r="L1217" s="3" t="s">
        <v>3309</v>
      </c>
      <c r="R1217" s="3" t="s">
        <v>6669</v>
      </c>
      <c r="S1217" s="15" t="s">
        <v>3247</v>
      </c>
    </row>
    <row r="1218" spans="1:19" x14ac:dyDescent="0.25">
      <c r="A1218" s="4" t="s">
        <v>6670</v>
      </c>
      <c r="B1218" s="4" t="s">
        <v>6578</v>
      </c>
      <c r="C1218" s="4" t="s">
        <v>6671</v>
      </c>
      <c r="D1218" s="3" t="str">
        <f t="shared" ref="D1218:D1281" si="114">LEFT(A1218,3)</f>
        <v>SER</v>
      </c>
      <c r="E1218" s="3" t="str">
        <f t="shared" ref="E1218:E1281" si="115">MID(A1218,4,1)</f>
        <v>B</v>
      </c>
      <c r="F1218" s="3" t="str">
        <f t="shared" ref="F1218:F1281" si="116">MID(A1218,5,3)</f>
        <v>002</v>
      </c>
      <c r="G1218" s="3" t="str">
        <f t="shared" ref="G1218:G1281" si="117">MID(A1218,8,2)</f>
        <v>SM</v>
      </c>
      <c r="H1218" s="3" t="str">
        <f t="shared" ref="H1218:H1281" si="118">MID(A1218,10,3)</f>
        <v>411</v>
      </c>
      <c r="I1218" s="3" t="str">
        <f t="shared" ref="I1218:I1281" si="119">MID(A1218,13,2)</f>
        <v>80</v>
      </c>
      <c r="L1218" s="3" t="s">
        <v>3309</v>
      </c>
      <c r="R1218" s="3" t="s">
        <v>6672</v>
      </c>
      <c r="S1218" s="15" t="s">
        <v>3247</v>
      </c>
    </row>
    <row r="1219" spans="1:19" x14ac:dyDescent="0.25">
      <c r="A1219" s="4" t="s">
        <v>6673</v>
      </c>
      <c r="B1219" s="4" t="s">
        <v>6578</v>
      </c>
      <c r="C1219" s="4" t="s">
        <v>6674</v>
      </c>
      <c r="D1219" s="3" t="str">
        <f t="shared" si="114"/>
        <v>SER</v>
      </c>
      <c r="E1219" s="3" t="str">
        <f t="shared" si="115"/>
        <v>E</v>
      </c>
      <c r="F1219" s="3" t="str">
        <f t="shared" si="116"/>
        <v>208</v>
      </c>
      <c r="G1219" s="3" t="str">
        <f t="shared" si="117"/>
        <v>TL</v>
      </c>
      <c r="H1219" s="3" t="str">
        <f t="shared" si="118"/>
        <v>810</v>
      </c>
      <c r="I1219" s="3" t="str">
        <f t="shared" si="119"/>
        <v>40</v>
      </c>
      <c r="L1219" s="3" t="s">
        <v>3309</v>
      </c>
      <c r="R1219" s="3" t="s">
        <v>6675</v>
      </c>
      <c r="S1219" s="15" t="s">
        <v>3247</v>
      </c>
    </row>
    <row r="1220" spans="1:19" x14ac:dyDescent="0.25">
      <c r="A1220" s="4" t="s">
        <v>6676</v>
      </c>
      <c r="B1220" s="4" t="s">
        <v>6578</v>
      </c>
      <c r="C1220" s="4" t="s">
        <v>6674</v>
      </c>
      <c r="D1220" s="3" t="str">
        <f t="shared" si="114"/>
        <v>SER</v>
      </c>
      <c r="E1220" s="3" t="str">
        <f t="shared" si="115"/>
        <v>E</v>
      </c>
      <c r="F1220" s="3" t="str">
        <f t="shared" si="116"/>
        <v>209</v>
      </c>
      <c r="G1220" s="3" t="str">
        <f t="shared" si="117"/>
        <v>TL</v>
      </c>
      <c r="H1220" s="3" t="str">
        <f t="shared" si="118"/>
        <v>810</v>
      </c>
      <c r="I1220" s="3" t="str">
        <f t="shared" si="119"/>
        <v>40</v>
      </c>
      <c r="L1220" s="3" t="s">
        <v>3309</v>
      </c>
      <c r="R1220" s="3" t="s">
        <v>6677</v>
      </c>
      <c r="S1220" s="15" t="s">
        <v>3247</v>
      </c>
    </row>
    <row r="1221" spans="1:19" x14ac:dyDescent="0.25">
      <c r="A1221" s="4" t="s">
        <v>6678</v>
      </c>
      <c r="B1221" s="4" t="s">
        <v>6578</v>
      </c>
      <c r="C1221" s="4" t="s">
        <v>6679</v>
      </c>
      <c r="D1221" s="3" t="str">
        <f t="shared" si="114"/>
        <v>SER</v>
      </c>
      <c r="E1221" s="3" t="str">
        <f t="shared" si="115"/>
        <v>B</v>
      </c>
      <c r="F1221" s="3" t="str">
        <f t="shared" si="116"/>
        <v>000</v>
      </c>
      <c r="G1221" s="3" t="str">
        <f t="shared" si="117"/>
        <v>DE</v>
      </c>
      <c r="H1221" s="3" t="str">
        <f t="shared" si="118"/>
        <v>524</v>
      </c>
      <c r="I1221" s="3" t="str">
        <f t="shared" si="119"/>
        <v>90</v>
      </c>
      <c r="L1221" s="3" t="s">
        <v>3309</v>
      </c>
      <c r="R1221" s="3" t="s">
        <v>6680</v>
      </c>
      <c r="S1221" s="15" t="s">
        <v>3247</v>
      </c>
    </row>
    <row r="1222" spans="1:19" x14ac:dyDescent="0.25">
      <c r="A1222" s="4" t="s">
        <v>6681</v>
      </c>
      <c r="B1222" s="4" t="s">
        <v>6578</v>
      </c>
      <c r="C1222" s="4" t="s">
        <v>6682</v>
      </c>
      <c r="D1222" s="3" t="str">
        <f t="shared" si="114"/>
        <v>SER</v>
      </c>
      <c r="E1222" s="3" t="str">
        <f t="shared" si="115"/>
        <v>C</v>
      </c>
      <c r="F1222" s="3" t="str">
        <f t="shared" si="116"/>
        <v>001</v>
      </c>
      <c r="G1222" s="3" t="str">
        <f t="shared" si="117"/>
        <v>ST</v>
      </c>
      <c r="H1222" s="3" t="str">
        <f t="shared" si="118"/>
        <v>616</v>
      </c>
      <c r="I1222" s="3" t="str">
        <f t="shared" si="119"/>
        <v>00</v>
      </c>
      <c r="L1222" s="3" t="s">
        <v>3309</v>
      </c>
      <c r="R1222" s="3" t="s">
        <v>6683</v>
      </c>
      <c r="S1222" s="15" t="s">
        <v>3247</v>
      </c>
    </row>
    <row r="1223" spans="1:19" x14ac:dyDescent="0.25">
      <c r="A1223" s="4" t="s">
        <v>6684</v>
      </c>
      <c r="B1223" s="4" t="s">
        <v>6578</v>
      </c>
      <c r="C1223" s="4" t="s">
        <v>6685</v>
      </c>
      <c r="D1223" s="3" t="str">
        <f t="shared" si="114"/>
        <v>SER</v>
      </c>
      <c r="E1223" s="3" t="str">
        <f t="shared" si="115"/>
        <v>B</v>
      </c>
      <c r="F1223" s="3" t="str">
        <f t="shared" si="116"/>
        <v>002</v>
      </c>
      <c r="G1223" s="3" t="str">
        <f t="shared" si="117"/>
        <v>CI</v>
      </c>
      <c r="H1223" s="3" t="str">
        <f t="shared" si="118"/>
        <v>413</v>
      </c>
      <c r="I1223" s="3" t="str">
        <f t="shared" si="119"/>
        <v>00</v>
      </c>
      <c r="L1223" s="3" t="s">
        <v>3309</v>
      </c>
      <c r="R1223" s="3" t="s">
        <v>6686</v>
      </c>
      <c r="S1223" s="15" t="s">
        <v>3247</v>
      </c>
    </row>
    <row r="1224" spans="1:19" x14ac:dyDescent="0.25">
      <c r="A1224" s="4" t="s">
        <v>6687</v>
      </c>
      <c r="B1224" s="4" t="s">
        <v>6578</v>
      </c>
      <c r="C1224" s="4" t="s">
        <v>6688</v>
      </c>
      <c r="D1224" s="3" t="str">
        <f t="shared" si="114"/>
        <v>SER</v>
      </c>
      <c r="E1224" s="3" t="str">
        <f t="shared" si="115"/>
        <v>B</v>
      </c>
      <c r="F1224" s="3" t="str">
        <f t="shared" si="116"/>
        <v>004</v>
      </c>
      <c r="G1224" s="3" t="str">
        <f t="shared" si="117"/>
        <v>EE</v>
      </c>
      <c r="H1224" s="3" t="str">
        <f t="shared" si="118"/>
        <v>411</v>
      </c>
      <c r="I1224" s="3" t="str">
        <f t="shared" si="119"/>
        <v>80</v>
      </c>
      <c r="L1224" s="3" t="s">
        <v>3309</v>
      </c>
      <c r="R1224" s="3" t="s">
        <v>6689</v>
      </c>
      <c r="S1224" s="15" t="s">
        <v>3247</v>
      </c>
    </row>
    <row r="1225" spans="1:19" x14ac:dyDescent="0.25">
      <c r="A1225" s="4" t="s">
        <v>6690</v>
      </c>
      <c r="B1225" s="4" t="s">
        <v>6578</v>
      </c>
      <c r="C1225" s="4" t="s">
        <v>6691</v>
      </c>
      <c r="D1225" s="3" t="str">
        <f t="shared" si="114"/>
        <v>SER</v>
      </c>
      <c r="E1225" s="3" t="str">
        <f t="shared" si="115"/>
        <v>B</v>
      </c>
      <c r="F1225" s="3" t="str">
        <f t="shared" si="116"/>
        <v>003</v>
      </c>
      <c r="G1225" s="3" t="str">
        <f t="shared" si="117"/>
        <v>KR</v>
      </c>
      <c r="H1225" s="3" t="str">
        <f t="shared" si="118"/>
        <v>412</v>
      </c>
      <c r="I1225" s="3" t="str">
        <f t="shared" si="119"/>
        <v>00</v>
      </c>
      <c r="L1225" s="3" t="s">
        <v>3309</v>
      </c>
      <c r="R1225" s="3" t="s">
        <v>6692</v>
      </c>
      <c r="S1225" s="15" t="s">
        <v>3247</v>
      </c>
    </row>
    <row r="1226" spans="1:19" ht="30" x14ac:dyDescent="0.25">
      <c r="A1226" s="4" t="s">
        <v>6693</v>
      </c>
      <c r="B1226" s="4" t="s">
        <v>6578</v>
      </c>
      <c r="C1226" s="4" t="s">
        <v>6694</v>
      </c>
      <c r="D1226" s="3" t="str">
        <f t="shared" si="114"/>
        <v>SER</v>
      </c>
      <c r="E1226" s="3" t="str">
        <f t="shared" si="115"/>
        <v>B</v>
      </c>
      <c r="F1226" s="3" t="str">
        <f t="shared" si="116"/>
        <v>002</v>
      </c>
      <c r="G1226" s="3" t="str">
        <f t="shared" si="117"/>
        <v>TR</v>
      </c>
      <c r="H1226" s="3" t="str">
        <f t="shared" si="118"/>
        <v>810</v>
      </c>
      <c r="I1226" s="3" t="str">
        <f t="shared" si="119"/>
        <v>40</v>
      </c>
      <c r="L1226" s="3" t="s">
        <v>3309</v>
      </c>
      <c r="R1226" s="3" t="s">
        <v>6695</v>
      </c>
      <c r="S1226" s="15" t="s">
        <v>3247</v>
      </c>
    </row>
    <row r="1227" spans="1:19" ht="30" x14ac:dyDescent="0.25">
      <c r="A1227" s="4" t="s">
        <v>6696</v>
      </c>
      <c r="B1227" s="4" t="s">
        <v>6578</v>
      </c>
      <c r="C1227" s="4" t="s">
        <v>6697</v>
      </c>
      <c r="D1227" s="3" t="str">
        <f t="shared" si="114"/>
        <v>SER</v>
      </c>
      <c r="E1227" s="3" t="str">
        <f t="shared" si="115"/>
        <v>B</v>
      </c>
      <c r="F1227" s="3" t="str">
        <f t="shared" si="116"/>
        <v>002</v>
      </c>
      <c r="G1227" s="3" t="str">
        <f t="shared" si="117"/>
        <v>CI</v>
      </c>
      <c r="H1227" s="3" t="str">
        <f t="shared" si="118"/>
        <v>617</v>
      </c>
      <c r="I1227" s="3" t="str">
        <f t="shared" si="119"/>
        <v>70</v>
      </c>
      <c r="L1227" s="3" t="s">
        <v>3309</v>
      </c>
      <c r="R1227" s="3" t="s">
        <v>6698</v>
      </c>
      <c r="S1227" s="15" t="s">
        <v>3247</v>
      </c>
    </row>
    <row r="1228" spans="1:19" ht="45" x14ac:dyDescent="0.25">
      <c r="A1228" s="4" t="s">
        <v>6699</v>
      </c>
      <c r="B1228" s="4" t="s">
        <v>6578</v>
      </c>
      <c r="C1228" s="4" t="s">
        <v>6700</v>
      </c>
      <c r="D1228" s="3" t="str">
        <f t="shared" si="114"/>
        <v>SER</v>
      </c>
      <c r="E1228" s="3" t="str">
        <f t="shared" si="115"/>
        <v>F</v>
      </c>
      <c r="F1228" s="3" t="str">
        <f t="shared" si="116"/>
        <v>009</v>
      </c>
      <c r="G1228" s="3" t="str">
        <f t="shared" si="117"/>
        <v>NA</v>
      </c>
      <c r="H1228" s="3" t="str">
        <f t="shared" si="118"/>
        <v>525</v>
      </c>
      <c r="I1228" s="3" t="str">
        <f t="shared" si="119"/>
        <v>10</v>
      </c>
      <c r="L1228" s="3" t="s">
        <v>3309</v>
      </c>
      <c r="R1228" s="3" t="s">
        <v>6701</v>
      </c>
      <c r="S1228" s="15" t="s">
        <v>3247</v>
      </c>
    </row>
    <row r="1229" spans="1:19" x14ac:dyDescent="0.25">
      <c r="A1229" s="4" t="s">
        <v>6702</v>
      </c>
      <c r="B1229" s="4" t="s">
        <v>6578</v>
      </c>
      <c r="C1229" s="4" t="s">
        <v>6703</v>
      </c>
      <c r="D1229" s="3" t="str">
        <f t="shared" si="114"/>
        <v>SER</v>
      </c>
      <c r="E1229" s="3" t="str">
        <f t="shared" si="115"/>
        <v>B</v>
      </c>
      <c r="F1229" s="3" t="str">
        <f t="shared" si="116"/>
        <v>002</v>
      </c>
      <c r="G1229" s="3" t="str">
        <f t="shared" si="117"/>
        <v>NK</v>
      </c>
      <c r="H1229" s="3" t="str">
        <f t="shared" si="118"/>
        <v>615</v>
      </c>
      <c r="I1229" s="3" t="str">
        <f t="shared" si="119"/>
        <v>50</v>
      </c>
      <c r="L1229" s="3" t="s">
        <v>3309</v>
      </c>
      <c r="R1229" s="3" t="s">
        <v>6704</v>
      </c>
      <c r="S1229" s="15" t="s">
        <v>3247</v>
      </c>
    </row>
    <row r="1230" spans="1:19" x14ac:dyDescent="0.25">
      <c r="A1230" s="4" t="s">
        <v>6705</v>
      </c>
      <c r="B1230" s="4" t="s">
        <v>6578</v>
      </c>
      <c r="C1230" s="4" t="s">
        <v>6703</v>
      </c>
      <c r="D1230" s="3" t="str">
        <f t="shared" si="114"/>
        <v>SER</v>
      </c>
      <c r="E1230" s="3" t="str">
        <f t="shared" si="115"/>
        <v>B</v>
      </c>
      <c r="F1230" s="3" t="str">
        <f t="shared" si="116"/>
        <v>004</v>
      </c>
      <c r="G1230" s="3" t="str">
        <f t="shared" si="117"/>
        <v>NK</v>
      </c>
      <c r="H1230" s="3" t="str">
        <f t="shared" si="118"/>
        <v>615</v>
      </c>
      <c r="I1230" s="3" t="str">
        <f t="shared" si="119"/>
        <v>50</v>
      </c>
      <c r="L1230" s="3" t="s">
        <v>3309</v>
      </c>
      <c r="R1230" s="3" t="s">
        <v>6706</v>
      </c>
      <c r="S1230" s="15" t="s">
        <v>3247</v>
      </c>
    </row>
    <row r="1231" spans="1:19" ht="30" x14ac:dyDescent="0.25">
      <c r="A1231" s="4" t="s">
        <v>6707</v>
      </c>
      <c r="B1231" s="4" t="s">
        <v>6578</v>
      </c>
      <c r="C1231" s="4" t="s">
        <v>6708</v>
      </c>
      <c r="D1231" s="3" t="str">
        <f t="shared" si="114"/>
        <v>SER</v>
      </c>
      <c r="E1231" s="3" t="str">
        <f t="shared" si="115"/>
        <v>E</v>
      </c>
      <c r="F1231" s="3" t="str">
        <f t="shared" si="116"/>
        <v>201</v>
      </c>
      <c r="G1231" s="3" t="str">
        <f t="shared" si="117"/>
        <v>NA</v>
      </c>
      <c r="H1231" s="3" t="str">
        <f t="shared" si="118"/>
        <v>100</v>
      </c>
      <c r="I1231" s="3" t="str">
        <f t="shared" si="119"/>
        <v>00</v>
      </c>
      <c r="L1231" s="3" t="s">
        <v>3309</v>
      </c>
      <c r="R1231" s="3" t="s">
        <v>6709</v>
      </c>
      <c r="S1231" s="15" t="s">
        <v>3247</v>
      </c>
    </row>
    <row r="1232" spans="1:19" ht="30" x14ac:dyDescent="0.25">
      <c r="A1232" s="4" t="s">
        <v>6710</v>
      </c>
      <c r="B1232" s="4" t="s">
        <v>6578</v>
      </c>
      <c r="C1232" s="4" t="s">
        <v>6711</v>
      </c>
      <c r="D1232" s="3" t="str">
        <f t="shared" si="114"/>
        <v>SER</v>
      </c>
      <c r="E1232" s="3" t="str">
        <f t="shared" si="115"/>
        <v>T</v>
      </c>
      <c r="F1232" s="3" t="str">
        <f t="shared" si="116"/>
        <v>201</v>
      </c>
      <c r="G1232" s="3" t="str">
        <f t="shared" si="117"/>
        <v>NA</v>
      </c>
      <c r="H1232" s="3" t="str">
        <f t="shared" si="118"/>
        <v>100</v>
      </c>
      <c r="I1232" s="3" t="str">
        <f t="shared" si="119"/>
        <v>00</v>
      </c>
      <c r="L1232" s="3" t="s">
        <v>3309</v>
      </c>
      <c r="R1232" s="3" t="s">
        <v>6712</v>
      </c>
      <c r="S1232" s="15" t="s">
        <v>3247</v>
      </c>
    </row>
    <row r="1233" spans="1:19" ht="30" x14ac:dyDescent="0.25">
      <c r="A1233" s="4" t="s">
        <v>6713</v>
      </c>
      <c r="B1233" s="4" t="s">
        <v>6578</v>
      </c>
      <c r="C1233" s="4" t="s">
        <v>6714</v>
      </c>
      <c r="D1233" s="3" t="str">
        <f t="shared" si="114"/>
        <v>SER</v>
      </c>
      <c r="E1233" s="3" t="str">
        <f t="shared" si="115"/>
        <v>T</v>
      </c>
      <c r="F1233" s="3" t="str">
        <f t="shared" si="116"/>
        <v>216</v>
      </c>
      <c r="G1233" s="3" t="str">
        <f t="shared" si="117"/>
        <v>NA</v>
      </c>
      <c r="H1233" s="3" t="str">
        <f t="shared" si="118"/>
        <v>100</v>
      </c>
      <c r="I1233" s="3" t="str">
        <f t="shared" si="119"/>
        <v>01</v>
      </c>
      <c r="L1233" s="3" t="s">
        <v>3309</v>
      </c>
      <c r="R1233" s="3" t="s">
        <v>6715</v>
      </c>
      <c r="S1233" s="15" t="s">
        <v>3247</v>
      </c>
    </row>
    <row r="1234" spans="1:19" x14ac:dyDescent="0.25">
      <c r="A1234" s="4" t="s">
        <v>6716</v>
      </c>
      <c r="B1234" s="4" t="s">
        <v>6578</v>
      </c>
      <c r="C1234" s="4" t="s">
        <v>6717</v>
      </c>
      <c r="D1234" s="3" t="str">
        <f t="shared" si="114"/>
        <v>SER</v>
      </c>
      <c r="E1234" s="3" t="str">
        <f t="shared" si="115"/>
        <v>B</v>
      </c>
      <c r="F1234" s="3" t="str">
        <f t="shared" si="116"/>
        <v>001</v>
      </c>
      <c r="G1234" s="3" t="str">
        <f t="shared" si="117"/>
        <v>CI</v>
      </c>
      <c r="H1234" s="3" t="str">
        <f t="shared" si="118"/>
        <v>000</v>
      </c>
      <c r="I1234" s="3" t="str">
        <f t="shared" si="119"/>
        <v>00</v>
      </c>
      <c r="L1234" s="3" t="s">
        <v>3608</v>
      </c>
      <c r="R1234" s="3" t="s">
        <v>6718</v>
      </c>
      <c r="S1234" s="15" t="s">
        <v>3247</v>
      </c>
    </row>
    <row r="1235" spans="1:19" x14ac:dyDescent="0.25">
      <c r="A1235" s="4" t="s">
        <v>6719</v>
      </c>
      <c r="B1235" s="4" t="s">
        <v>6578</v>
      </c>
      <c r="C1235" s="4" t="s">
        <v>6720</v>
      </c>
      <c r="D1235" s="3" t="str">
        <f t="shared" si="114"/>
        <v>SER</v>
      </c>
      <c r="E1235" s="3" t="str">
        <f t="shared" si="115"/>
        <v>B</v>
      </c>
      <c r="F1235" s="3" t="str">
        <f t="shared" si="116"/>
        <v>002</v>
      </c>
      <c r="G1235" s="3" t="str">
        <f t="shared" si="117"/>
        <v>CI</v>
      </c>
      <c r="H1235" s="3" t="str">
        <f t="shared" si="118"/>
        <v>000</v>
      </c>
      <c r="I1235" s="3" t="str">
        <f t="shared" si="119"/>
        <v>00</v>
      </c>
      <c r="L1235" s="3" t="s">
        <v>3309</v>
      </c>
      <c r="R1235" s="3" t="s">
        <v>6721</v>
      </c>
      <c r="S1235" s="15" t="s">
        <v>3247</v>
      </c>
    </row>
    <row r="1236" spans="1:19" x14ac:dyDescent="0.25">
      <c r="A1236" s="4" t="s">
        <v>6722</v>
      </c>
      <c r="B1236" s="4" t="s">
        <v>52</v>
      </c>
      <c r="C1236" s="4" t="s">
        <v>6723</v>
      </c>
      <c r="D1236" s="3" t="str">
        <f t="shared" si="114"/>
        <v>STA</v>
      </c>
      <c r="E1236" s="3" t="str">
        <f t="shared" si="115"/>
        <v>A</v>
      </c>
      <c r="F1236" s="3" t="str">
        <f t="shared" si="116"/>
        <v>001</v>
      </c>
      <c r="G1236" s="3" t="str">
        <f t="shared" si="117"/>
        <v>PA</v>
      </c>
      <c r="H1236" s="3" t="str">
        <f t="shared" si="118"/>
        <v>001</v>
      </c>
      <c r="I1236" s="3" t="str">
        <f t="shared" si="119"/>
        <v>00</v>
      </c>
      <c r="L1236" s="3" t="s">
        <v>3309</v>
      </c>
      <c r="R1236" s="3" t="s">
        <v>6724</v>
      </c>
      <c r="S1236" s="15" t="s">
        <v>3247</v>
      </c>
    </row>
    <row r="1237" spans="1:19" x14ac:dyDescent="0.25">
      <c r="A1237" s="4" t="s">
        <v>6725</v>
      </c>
      <c r="B1237" s="4" t="s">
        <v>52</v>
      </c>
      <c r="C1237" s="4" t="s">
        <v>6726</v>
      </c>
      <c r="D1237" s="3" t="str">
        <f t="shared" si="114"/>
        <v>STA</v>
      </c>
      <c r="E1237" s="3" t="str">
        <f t="shared" si="115"/>
        <v>B</v>
      </c>
      <c r="F1237" s="3" t="str">
        <f t="shared" si="116"/>
        <v>001</v>
      </c>
      <c r="G1237" s="3" t="str">
        <f t="shared" si="117"/>
        <v>PA</v>
      </c>
      <c r="H1237" s="3" t="str">
        <f t="shared" si="118"/>
        <v>002</v>
      </c>
      <c r="I1237" s="3" t="str">
        <f t="shared" si="119"/>
        <v>00</v>
      </c>
      <c r="L1237" s="3" t="s">
        <v>3309</v>
      </c>
      <c r="R1237" s="3" t="s">
        <v>6727</v>
      </c>
      <c r="S1237" s="15" t="s">
        <v>3247</v>
      </c>
    </row>
    <row r="1238" spans="1:19" x14ac:dyDescent="0.25">
      <c r="A1238" s="4" t="s">
        <v>6728</v>
      </c>
      <c r="B1238" s="4" t="s">
        <v>52</v>
      </c>
      <c r="C1238" s="4" t="s">
        <v>2377</v>
      </c>
      <c r="D1238" s="3" t="str">
        <f t="shared" si="114"/>
        <v>STA</v>
      </c>
      <c r="E1238" s="3" t="str">
        <f t="shared" si="115"/>
        <v>A</v>
      </c>
      <c r="F1238" s="3" t="str">
        <f t="shared" si="116"/>
        <v>001</v>
      </c>
      <c r="G1238" s="3" t="str">
        <f t="shared" si="117"/>
        <v>IE</v>
      </c>
      <c r="H1238" s="3" t="str">
        <f t="shared" si="118"/>
        <v>000</v>
      </c>
      <c r="I1238" s="3" t="str">
        <f t="shared" si="119"/>
        <v>00</v>
      </c>
      <c r="L1238" s="3" t="s">
        <v>3245</v>
      </c>
      <c r="R1238" s="3" t="s">
        <v>6729</v>
      </c>
      <c r="S1238" s="15" t="s">
        <v>3247</v>
      </c>
    </row>
    <row r="1239" spans="1:19" x14ac:dyDescent="0.25">
      <c r="A1239" s="4" t="s">
        <v>6730</v>
      </c>
      <c r="B1239" s="4" t="s">
        <v>52</v>
      </c>
      <c r="C1239" s="4" t="s">
        <v>6731</v>
      </c>
      <c r="D1239" s="3" t="str">
        <f t="shared" si="114"/>
        <v>STA</v>
      </c>
      <c r="E1239" s="3" t="str">
        <f t="shared" si="115"/>
        <v>A</v>
      </c>
      <c r="F1239" s="3" t="str">
        <f t="shared" si="116"/>
        <v>001</v>
      </c>
      <c r="G1239" s="3" t="str">
        <f t="shared" si="117"/>
        <v>IE</v>
      </c>
      <c r="H1239" s="3" t="str">
        <f t="shared" si="118"/>
        <v>005</v>
      </c>
      <c r="I1239" s="3" t="str">
        <f t="shared" si="119"/>
        <v>00</v>
      </c>
      <c r="L1239" s="3" t="s">
        <v>6732</v>
      </c>
      <c r="R1239" s="3" t="s">
        <v>6733</v>
      </c>
      <c r="S1239" s="15" t="s">
        <v>3247</v>
      </c>
    </row>
    <row r="1240" spans="1:19" x14ac:dyDescent="0.25">
      <c r="A1240" s="4" t="s">
        <v>6734</v>
      </c>
      <c r="B1240" s="4" t="s">
        <v>52</v>
      </c>
      <c r="C1240" s="4" t="s">
        <v>6735</v>
      </c>
      <c r="D1240" s="3" t="str">
        <f t="shared" si="114"/>
        <v>STA</v>
      </c>
      <c r="E1240" s="3" t="str">
        <f t="shared" si="115"/>
        <v>C</v>
      </c>
      <c r="F1240" s="3" t="str">
        <f t="shared" si="116"/>
        <v>001</v>
      </c>
      <c r="G1240" s="3" t="str">
        <f t="shared" si="117"/>
        <v>SB</v>
      </c>
      <c r="H1240" s="3" t="str">
        <f t="shared" si="118"/>
        <v>008</v>
      </c>
      <c r="I1240" s="3" t="str">
        <f t="shared" si="119"/>
        <v>00</v>
      </c>
      <c r="L1240" s="3" t="s">
        <v>3309</v>
      </c>
      <c r="R1240" s="3" t="s">
        <v>6736</v>
      </c>
      <c r="S1240" s="15" t="s">
        <v>3247</v>
      </c>
    </row>
    <row r="1241" spans="1:19" x14ac:dyDescent="0.25">
      <c r="A1241" s="4" t="s">
        <v>6737</v>
      </c>
      <c r="B1241" s="4" t="s">
        <v>52</v>
      </c>
      <c r="C1241" s="4" t="s">
        <v>6738</v>
      </c>
      <c r="D1241" s="3" t="str">
        <f t="shared" si="114"/>
        <v>STA</v>
      </c>
      <c r="E1241" s="3" t="str">
        <f t="shared" si="115"/>
        <v>A</v>
      </c>
      <c r="F1241" s="3" t="str">
        <f t="shared" si="116"/>
        <v>003</v>
      </c>
      <c r="G1241" s="3" t="str">
        <f t="shared" si="117"/>
        <v>PA</v>
      </c>
      <c r="H1241" s="3" t="str">
        <f t="shared" si="118"/>
        <v>012</v>
      </c>
      <c r="I1241" s="3" t="str">
        <f t="shared" si="119"/>
        <v>00</v>
      </c>
      <c r="L1241" s="3" t="s">
        <v>3309</v>
      </c>
      <c r="R1241" s="3" t="s">
        <v>6739</v>
      </c>
      <c r="S1241" s="15" t="s">
        <v>3247</v>
      </c>
    </row>
    <row r="1242" spans="1:19" x14ac:dyDescent="0.25">
      <c r="A1242" s="4" t="s">
        <v>6740</v>
      </c>
      <c r="B1242" s="4" t="s">
        <v>52</v>
      </c>
      <c r="C1242" s="4" t="s">
        <v>6741</v>
      </c>
      <c r="D1242" s="3" t="str">
        <f t="shared" si="114"/>
        <v>STA</v>
      </c>
      <c r="E1242" s="3" t="str">
        <f t="shared" si="115"/>
        <v>A</v>
      </c>
      <c r="F1242" s="3" t="str">
        <f t="shared" si="116"/>
        <v>004</v>
      </c>
      <c r="G1242" s="3" t="str">
        <f t="shared" si="117"/>
        <v>PA</v>
      </c>
      <c r="H1242" s="3" t="str">
        <f t="shared" si="118"/>
        <v>013</v>
      </c>
      <c r="I1242" s="3" t="str">
        <f t="shared" si="119"/>
        <v>00</v>
      </c>
      <c r="L1242" s="3" t="s">
        <v>3309</v>
      </c>
      <c r="R1242" s="3" t="s">
        <v>6742</v>
      </c>
      <c r="S1242" s="15" t="s">
        <v>3247</v>
      </c>
    </row>
    <row r="1243" spans="1:19" x14ac:dyDescent="0.25">
      <c r="A1243" s="4" t="s">
        <v>6743</v>
      </c>
      <c r="B1243" s="4" t="s">
        <v>52</v>
      </c>
      <c r="C1243" s="4" t="s">
        <v>6744</v>
      </c>
      <c r="D1243" s="3" t="str">
        <f t="shared" si="114"/>
        <v>STA</v>
      </c>
      <c r="E1243" s="3" t="str">
        <f t="shared" si="115"/>
        <v>A</v>
      </c>
      <c r="F1243" s="3" t="str">
        <f t="shared" si="116"/>
        <v>005</v>
      </c>
      <c r="G1243" s="3" t="str">
        <f t="shared" si="117"/>
        <v>PA</v>
      </c>
      <c r="H1243" s="3" t="str">
        <f t="shared" si="118"/>
        <v>014</v>
      </c>
      <c r="I1243" s="3" t="str">
        <f t="shared" si="119"/>
        <v>00</v>
      </c>
      <c r="L1243" s="3" t="s">
        <v>3309</v>
      </c>
      <c r="R1243" s="3" t="s">
        <v>6745</v>
      </c>
      <c r="S1243" s="15" t="s">
        <v>3247</v>
      </c>
    </row>
    <row r="1244" spans="1:19" x14ac:dyDescent="0.25">
      <c r="A1244" s="4" t="s">
        <v>6746</v>
      </c>
      <c r="B1244" s="4" t="s">
        <v>52</v>
      </c>
      <c r="C1244" s="4" t="s">
        <v>6747</v>
      </c>
      <c r="D1244" s="3" t="str">
        <f t="shared" si="114"/>
        <v>STA</v>
      </c>
      <c r="E1244" s="3" t="str">
        <f t="shared" si="115"/>
        <v>A</v>
      </c>
      <c r="F1244" s="3" t="str">
        <f t="shared" si="116"/>
        <v>001</v>
      </c>
      <c r="G1244" s="3" t="str">
        <f t="shared" si="117"/>
        <v>IE</v>
      </c>
      <c r="H1244" s="3" t="str">
        <f t="shared" si="118"/>
        <v>009</v>
      </c>
      <c r="I1244" s="3" t="str">
        <f t="shared" si="119"/>
        <v>00</v>
      </c>
      <c r="L1244" s="3" t="s">
        <v>3309</v>
      </c>
      <c r="R1244" s="3" t="s">
        <v>6748</v>
      </c>
      <c r="S1244" s="15" t="s">
        <v>3247</v>
      </c>
    </row>
    <row r="1245" spans="1:19" x14ac:dyDescent="0.25">
      <c r="A1245" s="4" t="s">
        <v>6749</v>
      </c>
      <c r="B1245" s="4" t="s">
        <v>52</v>
      </c>
      <c r="C1245" s="4" t="s">
        <v>6750</v>
      </c>
      <c r="D1245" s="3" t="str">
        <f t="shared" si="114"/>
        <v>STA</v>
      </c>
      <c r="E1245" s="3" t="str">
        <f t="shared" si="115"/>
        <v>A</v>
      </c>
      <c r="F1245" s="3" t="str">
        <f t="shared" si="116"/>
        <v>001</v>
      </c>
      <c r="G1245" s="3" t="str">
        <f t="shared" si="117"/>
        <v>IE</v>
      </c>
      <c r="H1245" s="3" t="str">
        <f t="shared" si="118"/>
        <v>010</v>
      </c>
      <c r="I1245" s="3" t="str">
        <f t="shared" si="119"/>
        <v>00</v>
      </c>
      <c r="L1245" s="3" t="s">
        <v>3309</v>
      </c>
      <c r="R1245" s="3" t="s">
        <v>6751</v>
      </c>
      <c r="S1245" s="15" t="s">
        <v>3247</v>
      </c>
    </row>
    <row r="1246" spans="1:19" x14ac:dyDescent="0.25">
      <c r="A1246" s="4" t="s">
        <v>6752</v>
      </c>
      <c r="B1246" s="4" t="s">
        <v>52</v>
      </c>
      <c r="C1246" s="4" t="s">
        <v>2046</v>
      </c>
      <c r="D1246" s="3" t="str">
        <f t="shared" si="114"/>
        <v>STA</v>
      </c>
      <c r="E1246" s="3" t="str">
        <f t="shared" si="115"/>
        <v>D</v>
      </c>
      <c r="F1246" s="3" t="str">
        <f t="shared" si="116"/>
        <v>001</v>
      </c>
      <c r="G1246" s="3" t="str">
        <f t="shared" si="117"/>
        <v>NA</v>
      </c>
      <c r="H1246" s="3" t="str">
        <f t="shared" si="118"/>
        <v>000</v>
      </c>
      <c r="I1246" s="3" t="str">
        <f t="shared" si="119"/>
        <v>00</v>
      </c>
      <c r="L1246" s="3" t="s">
        <v>3309</v>
      </c>
      <c r="R1246" s="3" t="s">
        <v>6753</v>
      </c>
      <c r="S1246" s="15" t="s">
        <v>3247</v>
      </c>
    </row>
    <row r="1247" spans="1:19" x14ac:dyDescent="0.25">
      <c r="A1247" s="4" t="s">
        <v>6754</v>
      </c>
      <c r="B1247" s="4" t="s">
        <v>52</v>
      </c>
      <c r="C1247" s="4" t="s">
        <v>2047</v>
      </c>
      <c r="D1247" s="3" t="str">
        <f t="shared" si="114"/>
        <v>STA</v>
      </c>
      <c r="E1247" s="3" t="str">
        <f t="shared" si="115"/>
        <v>E</v>
      </c>
      <c r="F1247" s="3" t="str">
        <f t="shared" si="116"/>
        <v>001</v>
      </c>
      <c r="G1247" s="3" t="str">
        <f t="shared" si="117"/>
        <v>NA</v>
      </c>
      <c r="H1247" s="3" t="str">
        <f t="shared" si="118"/>
        <v>000</v>
      </c>
      <c r="I1247" s="3" t="str">
        <f t="shared" si="119"/>
        <v>00</v>
      </c>
      <c r="L1247" s="3" t="s">
        <v>3309</v>
      </c>
      <c r="R1247" s="3" t="s">
        <v>6755</v>
      </c>
      <c r="S1247" s="15" t="s">
        <v>3247</v>
      </c>
    </row>
    <row r="1248" spans="1:19" x14ac:dyDescent="0.25">
      <c r="A1248" s="4" t="s">
        <v>6756</v>
      </c>
      <c r="B1248" s="4" t="s">
        <v>52</v>
      </c>
      <c r="C1248" s="4" t="s">
        <v>2048</v>
      </c>
      <c r="D1248" s="3" t="str">
        <f t="shared" si="114"/>
        <v>STA</v>
      </c>
      <c r="E1248" s="3" t="str">
        <f t="shared" si="115"/>
        <v>F</v>
      </c>
      <c r="F1248" s="3" t="str">
        <f t="shared" si="116"/>
        <v>001</v>
      </c>
      <c r="G1248" s="3" t="str">
        <f t="shared" si="117"/>
        <v>NA</v>
      </c>
      <c r="H1248" s="3" t="str">
        <f t="shared" si="118"/>
        <v>000</v>
      </c>
      <c r="I1248" s="3" t="str">
        <f t="shared" si="119"/>
        <v>00</v>
      </c>
      <c r="L1248" s="3" t="s">
        <v>3309</v>
      </c>
      <c r="R1248" s="3" t="s">
        <v>6757</v>
      </c>
      <c r="S1248" s="15" t="s">
        <v>3247</v>
      </c>
    </row>
    <row r="1249" spans="1:19" x14ac:dyDescent="0.25">
      <c r="A1249" s="4" t="s">
        <v>6758</v>
      </c>
      <c r="B1249" s="4" t="s">
        <v>52</v>
      </c>
      <c r="C1249" s="4" t="s">
        <v>2049</v>
      </c>
      <c r="D1249" s="3" t="str">
        <f t="shared" si="114"/>
        <v>STA</v>
      </c>
      <c r="E1249" s="3" t="str">
        <f t="shared" si="115"/>
        <v>G</v>
      </c>
      <c r="F1249" s="3" t="str">
        <f t="shared" si="116"/>
        <v>001</v>
      </c>
      <c r="G1249" s="3" t="str">
        <f t="shared" si="117"/>
        <v>NA</v>
      </c>
      <c r="H1249" s="3" t="str">
        <f t="shared" si="118"/>
        <v>000</v>
      </c>
      <c r="I1249" s="3" t="str">
        <f t="shared" si="119"/>
        <v>00</v>
      </c>
      <c r="L1249" s="3" t="s">
        <v>3309</v>
      </c>
      <c r="R1249" s="3" t="s">
        <v>6759</v>
      </c>
      <c r="S1249" s="15" t="s">
        <v>3247</v>
      </c>
    </row>
    <row r="1250" spans="1:19" x14ac:dyDescent="0.25">
      <c r="A1250" s="4" t="s">
        <v>6760</v>
      </c>
      <c r="B1250" s="4" t="s">
        <v>52</v>
      </c>
      <c r="C1250" s="4" t="s">
        <v>2050</v>
      </c>
      <c r="D1250" s="3" t="str">
        <f t="shared" si="114"/>
        <v>STA</v>
      </c>
      <c r="E1250" s="3" t="str">
        <f t="shared" si="115"/>
        <v>I</v>
      </c>
      <c r="F1250" s="3" t="str">
        <f t="shared" si="116"/>
        <v>001</v>
      </c>
      <c r="G1250" s="3" t="str">
        <f t="shared" si="117"/>
        <v>NA</v>
      </c>
      <c r="H1250" s="3" t="str">
        <f t="shared" si="118"/>
        <v>000</v>
      </c>
      <c r="I1250" s="3" t="str">
        <f t="shared" si="119"/>
        <v>00</v>
      </c>
      <c r="L1250" s="3" t="s">
        <v>3309</v>
      </c>
      <c r="R1250" s="3" t="s">
        <v>6761</v>
      </c>
      <c r="S1250" s="15" t="s">
        <v>3247</v>
      </c>
    </row>
    <row r="1251" spans="1:19" x14ac:dyDescent="0.25">
      <c r="A1251" s="4" t="s">
        <v>6762</v>
      </c>
      <c r="B1251" s="4" t="s">
        <v>52</v>
      </c>
      <c r="C1251" s="4" t="s">
        <v>2051</v>
      </c>
      <c r="D1251" s="3" t="str">
        <f t="shared" si="114"/>
        <v>STA</v>
      </c>
      <c r="E1251" s="3" t="str">
        <f t="shared" si="115"/>
        <v>J</v>
      </c>
      <c r="F1251" s="3" t="str">
        <f t="shared" si="116"/>
        <v>001</v>
      </c>
      <c r="G1251" s="3" t="str">
        <f t="shared" si="117"/>
        <v>NA</v>
      </c>
      <c r="H1251" s="3" t="str">
        <f t="shared" si="118"/>
        <v>000</v>
      </c>
      <c r="I1251" s="3" t="str">
        <f t="shared" si="119"/>
        <v>00</v>
      </c>
      <c r="L1251" s="3" t="s">
        <v>3309</v>
      </c>
      <c r="R1251" s="3" t="s">
        <v>6763</v>
      </c>
      <c r="S1251" s="15" t="s">
        <v>3247</v>
      </c>
    </row>
    <row r="1252" spans="1:19" x14ac:dyDescent="0.25">
      <c r="A1252" s="4" t="s">
        <v>6764</v>
      </c>
      <c r="B1252" s="4" t="s">
        <v>52</v>
      </c>
      <c r="C1252" s="4" t="s">
        <v>2052</v>
      </c>
      <c r="D1252" s="3" t="str">
        <f t="shared" si="114"/>
        <v>STA</v>
      </c>
      <c r="E1252" s="3" t="str">
        <f t="shared" si="115"/>
        <v>K</v>
      </c>
      <c r="F1252" s="3" t="str">
        <f t="shared" si="116"/>
        <v>001</v>
      </c>
      <c r="G1252" s="3" t="str">
        <f t="shared" si="117"/>
        <v>NA</v>
      </c>
      <c r="H1252" s="3" t="str">
        <f t="shared" si="118"/>
        <v>000</v>
      </c>
      <c r="I1252" s="3" t="str">
        <f t="shared" si="119"/>
        <v>00</v>
      </c>
      <c r="L1252" s="3" t="s">
        <v>3309</v>
      </c>
      <c r="R1252" s="3" t="s">
        <v>6765</v>
      </c>
      <c r="S1252" s="15" t="s">
        <v>3247</v>
      </c>
    </row>
    <row r="1253" spans="1:19" x14ac:dyDescent="0.25">
      <c r="A1253" s="4" t="s">
        <v>6766</v>
      </c>
      <c r="B1253" s="4" t="s">
        <v>52</v>
      </c>
      <c r="C1253" s="4" t="s">
        <v>6767</v>
      </c>
      <c r="D1253" s="3" t="str">
        <f t="shared" si="114"/>
        <v>STA</v>
      </c>
      <c r="E1253" s="3" t="str">
        <f t="shared" si="115"/>
        <v>A</v>
      </c>
      <c r="F1253" s="3" t="str">
        <f t="shared" si="116"/>
        <v>003</v>
      </c>
      <c r="G1253" s="3" t="str">
        <f t="shared" si="117"/>
        <v>NA</v>
      </c>
      <c r="H1253" s="3" t="str">
        <f t="shared" si="118"/>
        <v>006</v>
      </c>
      <c r="I1253" s="3" t="str">
        <f t="shared" si="119"/>
        <v>00</v>
      </c>
      <c r="L1253" s="3" t="s">
        <v>3309</v>
      </c>
      <c r="R1253" s="3" t="s">
        <v>6768</v>
      </c>
      <c r="S1253" s="15" t="s">
        <v>3247</v>
      </c>
    </row>
    <row r="1254" spans="1:19" x14ac:dyDescent="0.25">
      <c r="A1254" s="4" t="s">
        <v>6769</v>
      </c>
      <c r="B1254" s="4" t="s">
        <v>52</v>
      </c>
      <c r="C1254" s="4" t="s">
        <v>6767</v>
      </c>
      <c r="D1254" s="3" t="str">
        <f t="shared" si="114"/>
        <v>STA</v>
      </c>
      <c r="E1254" s="3" t="str">
        <f t="shared" si="115"/>
        <v>A</v>
      </c>
      <c r="F1254" s="3" t="str">
        <f t="shared" si="116"/>
        <v>003</v>
      </c>
      <c r="G1254" s="3" t="str">
        <f t="shared" si="117"/>
        <v>NA</v>
      </c>
      <c r="H1254" s="3" t="str">
        <f t="shared" si="118"/>
        <v>007</v>
      </c>
      <c r="I1254" s="3" t="str">
        <f t="shared" si="119"/>
        <v>00</v>
      </c>
      <c r="L1254" s="3" t="s">
        <v>3309</v>
      </c>
      <c r="R1254" s="3" t="s">
        <v>6770</v>
      </c>
      <c r="S1254" s="15" t="s">
        <v>3247</v>
      </c>
    </row>
    <row r="1255" spans="1:19" x14ac:dyDescent="0.25">
      <c r="A1255" s="4" t="s">
        <v>6771</v>
      </c>
      <c r="B1255" s="4" t="s">
        <v>52</v>
      </c>
      <c r="C1255" s="4" t="s">
        <v>6772</v>
      </c>
      <c r="D1255" s="3" t="str">
        <f t="shared" si="114"/>
        <v>STA</v>
      </c>
      <c r="E1255" s="3" t="str">
        <f t="shared" si="115"/>
        <v>J</v>
      </c>
      <c r="F1255" s="3" t="str">
        <f t="shared" si="116"/>
        <v>001</v>
      </c>
      <c r="G1255" s="3" t="str">
        <f t="shared" si="117"/>
        <v>NA</v>
      </c>
      <c r="H1255" s="3" t="str">
        <f t="shared" si="118"/>
        <v>015</v>
      </c>
      <c r="I1255" s="3" t="str">
        <f t="shared" si="119"/>
        <v>00</v>
      </c>
      <c r="L1255" s="3" t="s">
        <v>3309</v>
      </c>
      <c r="R1255" s="3" t="s">
        <v>6773</v>
      </c>
      <c r="S1255" s="15" t="s">
        <v>3247</v>
      </c>
    </row>
    <row r="1256" spans="1:19" x14ac:dyDescent="0.25">
      <c r="A1256" s="4" t="s">
        <v>6774</v>
      </c>
      <c r="B1256" s="4" t="s">
        <v>52</v>
      </c>
      <c r="C1256" s="4" t="s">
        <v>6775</v>
      </c>
      <c r="D1256" s="3" t="str">
        <f t="shared" si="114"/>
        <v>STA</v>
      </c>
      <c r="E1256" s="3" t="str">
        <f t="shared" si="115"/>
        <v>L</v>
      </c>
      <c r="F1256" s="3" t="str">
        <f t="shared" si="116"/>
        <v>001</v>
      </c>
      <c r="G1256" s="3" t="str">
        <f t="shared" si="117"/>
        <v>NA</v>
      </c>
      <c r="H1256" s="3" t="str">
        <f t="shared" si="118"/>
        <v>000</v>
      </c>
      <c r="I1256" s="3" t="str">
        <f t="shared" si="119"/>
        <v>00</v>
      </c>
      <c r="L1256" s="3" t="s">
        <v>3309</v>
      </c>
      <c r="R1256" s="3" t="s">
        <v>6776</v>
      </c>
      <c r="S1256" s="15" t="s">
        <v>3247</v>
      </c>
    </row>
    <row r="1257" spans="1:19" x14ac:dyDescent="0.25">
      <c r="A1257" s="4" t="s">
        <v>6777</v>
      </c>
      <c r="B1257" s="4" t="s">
        <v>46</v>
      </c>
      <c r="C1257" s="4" t="s">
        <v>6778</v>
      </c>
      <c r="D1257" s="3" t="str">
        <f t="shared" si="114"/>
        <v>TOO</v>
      </c>
      <c r="E1257" s="3" t="str">
        <f t="shared" si="115"/>
        <v>M</v>
      </c>
      <c r="F1257" s="3" t="str">
        <f t="shared" si="116"/>
        <v>001</v>
      </c>
      <c r="G1257" s="3" t="str">
        <f t="shared" si="117"/>
        <v>MA</v>
      </c>
      <c r="H1257" s="3" t="str">
        <f t="shared" si="118"/>
        <v>001</v>
      </c>
      <c r="I1257" s="3" t="str">
        <f t="shared" si="119"/>
        <v>00</v>
      </c>
      <c r="L1257" s="3" t="s">
        <v>3309</v>
      </c>
      <c r="R1257" s="3" t="s">
        <v>6779</v>
      </c>
      <c r="S1257" s="15" t="s">
        <v>3247</v>
      </c>
    </row>
    <row r="1258" spans="1:19" x14ac:dyDescent="0.25">
      <c r="A1258" s="4" t="s">
        <v>6780</v>
      </c>
      <c r="B1258" s="4" t="s">
        <v>46</v>
      </c>
      <c r="C1258" s="4" t="s">
        <v>1498</v>
      </c>
      <c r="D1258" s="3" t="str">
        <f t="shared" si="114"/>
        <v>TOO</v>
      </c>
      <c r="E1258" s="3" t="str">
        <f t="shared" si="115"/>
        <v>T</v>
      </c>
      <c r="F1258" s="3" t="str">
        <f t="shared" si="116"/>
        <v>002</v>
      </c>
      <c r="G1258" s="3" t="str">
        <f t="shared" si="117"/>
        <v>NA</v>
      </c>
      <c r="H1258" s="3" t="str">
        <f t="shared" si="118"/>
        <v>000</v>
      </c>
      <c r="I1258" s="3" t="str">
        <f t="shared" si="119"/>
        <v>00</v>
      </c>
      <c r="L1258" s="3" t="s">
        <v>3309</v>
      </c>
      <c r="R1258" s="3" t="s">
        <v>6781</v>
      </c>
      <c r="S1258" s="15" t="s">
        <v>3247</v>
      </c>
    </row>
    <row r="1259" spans="1:19" x14ac:dyDescent="0.25">
      <c r="A1259" s="4" t="s">
        <v>6782</v>
      </c>
      <c r="B1259" s="4" t="s">
        <v>46</v>
      </c>
      <c r="C1259" s="4" t="s">
        <v>6783</v>
      </c>
      <c r="D1259" s="3" t="str">
        <f t="shared" si="114"/>
        <v>TOO</v>
      </c>
      <c r="E1259" s="3" t="str">
        <f t="shared" si="115"/>
        <v>T</v>
      </c>
      <c r="F1259" s="3" t="str">
        <f t="shared" si="116"/>
        <v>002</v>
      </c>
      <c r="G1259" s="3" t="str">
        <f t="shared" si="117"/>
        <v>TP</v>
      </c>
      <c r="H1259" s="3" t="str">
        <f t="shared" si="118"/>
        <v>000</v>
      </c>
      <c r="I1259" s="3" t="str">
        <f t="shared" si="119"/>
        <v>00</v>
      </c>
      <c r="L1259" s="3" t="s">
        <v>3309</v>
      </c>
      <c r="R1259" s="3" t="s">
        <v>6784</v>
      </c>
      <c r="S1259" s="15" t="s">
        <v>3247</v>
      </c>
    </row>
    <row r="1260" spans="1:19" x14ac:dyDescent="0.25">
      <c r="A1260" s="4" t="s">
        <v>6785</v>
      </c>
      <c r="B1260" s="4" t="s">
        <v>46</v>
      </c>
      <c r="C1260" s="4" t="s">
        <v>6786</v>
      </c>
      <c r="D1260" s="3" t="str">
        <f t="shared" si="114"/>
        <v>TOO</v>
      </c>
      <c r="E1260" s="3" t="str">
        <f t="shared" si="115"/>
        <v>T</v>
      </c>
      <c r="F1260" s="3" t="str">
        <f t="shared" si="116"/>
        <v>003</v>
      </c>
      <c r="G1260" s="3" t="str">
        <f t="shared" si="117"/>
        <v>TP</v>
      </c>
      <c r="H1260" s="3" t="str">
        <f t="shared" si="118"/>
        <v>000</v>
      </c>
      <c r="I1260" s="3" t="str">
        <f t="shared" si="119"/>
        <v>00</v>
      </c>
      <c r="L1260" s="3" t="s">
        <v>3309</v>
      </c>
      <c r="R1260" s="3" t="s">
        <v>6787</v>
      </c>
      <c r="S1260" s="15" t="s">
        <v>3247</v>
      </c>
    </row>
    <row r="1261" spans="1:19" x14ac:dyDescent="0.25">
      <c r="A1261" s="4" t="s">
        <v>6788</v>
      </c>
      <c r="B1261" s="4" t="s">
        <v>46</v>
      </c>
      <c r="C1261" s="4" t="s">
        <v>6789</v>
      </c>
      <c r="D1261" s="3" t="str">
        <f t="shared" si="114"/>
        <v>TOO</v>
      </c>
      <c r="E1261" s="3" t="str">
        <f t="shared" si="115"/>
        <v>T</v>
      </c>
      <c r="F1261" s="3" t="str">
        <f t="shared" si="116"/>
        <v>004</v>
      </c>
      <c r="G1261" s="3" t="str">
        <f t="shared" si="117"/>
        <v>TP</v>
      </c>
      <c r="H1261" s="3" t="str">
        <f t="shared" si="118"/>
        <v>000</v>
      </c>
      <c r="I1261" s="3" t="str">
        <f t="shared" si="119"/>
        <v>00</v>
      </c>
      <c r="L1261" s="3" t="s">
        <v>3309</v>
      </c>
      <c r="R1261" s="3" t="s">
        <v>6790</v>
      </c>
      <c r="S1261" s="15" t="s">
        <v>3247</v>
      </c>
    </row>
    <row r="1262" spans="1:19" ht="30" x14ac:dyDescent="0.25">
      <c r="A1262" s="4" t="s">
        <v>6791</v>
      </c>
      <c r="B1262" s="4" t="s">
        <v>46</v>
      </c>
      <c r="C1262" s="4" t="s">
        <v>6792</v>
      </c>
      <c r="D1262" s="3" t="str">
        <f t="shared" si="114"/>
        <v>TOO</v>
      </c>
      <c r="E1262" s="3" t="str">
        <f t="shared" si="115"/>
        <v>M</v>
      </c>
      <c r="F1262" s="3" t="str">
        <f t="shared" si="116"/>
        <v>001</v>
      </c>
      <c r="G1262" s="3" t="str">
        <f t="shared" si="117"/>
        <v>NA</v>
      </c>
      <c r="H1262" s="3" t="str">
        <f t="shared" si="118"/>
        <v>000</v>
      </c>
      <c r="I1262" s="3" t="str">
        <f t="shared" si="119"/>
        <v>00</v>
      </c>
      <c r="L1262" s="3" t="s">
        <v>3309</v>
      </c>
      <c r="R1262" s="3" t="s">
        <v>6793</v>
      </c>
      <c r="S1262" s="15" t="s">
        <v>3247</v>
      </c>
    </row>
    <row r="1263" spans="1:19" x14ac:dyDescent="0.25">
      <c r="A1263" s="4" t="s">
        <v>6794</v>
      </c>
      <c r="B1263" s="4" t="s">
        <v>46</v>
      </c>
      <c r="C1263" s="4" t="s">
        <v>6795</v>
      </c>
      <c r="D1263" s="3" t="str">
        <f t="shared" si="114"/>
        <v>TOO</v>
      </c>
      <c r="E1263" s="3" t="str">
        <f t="shared" si="115"/>
        <v>M</v>
      </c>
      <c r="F1263" s="3" t="str">
        <f t="shared" si="116"/>
        <v>006</v>
      </c>
      <c r="G1263" s="3" t="str">
        <f t="shared" si="117"/>
        <v>TL</v>
      </c>
      <c r="H1263" s="3" t="str">
        <f t="shared" si="118"/>
        <v>000</v>
      </c>
      <c r="I1263" s="3" t="str">
        <f t="shared" si="119"/>
        <v>00</v>
      </c>
      <c r="L1263" s="3" t="s">
        <v>3309</v>
      </c>
      <c r="R1263" s="3" t="s">
        <v>6796</v>
      </c>
      <c r="S1263" s="15" t="s">
        <v>3247</v>
      </c>
    </row>
    <row r="1264" spans="1:19" x14ac:dyDescent="0.25">
      <c r="A1264" s="4" t="s">
        <v>6797</v>
      </c>
      <c r="B1264" s="4" t="s">
        <v>46</v>
      </c>
      <c r="C1264" s="4" t="s">
        <v>6798</v>
      </c>
      <c r="D1264" s="3" t="str">
        <f t="shared" si="114"/>
        <v>TOO</v>
      </c>
      <c r="E1264" s="3" t="str">
        <f t="shared" si="115"/>
        <v>M</v>
      </c>
      <c r="F1264" s="3" t="str">
        <f t="shared" si="116"/>
        <v>007</v>
      </c>
      <c r="G1264" s="3" t="str">
        <f t="shared" si="117"/>
        <v>TL</v>
      </c>
      <c r="H1264" s="3" t="str">
        <f t="shared" si="118"/>
        <v>000</v>
      </c>
      <c r="I1264" s="3" t="str">
        <f t="shared" si="119"/>
        <v>00</v>
      </c>
      <c r="L1264" s="3" t="s">
        <v>3309</v>
      </c>
      <c r="R1264" s="3" t="s">
        <v>6799</v>
      </c>
      <c r="S1264" s="15" t="s">
        <v>3247</v>
      </c>
    </row>
    <row r="1265" spans="1:19" x14ac:dyDescent="0.25">
      <c r="A1265" s="4" t="s">
        <v>6800</v>
      </c>
      <c r="B1265" s="4" t="s">
        <v>46</v>
      </c>
      <c r="C1265" s="4" t="s">
        <v>6801</v>
      </c>
      <c r="D1265" s="3" t="str">
        <f t="shared" si="114"/>
        <v>TOO</v>
      </c>
      <c r="E1265" s="3" t="str">
        <f t="shared" si="115"/>
        <v>M</v>
      </c>
      <c r="F1265" s="3" t="str">
        <f t="shared" si="116"/>
        <v>001</v>
      </c>
      <c r="G1265" s="3" t="str">
        <f t="shared" si="117"/>
        <v>ME</v>
      </c>
      <c r="H1265" s="3" t="str">
        <f t="shared" si="118"/>
        <v>000</v>
      </c>
      <c r="I1265" s="3" t="str">
        <f t="shared" si="119"/>
        <v>00</v>
      </c>
      <c r="L1265" s="3" t="s">
        <v>3309</v>
      </c>
      <c r="R1265" s="3" t="s">
        <v>6802</v>
      </c>
      <c r="S1265" s="15" t="s">
        <v>3247</v>
      </c>
    </row>
    <row r="1266" spans="1:19" x14ac:dyDescent="0.25">
      <c r="A1266" s="4" t="s">
        <v>6803</v>
      </c>
      <c r="B1266" s="4" t="s">
        <v>46</v>
      </c>
      <c r="C1266" s="4" t="s">
        <v>1504</v>
      </c>
      <c r="D1266" s="3" t="str">
        <f t="shared" si="114"/>
        <v>TOO</v>
      </c>
      <c r="E1266" s="3" t="str">
        <f t="shared" si="115"/>
        <v>T</v>
      </c>
      <c r="F1266" s="3" t="str">
        <f t="shared" si="116"/>
        <v>008</v>
      </c>
      <c r="G1266" s="3" t="str">
        <f t="shared" si="117"/>
        <v>NA</v>
      </c>
      <c r="H1266" s="3" t="str">
        <f t="shared" si="118"/>
        <v>000</v>
      </c>
      <c r="I1266" s="3" t="str">
        <f t="shared" si="119"/>
        <v>00</v>
      </c>
      <c r="L1266" s="3" t="s">
        <v>3309</v>
      </c>
      <c r="R1266" s="3" t="s">
        <v>6804</v>
      </c>
      <c r="S1266" s="15" t="s">
        <v>3247</v>
      </c>
    </row>
    <row r="1267" spans="1:19" x14ac:dyDescent="0.25">
      <c r="A1267" s="4" t="s">
        <v>6805</v>
      </c>
      <c r="B1267" s="4" t="s">
        <v>46</v>
      </c>
      <c r="C1267" s="4" t="s">
        <v>1505</v>
      </c>
      <c r="D1267" s="3" t="str">
        <f t="shared" si="114"/>
        <v>TOO</v>
      </c>
      <c r="E1267" s="3" t="str">
        <f t="shared" si="115"/>
        <v>T</v>
      </c>
      <c r="F1267" s="3" t="str">
        <f t="shared" si="116"/>
        <v>009</v>
      </c>
      <c r="G1267" s="3" t="str">
        <f t="shared" si="117"/>
        <v>NA</v>
      </c>
      <c r="H1267" s="3" t="str">
        <f t="shared" si="118"/>
        <v>000</v>
      </c>
      <c r="I1267" s="3" t="str">
        <f t="shared" si="119"/>
        <v>00</v>
      </c>
      <c r="L1267" s="3" t="s">
        <v>3309</v>
      </c>
      <c r="R1267" s="3" t="s">
        <v>6806</v>
      </c>
      <c r="S1267" s="15" t="s">
        <v>3247</v>
      </c>
    </row>
    <row r="1268" spans="1:19" x14ac:dyDescent="0.25">
      <c r="A1268" s="4" t="s">
        <v>6807</v>
      </c>
      <c r="B1268" s="4" t="s">
        <v>46</v>
      </c>
      <c r="C1268" s="4" t="s">
        <v>6808</v>
      </c>
      <c r="D1268" s="3" t="str">
        <f t="shared" si="114"/>
        <v>TOO</v>
      </c>
      <c r="E1268" s="3" t="str">
        <f t="shared" si="115"/>
        <v>A</v>
      </c>
      <c r="F1268" s="3" t="str">
        <f t="shared" si="116"/>
        <v>001</v>
      </c>
      <c r="G1268" s="3" t="str">
        <f t="shared" si="117"/>
        <v>HI</v>
      </c>
      <c r="H1268" s="3" t="str">
        <f t="shared" si="118"/>
        <v>000</v>
      </c>
      <c r="I1268" s="3" t="str">
        <f t="shared" si="119"/>
        <v>00</v>
      </c>
      <c r="L1268" s="3" t="s">
        <v>3309</v>
      </c>
      <c r="R1268" s="3" t="s">
        <v>6809</v>
      </c>
      <c r="S1268" s="15" t="s">
        <v>3247</v>
      </c>
    </row>
    <row r="1269" spans="1:19" x14ac:dyDescent="0.25">
      <c r="A1269" s="4" t="s">
        <v>6810</v>
      </c>
      <c r="B1269" s="4" t="s">
        <v>46</v>
      </c>
      <c r="C1269" s="4" t="s">
        <v>6811</v>
      </c>
      <c r="D1269" s="3" t="str">
        <f t="shared" si="114"/>
        <v>TOO</v>
      </c>
      <c r="E1269" s="3" t="str">
        <f t="shared" si="115"/>
        <v>A</v>
      </c>
      <c r="F1269" s="3" t="str">
        <f t="shared" si="116"/>
        <v>002</v>
      </c>
      <c r="G1269" s="3" t="str">
        <f t="shared" si="117"/>
        <v>UN</v>
      </c>
      <c r="H1269" s="3" t="str">
        <f t="shared" si="118"/>
        <v>000</v>
      </c>
      <c r="I1269" s="3" t="str">
        <f t="shared" si="119"/>
        <v>00</v>
      </c>
      <c r="L1269" s="3" t="s">
        <v>3309</v>
      </c>
      <c r="R1269" s="3" t="s">
        <v>6812</v>
      </c>
      <c r="S1269" s="15">
        <v>2</v>
      </c>
    </row>
    <row r="1270" spans="1:19" x14ac:dyDescent="0.25">
      <c r="A1270" s="4" t="s">
        <v>6813</v>
      </c>
      <c r="B1270" s="4" t="s">
        <v>46</v>
      </c>
      <c r="C1270" s="4" t="s">
        <v>6814</v>
      </c>
      <c r="D1270" s="3" t="str">
        <f t="shared" si="114"/>
        <v>TOO</v>
      </c>
      <c r="E1270" s="3" t="str">
        <f t="shared" si="115"/>
        <v>A</v>
      </c>
      <c r="F1270" s="3" t="str">
        <f t="shared" si="116"/>
        <v>003</v>
      </c>
      <c r="G1270" s="3" t="str">
        <f t="shared" si="117"/>
        <v>ST</v>
      </c>
      <c r="H1270" s="3" t="str">
        <f t="shared" si="118"/>
        <v>000</v>
      </c>
      <c r="I1270" s="3" t="str">
        <f t="shared" si="119"/>
        <v>00</v>
      </c>
      <c r="L1270" s="3" t="s">
        <v>3309</v>
      </c>
      <c r="R1270" s="3" t="s">
        <v>6815</v>
      </c>
      <c r="S1270" s="15" t="s">
        <v>3247</v>
      </c>
    </row>
    <row r="1271" spans="1:19" x14ac:dyDescent="0.25">
      <c r="A1271" s="4" t="s">
        <v>6816</v>
      </c>
      <c r="B1271" s="4" t="s">
        <v>46</v>
      </c>
      <c r="C1271" s="4" t="s">
        <v>6817</v>
      </c>
      <c r="D1271" s="3" t="str">
        <f t="shared" si="114"/>
        <v>TOO</v>
      </c>
      <c r="E1271" s="3" t="str">
        <f t="shared" si="115"/>
        <v>T</v>
      </c>
      <c r="F1271" s="3" t="str">
        <f t="shared" si="116"/>
        <v>009</v>
      </c>
      <c r="G1271" s="3" t="str">
        <f t="shared" si="117"/>
        <v>ST</v>
      </c>
      <c r="H1271" s="3" t="str">
        <f t="shared" si="118"/>
        <v>000</v>
      </c>
      <c r="I1271" s="3" t="str">
        <f t="shared" si="119"/>
        <v>00</v>
      </c>
      <c r="L1271" s="3" t="s">
        <v>3309</v>
      </c>
      <c r="R1271" s="3" t="s">
        <v>6818</v>
      </c>
      <c r="S1271" s="15" t="s">
        <v>3247</v>
      </c>
    </row>
    <row r="1272" spans="1:19" x14ac:dyDescent="0.25">
      <c r="A1272" s="4" t="s">
        <v>6819</v>
      </c>
      <c r="B1272" s="4" t="s">
        <v>46</v>
      </c>
      <c r="C1272" s="4" t="s">
        <v>6820</v>
      </c>
      <c r="D1272" s="3" t="str">
        <f t="shared" si="114"/>
        <v>TOO</v>
      </c>
      <c r="E1272" s="3" t="str">
        <f t="shared" si="115"/>
        <v>T</v>
      </c>
      <c r="F1272" s="3" t="str">
        <f t="shared" si="116"/>
        <v>011</v>
      </c>
      <c r="G1272" s="3" t="str">
        <f t="shared" si="117"/>
        <v>TP</v>
      </c>
      <c r="H1272" s="3" t="str">
        <f t="shared" si="118"/>
        <v>000</v>
      </c>
      <c r="I1272" s="3" t="str">
        <f t="shared" si="119"/>
        <v>00</v>
      </c>
      <c r="L1272" s="3" t="s">
        <v>3309</v>
      </c>
      <c r="R1272" s="3" t="s">
        <v>6821</v>
      </c>
      <c r="S1272" s="15" t="s">
        <v>3247</v>
      </c>
    </row>
    <row r="1273" spans="1:19" x14ac:dyDescent="0.25">
      <c r="A1273" s="4" t="s">
        <v>6822</v>
      </c>
      <c r="B1273" s="4" t="s">
        <v>46</v>
      </c>
      <c r="C1273" s="4" t="s">
        <v>6823</v>
      </c>
      <c r="D1273" s="3" t="str">
        <f t="shared" si="114"/>
        <v>TOO</v>
      </c>
      <c r="E1273" s="3" t="str">
        <f t="shared" si="115"/>
        <v>T</v>
      </c>
      <c r="F1273" s="3" t="str">
        <f t="shared" si="116"/>
        <v>008</v>
      </c>
      <c r="G1273" s="3" t="str">
        <f t="shared" si="117"/>
        <v>NA</v>
      </c>
      <c r="H1273" s="3" t="str">
        <f t="shared" si="118"/>
        <v>000</v>
      </c>
      <c r="I1273" s="3" t="str">
        <f t="shared" si="119"/>
        <v>01</v>
      </c>
      <c r="L1273" s="3" t="s">
        <v>3309</v>
      </c>
      <c r="R1273" s="3" t="s">
        <v>6824</v>
      </c>
      <c r="S1273" s="15" t="s">
        <v>3247</v>
      </c>
    </row>
    <row r="1274" spans="1:19" x14ac:dyDescent="0.25">
      <c r="A1274" s="4" t="s">
        <v>6825</v>
      </c>
      <c r="B1274" s="4" t="s">
        <v>46</v>
      </c>
      <c r="C1274" s="4" t="s">
        <v>6826</v>
      </c>
      <c r="D1274" s="3" t="str">
        <f t="shared" si="114"/>
        <v>TOO</v>
      </c>
      <c r="E1274" s="3" t="str">
        <f t="shared" si="115"/>
        <v>T</v>
      </c>
      <c r="F1274" s="3" t="str">
        <f t="shared" si="116"/>
        <v>008</v>
      </c>
      <c r="G1274" s="3" t="str">
        <f t="shared" si="117"/>
        <v>NA</v>
      </c>
      <c r="H1274" s="3" t="str">
        <f t="shared" si="118"/>
        <v>000</v>
      </c>
      <c r="I1274" s="3" t="str">
        <f t="shared" si="119"/>
        <v>02</v>
      </c>
      <c r="L1274" s="3" t="s">
        <v>3309</v>
      </c>
      <c r="R1274" s="3" t="s">
        <v>6827</v>
      </c>
      <c r="S1274" s="15" t="s">
        <v>3247</v>
      </c>
    </row>
    <row r="1275" spans="1:19" x14ac:dyDescent="0.25">
      <c r="A1275" s="4" t="s">
        <v>6828</v>
      </c>
      <c r="B1275" s="4" t="s">
        <v>46</v>
      </c>
      <c r="C1275" s="4" t="s">
        <v>6829</v>
      </c>
      <c r="D1275" s="3" t="str">
        <f t="shared" si="114"/>
        <v>TOO</v>
      </c>
      <c r="E1275" s="3" t="str">
        <f t="shared" si="115"/>
        <v>T</v>
      </c>
      <c r="F1275" s="3" t="str">
        <f t="shared" si="116"/>
        <v>008</v>
      </c>
      <c r="G1275" s="3" t="str">
        <f t="shared" si="117"/>
        <v>NA</v>
      </c>
      <c r="H1275" s="3" t="str">
        <f t="shared" si="118"/>
        <v>000</v>
      </c>
      <c r="I1275" s="3" t="str">
        <f t="shared" si="119"/>
        <v>03</v>
      </c>
      <c r="L1275" s="3" t="s">
        <v>3309</v>
      </c>
      <c r="R1275" s="3" t="s">
        <v>6830</v>
      </c>
      <c r="S1275" s="15" t="s">
        <v>3247</v>
      </c>
    </row>
    <row r="1276" spans="1:19" x14ac:dyDescent="0.25">
      <c r="A1276" s="4" t="s">
        <v>6831</v>
      </c>
      <c r="B1276" s="4" t="s">
        <v>46</v>
      </c>
      <c r="C1276" s="4" t="s">
        <v>6832</v>
      </c>
      <c r="D1276" s="3" t="str">
        <f t="shared" si="114"/>
        <v>TOO</v>
      </c>
      <c r="E1276" s="3" t="str">
        <f t="shared" si="115"/>
        <v>M</v>
      </c>
      <c r="F1276" s="3" t="str">
        <f t="shared" si="116"/>
        <v>012</v>
      </c>
      <c r="G1276" s="3" t="str">
        <f t="shared" si="117"/>
        <v>NA</v>
      </c>
      <c r="H1276" s="3" t="str">
        <f t="shared" si="118"/>
        <v>000</v>
      </c>
      <c r="I1276" s="3" t="str">
        <f t="shared" si="119"/>
        <v>00</v>
      </c>
      <c r="L1276" s="3" t="s">
        <v>3309</v>
      </c>
      <c r="R1276" s="3" t="s">
        <v>6833</v>
      </c>
      <c r="S1276" s="15" t="s">
        <v>3247</v>
      </c>
    </row>
    <row r="1277" spans="1:19" x14ac:dyDescent="0.25">
      <c r="A1277" s="4" t="s">
        <v>6834</v>
      </c>
      <c r="B1277" s="4" t="s">
        <v>46</v>
      </c>
      <c r="C1277" s="4" t="s">
        <v>6835</v>
      </c>
      <c r="D1277" s="3" t="str">
        <f t="shared" si="114"/>
        <v>TOO</v>
      </c>
      <c r="E1277" s="3" t="str">
        <f t="shared" si="115"/>
        <v>M</v>
      </c>
      <c r="F1277" s="3" t="str">
        <f t="shared" si="116"/>
        <v>013</v>
      </c>
      <c r="G1277" s="3" t="str">
        <f t="shared" si="117"/>
        <v>NA</v>
      </c>
      <c r="H1277" s="3" t="str">
        <f t="shared" si="118"/>
        <v>000</v>
      </c>
      <c r="I1277" s="3" t="str">
        <f t="shared" si="119"/>
        <v>00</v>
      </c>
      <c r="L1277" s="3" t="s">
        <v>3309</v>
      </c>
      <c r="R1277" s="3" t="s">
        <v>6836</v>
      </c>
      <c r="S1277" s="15" t="s">
        <v>3247</v>
      </c>
    </row>
    <row r="1278" spans="1:19" x14ac:dyDescent="0.25">
      <c r="A1278" s="4" t="s">
        <v>6837</v>
      </c>
      <c r="B1278" s="4" t="s">
        <v>46</v>
      </c>
      <c r="C1278" s="4" t="s">
        <v>6838</v>
      </c>
      <c r="D1278" s="3" t="str">
        <f t="shared" si="114"/>
        <v>TOO</v>
      </c>
      <c r="E1278" s="3" t="str">
        <f t="shared" si="115"/>
        <v>M</v>
      </c>
      <c r="F1278" s="3" t="str">
        <f t="shared" si="116"/>
        <v>014</v>
      </c>
      <c r="G1278" s="3" t="str">
        <f t="shared" si="117"/>
        <v>NA</v>
      </c>
      <c r="H1278" s="3" t="str">
        <f t="shared" si="118"/>
        <v>000</v>
      </c>
      <c r="I1278" s="3" t="str">
        <f t="shared" si="119"/>
        <v>00</v>
      </c>
      <c r="L1278" s="3" t="s">
        <v>3309</v>
      </c>
      <c r="R1278" s="3" t="s">
        <v>6839</v>
      </c>
      <c r="S1278" s="15" t="s">
        <v>3247</v>
      </c>
    </row>
    <row r="1279" spans="1:19" x14ac:dyDescent="0.25">
      <c r="A1279" s="4" t="s">
        <v>6840</v>
      </c>
      <c r="B1279" s="4" t="s">
        <v>46</v>
      </c>
      <c r="C1279" s="4" t="s">
        <v>6841</v>
      </c>
      <c r="D1279" s="3" t="str">
        <f t="shared" si="114"/>
        <v>TOO</v>
      </c>
      <c r="E1279" s="3" t="str">
        <f t="shared" si="115"/>
        <v>T</v>
      </c>
      <c r="F1279" s="3" t="str">
        <f t="shared" si="116"/>
        <v>005</v>
      </c>
      <c r="G1279" s="3" t="str">
        <f t="shared" si="117"/>
        <v>TP</v>
      </c>
      <c r="H1279" s="3" t="str">
        <f t="shared" si="118"/>
        <v>000</v>
      </c>
      <c r="I1279" s="3" t="str">
        <f t="shared" si="119"/>
        <v>00</v>
      </c>
      <c r="L1279" s="3" t="s">
        <v>3309</v>
      </c>
      <c r="R1279" s="3" t="s">
        <v>6842</v>
      </c>
      <c r="S1279" s="15" t="s">
        <v>3247</v>
      </c>
    </row>
    <row r="1280" spans="1:19" x14ac:dyDescent="0.25">
      <c r="A1280" s="4" t="s">
        <v>6843</v>
      </c>
      <c r="B1280" s="4" t="s">
        <v>46</v>
      </c>
      <c r="C1280" s="4" t="s">
        <v>6844</v>
      </c>
      <c r="D1280" s="3" t="str">
        <f t="shared" si="114"/>
        <v>TOO</v>
      </c>
      <c r="E1280" s="3" t="str">
        <f t="shared" si="115"/>
        <v>T</v>
      </c>
      <c r="F1280" s="3" t="str">
        <f t="shared" si="116"/>
        <v>005</v>
      </c>
      <c r="G1280" s="3" t="str">
        <f t="shared" si="117"/>
        <v>NA</v>
      </c>
      <c r="H1280" s="3" t="str">
        <f t="shared" si="118"/>
        <v>000</v>
      </c>
      <c r="I1280" s="3" t="str">
        <f t="shared" si="119"/>
        <v>00</v>
      </c>
      <c r="L1280" s="3" t="s">
        <v>3309</v>
      </c>
      <c r="R1280" s="3" t="s">
        <v>6845</v>
      </c>
      <c r="S1280" s="15" t="s">
        <v>3247</v>
      </c>
    </row>
    <row r="1281" spans="1:19" ht="30" x14ac:dyDescent="0.25">
      <c r="A1281" s="4" t="s">
        <v>6846</v>
      </c>
      <c r="B1281" s="4" t="s">
        <v>6847</v>
      </c>
      <c r="C1281" s="4" t="s">
        <v>6848</v>
      </c>
      <c r="D1281" s="3" t="str">
        <f t="shared" si="114"/>
        <v>MIS</v>
      </c>
      <c r="E1281" s="3" t="str">
        <f t="shared" si="115"/>
        <v>A</v>
      </c>
      <c r="F1281" s="3" t="str">
        <f t="shared" si="116"/>
        <v>001</v>
      </c>
      <c r="G1281" s="3" t="str">
        <f t="shared" si="117"/>
        <v>SC</v>
      </c>
      <c r="H1281" s="3" t="str">
        <f t="shared" si="118"/>
        <v>000</v>
      </c>
      <c r="I1281" s="3" t="str">
        <f t="shared" si="119"/>
        <v>00</v>
      </c>
      <c r="L1281" s="3" t="s">
        <v>3245</v>
      </c>
      <c r="R1281" s="3" t="s">
        <v>6849</v>
      </c>
      <c r="S1281" s="15" t="s">
        <v>3247</v>
      </c>
    </row>
    <row r="1282" spans="1:19" x14ac:dyDescent="0.25">
      <c r="A1282" s="4" t="s">
        <v>6850</v>
      </c>
      <c r="B1282" s="4" t="s">
        <v>6847</v>
      </c>
      <c r="C1282" s="4" t="s">
        <v>6851</v>
      </c>
      <c r="D1282" s="3" t="str">
        <f t="shared" ref="D1282:D1345" si="120">LEFT(A1282,3)</f>
        <v>MIS</v>
      </c>
      <c r="E1282" s="3" t="str">
        <f t="shared" ref="E1282:E1345" si="121">MID(A1282,4,1)</f>
        <v>A</v>
      </c>
      <c r="F1282" s="3" t="str">
        <f t="shared" ref="F1282:F1345" si="122">MID(A1282,5,3)</f>
        <v>002</v>
      </c>
      <c r="G1282" s="3" t="str">
        <f t="shared" ref="G1282:G1345" si="123">MID(A1282,8,2)</f>
        <v>SC</v>
      </c>
      <c r="H1282" s="3" t="str">
        <f t="shared" ref="H1282:H1345" si="124">MID(A1282,10,3)</f>
        <v>000</v>
      </c>
      <c r="I1282" s="3" t="str">
        <f t="shared" ref="I1282:I1345" si="125">MID(A1282,13,2)</f>
        <v>00</v>
      </c>
      <c r="L1282" s="3" t="s">
        <v>3245</v>
      </c>
      <c r="R1282" s="3" t="s">
        <v>6852</v>
      </c>
      <c r="S1282" s="15" t="s">
        <v>3247</v>
      </c>
    </row>
    <row r="1283" spans="1:19" x14ac:dyDescent="0.25">
      <c r="A1283" s="4" t="s">
        <v>6853</v>
      </c>
      <c r="B1283" s="4" t="s">
        <v>6847</v>
      </c>
      <c r="C1283" s="4" t="s">
        <v>6854</v>
      </c>
      <c r="D1283" s="3" t="str">
        <f t="shared" si="120"/>
        <v>MIS</v>
      </c>
      <c r="E1283" s="3" t="str">
        <f t="shared" si="121"/>
        <v>A</v>
      </c>
      <c r="F1283" s="3" t="str">
        <f t="shared" si="122"/>
        <v>003</v>
      </c>
      <c r="G1283" s="3" t="str">
        <f t="shared" si="123"/>
        <v>SC</v>
      </c>
      <c r="H1283" s="3" t="str">
        <f t="shared" si="124"/>
        <v>000</v>
      </c>
      <c r="I1283" s="3" t="str">
        <f t="shared" si="125"/>
        <v>00</v>
      </c>
      <c r="L1283" s="3" t="s">
        <v>3245</v>
      </c>
      <c r="R1283" s="3" t="s">
        <v>6855</v>
      </c>
      <c r="S1283" s="15" t="s">
        <v>3247</v>
      </c>
    </row>
    <row r="1284" spans="1:19" x14ac:dyDescent="0.25">
      <c r="A1284" s="4" t="s">
        <v>6856</v>
      </c>
      <c r="B1284" s="4" t="s">
        <v>6847</v>
      </c>
      <c r="C1284" s="4" t="s">
        <v>6857</v>
      </c>
      <c r="D1284" s="3" t="str">
        <f t="shared" si="120"/>
        <v>MIS</v>
      </c>
      <c r="E1284" s="3" t="str">
        <f t="shared" si="121"/>
        <v>A</v>
      </c>
      <c r="F1284" s="3" t="str">
        <f t="shared" si="122"/>
        <v>004</v>
      </c>
      <c r="G1284" s="3" t="str">
        <f t="shared" si="123"/>
        <v>SC</v>
      </c>
      <c r="H1284" s="3" t="str">
        <f t="shared" si="124"/>
        <v>000</v>
      </c>
      <c r="I1284" s="3" t="str">
        <f t="shared" si="125"/>
        <v>00</v>
      </c>
      <c r="L1284" s="3" t="s">
        <v>3245</v>
      </c>
      <c r="R1284" s="3" t="s">
        <v>6858</v>
      </c>
      <c r="S1284" s="15" t="s">
        <v>3247</v>
      </c>
    </row>
    <row r="1285" spans="1:19" x14ac:dyDescent="0.25">
      <c r="A1285" s="4" t="s">
        <v>6859</v>
      </c>
      <c r="B1285" s="4" t="s">
        <v>6847</v>
      </c>
      <c r="C1285" s="4" t="s">
        <v>6860</v>
      </c>
      <c r="D1285" s="3" t="str">
        <f t="shared" si="120"/>
        <v>MIS</v>
      </c>
      <c r="E1285" s="3" t="str">
        <f t="shared" si="121"/>
        <v>A</v>
      </c>
      <c r="F1285" s="3" t="str">
        <f t="shared" si="122"/>
        <v>005</v>
      </c>
      <c r="G1285" s="3" t="str">
        <f t="shared" si="123"/>
        <v>SC</v>
      </c>
      <c r="H1285" s="3" t="str">
        <f t="shared" si="124"/>
        <v>000</v>
      </c>
      <c r="I1285" s="3" t="str">
        <f t="shared" si="125"/>
        <v>00</v>
      </c>
      <c r="L1285" s="3" t="s">
        <v>3245</v>
      </c>
      <c r="R1285" s="3" t="s">
        <v>6861</v>
      </c>
      <c r="S1285" s="15" t="s">
        <v>3247</v>
      </c>
    </row>
    <row r="1286" spans="1:19" x14ac:dyDescent="0.25">
      <c r="A1286" s="4" t="s">
        <v>6862</v>
      </c>
      <c r="B1286" s="4" t="s">
        <v>6847</v>
      </c>
      <c r="C1286" s="4" t="s">
        <v>6863</v>
      </c>
      <c r="D1286" s="3" t="str">
        <f t="shared" si="120"/>
        <v>MIS</v>
      </c>
      <c r="E1286" s="3" t="str">
        <f t="shared" si="121"/>
        <v>A</v>
      </c>
      <c r="F1286" s="3" t="str">
        <f t="shared" si="122"/>
        <v>006</v>
      </c>
      <c r="G1286" s="3" t="str">
        <f t="shared" si="123"/>
        <v>SC</v>
      </c>
      <c r="H1286" s="3" t="str">
        <f t="shared" si="124"/>
        <v>000</v>
      </c>
      <c r="I1286" s="3" t="str">
        <f t="shared" si="125"/>
        <v>00</v>
      </c>
      <c r="L1286" s="3" t="s">
        <v>3245</v>
      </c>
      <c r="R1286" s="3" t="s">
        <v>6864</v>
      </c>
      <c r="S1286" s="15" t="s">
        <v>3247</v>
      </c>
    </row>
    <row r="1287" spans="1:19" x14ac:dyDescent="0.25">
      <c r="A1287" s="4" t="s">
        <v>6865</v>
      </c>
      <c r="B1287" s="4" t="s">
        <v>6847</v>
      </c>
      <c r="C1287" s="4" t="s">
        <v>6866</v>
      </c>
      <c r="D1287" s="3" t="str">
        <f t="shared" si="120"/>
        <v>MIS</v>
      </c>
      <c r="E1287" s="3" t="str">
        <f t="shared" si="121"/>
        <v>A</v>
      </c>
      <c r="F1287" s="3" t="str">
        <f t="shared" si="122"/>
        <v>007</v>
      </c>
      <c r="G1287" s="3" t="str">
        <f t="shared" si="123"/>
        <v>SC</v>
      </c>
      <c r="H1287" s="3" t="str">
        <f t="shared" si="124"/>
        <v>000</v>
      </c>
      <c r="I1287" s="3" t="str">
        <f t="shared" si="125"/>
        <v>00</v>
      </c>
      <c r="L1287" s="3" t="s">
        <v>3245</v>
      </c>
      <c r="R1287" s="3" t="s">
        <v>6867</v>
      </c>
      <c r="S1287" s="15" t="s">
        <v>3247</v>
      </c>
    </row>
    <row r="1288" spans="1:19" x14ac:dyDescent="0.25">
      <c r="A1288" s="4" t="s">
        <v>6868</v>
      </c>
      <c r="B1288" s="4" t="s">
        <v>6847</v>
      </c>
      <c r="C1288" s="4" t="s">
        <v>6869</v>
      </c>
      <c r="D1288" s="3" t="str">
        <f t="shared" si="120"/>
        <v>MIS</v>
      </c>
      <c r="E1288" s="3" t="str">
        <f t="shared" si="121"/>
        <v>A</v>
      </c>
      <c r="F1288" s="3" t="str">
        <f t="shared" si="122"/>
        <v>008</v>
      </c>
      <c r="G1288" s="3" t="str">
        <f t="shared" si="123"/>
        <v>SC</v>
      </c>
      <c r="H1288" s="3" t="str">
        <f t="shared" si="124"/>
        <v>000</v>
      </c>
      <c r="I1288" s="3" t="str">
        <f t="shared" si="125"/>
        <v>00</v>
      </c>
      <c r="L1288" s="3" t="s">
        <v>3245</v>
      </c>
      <c r="R1288" s="3" t="s">
        <v>6870</v>
      </c>
      <c r="S1288" s="15" t="s">
        <v>3247</v>
      </c>
    </row>
    <row r="1289" spans="1:19" x14ac:dyDescent="0.25">
      <c r="A1289" s="4" t="s">
        <v>6871</v>
      </c>
      <c r="B1289" s="4" t="s">
        <v>6847</v>
      </c>
      <c r="C1289" s="4" t="s">
        <v>6872</v>
      </c>
      <c r="D1289" s="3" t="str">
        <f t="shared" si="120"/>
        <v>MIS</v>
      </c>
      <c r="E1289" s="3" t="str">
        <f t="shared" si="121"/>
        <v>A</v>
      </c>
      <c r="F1289" s="3" t="str">
        <f t="shared" si="122"/>
        <v>009</v>
      </c>
      <c r="G1289" s="3" t="str">
        <f t="shared" si="123"/>
        <v>SC</v>
      </c>
      <c r="H1289" s="3" t="str">
        <f t="shared" si="124"/>
        <v>000</v>
      </c>
      <c r="I1289" s="3" t="str">
        <f t="shared" si="125"/>
        <v>00</v>
      </c>
      <c r="L1289" s="3" t="s">
        <v>3245</v>
      </c>
      <c r="R1289" s="3" t="s">
        <v>6873</v>
      </c>
      <c r="S1289" s="15" t="s">
        <v>3247</v>
      </c>
    </row>
    <row r="1290" spans="1:19" ht="30" x14ac:dyDescent="0.25">
      <c r="A1290" s="4" t="s">
        <v>6874</v>
      </c>
      <c r="B1290" s="4" t="s">
        <v>6847</v>
      </c>
      <c r="C1290" s="4" t="s">
        <v>6875</v>
      </c>
      <c r="D1290" s="3" t="str">
        <f t="shared" si="120"/>
        <v>MIS</v>
      </c>
      <c r="E1290" s="3" t="str">
        <f t="shared" si="121"/>
        <v>B</v>
      </c>
      <c r="F1290" s="3" t="str">
        <f t="shared" si="122"/>
        <v>001</v>
      </c>
      <c r="G1290" s="3" t="str">
        <f t="shared" si="123"/>
        <v>SA</v>
      </c>
      <c r="H1290" s="3" t="str">
        <f t="shared" si="124"/>
        <v>000</v>
      </c>
      <c r="I1290" s="3" t="str">
        <f t="shared" si="125"/>
        <v>00</v>
      </c>
      <c r="L1290" s="3" t="s">
        <v>3245</v>
      </c>
      <c r="R1290" s="3" t="s">
        <v>6876</v>
      </c>
      <c r="S1290" s="15" t="s">
        <v>3247</v>
      </c>
    </row>
    <row r="1291" spans="1:19" ht="30" x14ac:dyDescent="0.25">
      <c r="A1291" s="4" t="s">
        <v>6877</v>
      </c>
      <c r="B1291" s="4" t="s">
        <v>6847</v>
      </c>
      <c r="C1291" s="4" t="s">
        <v>6878</v>
      </c>
      <c r="D1291" s="3" t="str">
        <f t="shared" si="120"/>
        <v>MIS</v>
      </c>
      <c r="E1291" s="3" t="str">
        <f t="shared" si="121"/>
        <v>B</v>
      </c>
      <c r="F1291" s="3" t="str">
        <f t="shared" si="122"/>
        <v>002</v>
      </c>
      <c r="G1291" s="3" t="str">
        <f t="shared" si="123"/>
        <v>SA</v>
      </c>
      <c r="H1291" s="3" t="str">
        <f t="shared" si="124"/>
        <v>000</v>
      </c>
      <c r="I1291" s="3" t="str">
        <f t="shared" si="125"/>
        <v>00</v>
      </c>
      <c r="L1291" s="3" t="s">
        <v>3245</v>
      </c>
      <c r="R1291" s="3" t="s">
        <v>6879</v>
      </c>
      <c r="S1291" s="15" t="s">
        <v>3247</v>
      </c>
    </row>
    <row r="1292" spans="1:19" x14ac:dyDescent="0.25">
      <c r="A1292" s="4" t="s">
        <v>6880</v>
      </c>
      <c r="B1292" s="4" t="s">
        <v>6847</v>
      </c>
      <c r="C1292" s="4" t="s">
        <v>6881</v>
      </c>
      <c r="D1292" s="3" t="str">
        <f t="shared" si="120"/>
        <v>MIS</v>
      </c>
      <c r="E1292" s="3" t="str">
        <f t="shared" si="121"/>
        <v>B</v>
      </c>
      <c r="F1292" s="3" t="str">
        <f t="shared" si="122"/>
        <v>010</v>
      </c>
      <c r="G1292" s="3" t="str">
        <f t="shared" si="123"/>
        <v>SA</v>
      </c>
      <c r="H1292" s="3" t="str">
        <f t="shared" si="124"/>
        <v>000</v>
      </c>
      <c r="I1292" s="3" t="str">
        <f t="shared" si="125"/>
        <v>00</v>
      </c>
      <c r="L1292" s="3" t="s">
        <v>3245</v>
      </c>
      <c r="R1292" s="3" t="s">
        <v>6882</v>
      </c>
      <c r="S1292" s="15" t="s">
        <v>3247</v>
      </c>
    </row>
    <row r="1293" spans="1:19" x14ac:dyDescent="0.25">
      <c r="A1293" s="4" t="s">
        <v>6883</v>
      </c>
      <c r="B1293" s="4" t="s">
        <v>6847</v>
      </c>
      <c r="C1293" s="4" t="s">
        <v>6884</v>
      </c>
      <c r="D1293" s="3" t="str">
        <f t="shared" si="120"/>
        <v>MIS</v>
      </c>
      <c r="E1293" s="3" t="str">
        <f t="shared" si="121"/>
        <v>B</v>
      </c>
      <c r="F1293" s="3" t="str">
        <f t="shared" si="122"/>
        <v>011</v>
      </c>
      <c r="G1293" s="3" t="str">
        <f t="shared" si="123"/>
        <v>SA</v>
      </c>
      <c r="H1293" s="3" t="str">
        <f t="shared" si="124"/>
        <v>000</v>
      </c>
      <c r="I1293" s="3" t="str">
        <f t="shared" si="125"/>
        <v>00</v>
      </c>
      <c r="L1293" s="3" t="s">
        <v>3245</v>
      </c>
      <c r="R1293" s="3" t="s">
        <v>6885</v>
      </c>
      <c r="S1293" s="15" t="s">
        <v>3247</v>
      </c>
    </row>
    <row r="1294" spans="1:19" ht="30" x14ac:dyDescent="0.25">
      <c r="A1294" s="4" t="s">
        <v>6886</v>
      </c>
      <c r="B1294" s="4" t="s">
        <v>6847</v>
      </c>
      <c r="C1294" s="4" t="s">
        <v>6887</v>
      </c>
      <c r="D1294" s="3" t="str">
        <f t="shared" si="120"/>
        <v>MIS</v>
      </c>
      <c r="E1294" s="3" t="str">
        <f t="shared" si="121"/>
        <v>B</v>
      </c>
      <c r="F1294" s="3" t="str">
        <f t="shared" si="122"/>
        <v>003</v>
      </c>
      <c r="G1294" s="3" t="str">
        <f t="shared" si="123"/>
        <v>SA</v>
      </c>
      <c r="H1294" s="3" t="str">
        <f t="shared" si="124"/>
        <v>000</v>
      </c>
      <c r="I1294" s="3" t="str">
        <f t="shared" si="125"/>
        <v>00</v>
      </c>
      <c r="L1294" s="3" t="s">
        <v>3245</v>
      </c>
      <c r="R1294" s="3" t="s">
        <v>6888</v>
      </c>
      <c r="S1294" s="15" t="s">
        <v>3247</v>
      </c>
    </row>
    <row r="1295" spans="1:19" ht="30" x14ac:dyDescent="0.25">
      <c r="A1295" s="4" t="s">
        <v>6889</v>
      </c>
      <c r="B1295" s="4" t="s">
        <v>6847</v>
      </c>
      <c r="C1295" s="4" t="s">
        <v>6890</v>
      </c>
      <c r="D1295" s="3" t="str">
        <f t="shared" si="120"/>
        <v>MIS</v>
      </c>
      <c r="E1295" s="3" t="str">
        <f t="shared" si="121"/>
        <v>B</v>
      </c>
      <c r="F1295" s="3" t="str">
        <f t="shared" si="122"/>
        <v>004</v>
      </c>
      <c r="G1295" s="3" t="str">
        <f t="shared" si="123"/>
        <v>SA</v>
      </c>
      <c r="H1295" s="3" t="str">
        <f t="shared" si="124"/>
        <v>000</v>
      </c>
      <c r="I1295" s="3" t="str">
        <f t="shared" si="125"/>
        <v>00</v>
      </c>
      <c r="L1295" s="3" t="s">
        <v>3245</v>
      </c>
      <c r="R1295" s="3" t="s">
        <v>6891</v>
      </c>
      <c r="S1295" s="15" t="s">
        <v>3247</v>
      </c>
    </row>
    <row r="1296" spans="1:19" x14ac:dyDescent="0.25">
      <c r="A1296" s="4" t="s">
        <v>6892</v>
      </c>
      <c r="B1296" s="4" t="s">
        <v>6847</v>
      </c>
      <c r="C1296" s="4" t="s">
        <v>6893</v>
      </c>
      <c r="D1296" s="3" t="str">
        <f t="shared" si="120"/>
        <v>MIS</v>
      </c>
      <c r="E1296" s="3" t="str">
        <f t="shared" si="121"/>
        <v>B</v>
      </c>
      <c r="F1296" s="3" t="str">
        <f t="shared" si="122"/>
        <v>012</v>
      </c>
      <c r="G1296" s="3" t="str">
        <f t="shared" si="123"/>
        <v>NA</v>
      </c>
      <c r="H1296" s="3" t="str">
        <f t="shared" si="124"/>
        <v>000</v>
      </c>
      <c r="I1296" s="3" t="str">
        <f t="shared" si="125"/>
        <v>00</v>
      </c>
      <c r="L1296" s="3" t="s">
        <v>3309</v>
      </c>
      <c r="R1296" s="3" t="s">
        <v>6894</v>
      </c>
      <c r="S1296" s="15" t="s">
        <v>3247</v>
      </c>
    </row>
    <row r="1297" spans="1:20" x14ac:dyDescent="0.25">
      <c r="A1297" s="4" t="s">
        <v>6895</v>
      </c>
      <c r="B1297" s="4" t="s">
        <v>6847</v>
      </c>
      <c r="C1297" s="4" t="s">
        <v>6896</v>
      </c>
      <c r="D1297" s="3" t="str">
        <f t="shared" si="120"/>
        <v>MIS</v>
      </c>
      <c r="E1297" s="3" t="str">
        <f t="shared" si="121"/>
        <v>B</v>
      </c>
      <c r="F1297" s="3" t="str">
        <f t="shared" si="122"/>
        <v>013</v>
      </c>
      <c r="G1297" s="3" t="str">
        <f t="shared" si="123"/>
        <v>NA</v>
      </c>
      <c r="H1297" s="3" t="str">
        <f t="shared" si="124"/>
        <v>000</v>
      </c>
      <c r="I1297" s="3" t="str">
        <f t="shared" si="125"/>
        <v>00</v>
      </c>
      <c r="L1297" s="3" t="s">
        <v>3309</v>
      </c>
      <c r="R1297" s="3" t="s">
        <v>6897</v>
      </c>
      <c r="S1297" s="15" t="s">
        <v>3247</v>
      </c>
    </row>
    <row r="1298" spans="1:20" x14ac:dyDescent="0.25">
      <c r="A1298" s="4" t="s">
        <v>6898</v>
      </c>
      <c r="B1298" s="4" t="s">
        <v>6847</v>
      </c>
      <c r="C1298" s="4" t="s">
        <v>6899</v>
      </c>
      <c r="D1298" s="3" t="str">
        <f t="shared" si="120"/>
        <v>MIS</v>
      </c>
      <c r="E1298" s="3" t="str">
        <f t="shared" si="121"/>
        <v>C</v>
      </c>
      <c r="F1298" s="3" t="str">
        <f t="shared" si="122"/>
        <v>014</v>
      </c>
      <c r="G1298" s="3" t="str">
        <f t="shared" si="123"/>
        <v>BA</v>
      </c>
      <c r="H1298" s="3" t="str">
        <f t="shared" si="124"/>
        <v>000</v>
      </c>
      <c r="I1298" s="3" t="str">
        <f t="shared" si="125"/>
        <v>00</v>
      </c>
      <c r="L1298" s="3" t="s">
        <v>3309</v>
      </c>
      <c r="R1298" s="3" t="s">
        <v>6900</v>
      </c>
      <c r="S1298" s="15" t="s">
        <v>3247</v>
      </c>
    </row>
    <row r="1299" spans="1:20" x14ac:dyDescent="0.25">
      <c r="A1299" s="4" t="s">
        <v>6901</v>
      </c>
      <c r="B1299" s="4" t="s">
        <v>6847</v>
      </c>
      <c r="C1299" s="4" t="s">
        <v>6902</v>
      </c>
      <c r="D1299" s="3" t="str">
        <f t="shared" si="120"/>
        <v>MIS</v>
      </c>
      <c r="E1299" s="3" t="str">
        <f t="shared" si="121"/>
        <v>D</v>
      </c>
      <c r="F1299" s="3" t="str">
        <f t="shared" si="122"/>
        <v>001</v>
      </c>
      <c r="G1299" s="3" t="str">
        <f t="shared" si="123"/>
        <v>SA</v>
      </c>
      <c r="H1299" s="3" t="str">
        <f t="shared" si="124"/>
        <v>000</v>
      </c>
      <c r="I1299" s="3" t="str">
        <f t="shared" si="125"/>
        <v>00</v>
      </c>
      <c r="L1299" s="3" t="s">
        <v>3608</v>
      </c>
      <c r="R1299" s="3" t="s">
        <v>6903</v>
      </c>
      <c r="S1299" s="15" t="s">
        <v>3247</v>
      </c>
    </row>
    <row r="1300" spans="1:20" x14ac:dyDescent="0.25">
      <c r="A1300" s="4" t="s">
        <v>6904</v>
      </c>
      <c r="B1300" s="4" t="s">
        <v>6847</v>
      </c>
      <c r="C1300" s="4" t="s">
        <v>6905</v>
      </c>
      <c r="D1300" s="3" t="str">
        <f t="shared" si="120"/>
        <v>MIS</v>
      </c>
      <c r="E1300" s="3" t="str">
        <f t="shared" si="121"/>
        <v>D</v>
      </c>
      <c r="F1300" s="3" t="str">
        <f t="shared" si="122"/>
        <v>002</v>
      </c>
      <c r="G1300" s="3" t="str">
        <f t="shared" si="123"/>
        <v>SA</v>
      </c>
      <c r="H1300" s="3" t="str">
        <f t="shared" si="124"/>
        <v>000</v>
      </c>
      <c r="I1300" s="3" t="str">
        <f t="shared" si="125"/>
        <v>00</v>
      </c>
      <c r="L1300" s="3" t="s">
        <v>3309</v>
      </c>
      <c r="R1300" s="3" t="s">
        <v>6906</v>
      </c>
      <c r="S1300" s="15" t="s">
        <v>3247</v>
      </c>
    </row>
    <row r="1301" spans="1:20" x14ac:dyDescent="0.25">
      <c r="A1301" s="4" t="s">
        <v>6907</v>
      </c>
      <c r="B1301" s="4" t="s">
        <v>6847</v>
      </c>
      <c r="C1301" s="4" t="s">
        <v>1968</v>
      </c>
      <c r="D1301" s="3" t="str">
        <f t="shared" si="120"/>
        <v>MIS</v>
      </c>
      <c r="E1301" s="3" t="str">
        <f t="shared" si="121"/>
        <v>D</v>
      </c>
      <c r="F1301" s="3" t="str">
        <f t="shared" si="122"/>
        <v>003</v>
      </c>
      <c r="G1301" s="3" t="str">
        <f t="shared" si="123"/>
        <v>SA</v>
      </c>
      <c r="H1301" s="3" t="str">
        <f t="shared" si="124"/>
        <v>000</v>
      </c>
      <c r="I1301" s="3" t="str">
        <f t="shared" si="125"/>
        <v>00</v>
      </c>
      <c r="L1301" s="3" t="s">
        <v>3309</v>
      </c>
      <c r="R1301" s="3" t="s">
        <v>6908</v>
      </c>
      <c r="S1301" s="15" t="s">
        <v>3247</v>
      </c>
    </row>
    <row r="1302" spans="1:20" x14ac:dyDescent="0.25">
      <c r="A1302" s="4" t="s">
        <v>6909</v>
      </c>
      <c r="B1302" s="4" t="s">
        <v>6847</v>
      </c>
      <c r="C1302" s="4" t="s">
        <v>3048</v>
      </c>
      <c r="D1302" s="3" t="str">
        <f t="shared" si="120"/>
        <v>MIS</v>
      </c>
      <c r="E1302" s="3" t="str">
        <f t="shared" si="121"/>
        <v>A</v>
      </c>
      <c r="F1302" s="3" t="str">
        <f t="shared" si="122"/>
        <v>004</v>
      </c>
      <c r="G1302" s="3" t="str">
        <f t="shared" si="123"/>
        <v>SC</v>
      </c>
      <c r="H1302" s="3" t="str">
        <f t="shared" si="124"/>
        <v>001</v>
      </c>
      <c r="I1302" s="3" t="str">
        <f t="shared" si="125"/>
        <v>00</v>
      </c>
      <c r="L1302" s="3" t="s">
        <v>3309</v>
      </c>
      <c r="R1302" s="3" t="s">
        <v>3048</v>
      </c>
      <c r="S1302" s="15" t="s">
        <v>3247</v>
      </c>
      <c r="T1302" s="14"/>
    </row>
    <row r="1303" spans="1:20" x14ac:dyDescent="0.25">
      <c r="A1303" s="4" t="s">
        <v>6910</v>
      </c>
      <c r="B1303" s="4" t="s">
        <v>6847</v>
      </c>
      <c r="C1303" s="4" t="s">
        <v>6911</v>
      </c>
      <c r="D1303" s="3" t="str">
        <f t="shared" si="120"/>
        <v>MIS</v>
      </c>
      <c r="E1303" s="3" t="str">
        <f t="shared" si="121"/>
        <v>A</v>
      </c>
      <c r="F1303" s="3" t="str">
        <f t="shared" si="122"/>
        <v>005</v>
      </c>
      <c r="G1303" s="3" t="str">
        <f t="shared" si="123"/>
        <v>SC</v>
      </c>
      <c r="H1303" s="3" t="str">
        <f t="shared" si="124"/>
        <v>002</v>
      </c>
      <c r="I1303" s="3" t="str">
        <f t="shared" si="125"/>
        <v>00</v>
      </c>
      <c r="L1303" s="3" t="s">
        <v>3309</v>
      </c>
      <c r="R1303" s="3" t="s">
        <v>3049</v>
      </c>
      <c r="S1303" s="15" t="s">
        <v>3247</v>
      </c>
      <c r="T1303" s="14"/>
    </row>
    <row r="1304" spans="1:20" x14ac:dyDescent="0.25">
      <c r="A1304" s="4" t="s">
        <v>6912</v>
      </c>
      <c r="B1304" s="4" t="s">
        <v>6847</v>
      </c>
      <c r="C1304" s="4" t="s">
        <v>6913</v>
      </c>
      <c r="D1304" s="3" t="str">
        <f t="shared" si="120"/>
        <v>MIS</v>
      </c>
      <c r="E1304" s="3" t="str">
        <f t="shared" si="121"/>
        <v>A</v>
      </c>
      <c r="F1304" s="3" t="str">
        <f t="shared" si="122"/>
        <v>007</v>
      </c>
      <c r="G1304" s="3" t="str">
        <f t="shared" si="123"/>
        <v>SC</v>
      </c>
      <c r="H1304" s="3" t="str">
        <f t="shared" si="124"/>
        <v>004</v>
      </c>
      <c r="I1304" s="3" t="str">
        <f t="shared" si="125"/>
        <v>00</v>
      </c>
      <c r="L1304" s="3" t="s">
        <v>3309</v>
      </c>
      <c r="R1304" s="3" t="s">
        <v>6914</v>
      </c>
      <c r="S1304" s="15" t="s">
        <v>3247</v>
      </c>
    </row>
    <row r="1305" spans="1:20" x14ac:dyDescent="0.25">
      <c r="A1305" s="4" t="s">
        <v>6915</v>
      </c>
      <c r="B1305" s="4" t="s">
        <v>6847</v>
      </c>
      <c r="C1305" s="4" t="s">
        <v>6916</v>
      </c>
      <c r="D1305" s="3" t="str">
        <f t="shared" si="120"/>
        <v>MIS</v>
      </c>
      <c r="E1305" s="3" t="str">
        <f t="shared" si="121"/>
        <v>A</v>
      </c>
      <c r="F1305" s="3" t="str">
        <f t="shared" si="122"/>
        <v>007</v>
      </c>
      <c r="G1305" s="3" t="str">
        <f t="shared" si="123"/>
        <v>SC</v>
      </c>
      <c r="H1305" s="3" t="str">
        <f t="shared" si="124"/>
        <v>005</v>
      </c>
      <c r="I1305" s="3" t="str">
        <f t="shared" si="125"/>
        <v>00</v>
      </c>
      <c r="L1305" s="3" t="s">
        <v>3309</v>
      </c>
      <c r="R1305" s="3" t="s">
        <v>6917</v>
      </c>
      <c r="S1305" s="15" t="s">
        <v>3247</v>
      </c>
    </row>
    <row r="1306" spans="1:20" x14ac:dyDescent="0.25">
      <c r="A1306" s="4" t="s">
        <v>6918</v>
      </c>
      <c r="B1306" s="4" t="s">
        <v>6847</v>
      </c>
      <c r="C1306" s="4" t="s">
        <v>6919</v>
      </c>
      <c r="D1306" s="3" t="str">
        <f t="shared" si="120"/>
        <v>MIS</v>
      </c>
      <c r="E1306" s="3" t="str">
        <f t="shared" si="121"/>
        <v>A</v>
      </c>
      <c r="F1306" s="3" t="str">
        <f t="shared" si="122"/>
        <v>005</v>
      </c>
      <c r="G1306" s="3" t="str">
        <f t="shared" si="123"/>
        <v>SA</v>
      </c>
      <c r="H1306" s="3" t="str">
        <f t="shared" si="124"/>
        <v>000</v>
      </c>
      <c r="I1306" s="3" t="str">
        <f t="shared" si="125"/>
        <v>00</v>
      </c>
      <c r="L1306" s="3" t="s">
        <v>3309</v>
      </c>
      <c r="R1306" s="3" t="s">
        <v>6920</v>
      </c>
      <c r="S1306" s="15" t="s">
        <v>3247</v>
      </c>
    </row>
    <row r="1307" spans="1:20" x14ac:dyDescent="0.25">
      <c r="A1307" s="4" t="s">
        <v>6921</v>
      </c>
      <c r="B1307" s="4" t="s">
        <v>6847</v>
      </c>
      <c r="C1307" s="4" t="s">
        <v>6922</v>
      </c>
      <c r="D1307" s="3" t="str">
        <f t="shared" si="120"/>
        <v>MIS</v>
      </c>
      <c r="E1307" s="3" t="str">
        <f t="shared" si="121"/>
        <v>A</v>
      </c>
      <c r="F1307" s="3" t="str">
        <f t="shared" si="122"/>
        <v>006</v>
      </c>
      <c r="G1307" s="3" t="str">
        <f t="shared" si="123"/>
        <v>SA</v>
      </c>
      <c r="H1307" s="3" t="str">
        <f t="shared" si="124"/>
        <v>000</v>
      </c>
      <c r="I1307" s="3" t="str">
        <f t="shared" si="125"/>
        <v>00</v>
      </c>
      <c r="L1307" s="3" t="s">
        <v>3309</v>
      </c>
      <c r="R1307" s="3" t="s">
        <v>6923</v>
      </c>
      <c r="S1307" s="15" t="s">
        <v>3247</v>
      </c>
    </row>
    <row r="1308" spans="1:20" x14ac:dyDescent="0.25">
      <c r="A1308" s="4" t="s">
        <v>6924</v>
      </c>
      <c r="B1308" s="4" t="s">
        <v>6847</v>
      </c>
      <c r="C1308" s="4" t="s">
        <v>6925</v>
      </c>
      <c r="D1308" s="3" t="str">
        <f t="shared" si="120"/>
        <v>MIS</v>
      </c>
      <c r="E1308" s="3" t="str">
        <f t="shared" si="121"/>
        <v>A</v>
      </c>
      <c r="F1308" s="3" t="str">
        <f t="shared" si="122"/>
        <v>007</v>
      </c>
      <c r="G1308" s="3" t="str">
        <f t="shared" si="123"/>
        <v>SA</v>
      </c>
      <c r="H1308" s="3" t="str">
        <f t="shared" si="124"/>
        <v>000</v>
      </c>
      <c r="I1308" s="3" t="str">
        <f t="shared" si="125"/>
        <v>00</v>
      </c>
      <c r="L1308" s="3" t="s">
        <v>3309</v>
      </c>
      <c r="R1308" s="3" t="s">
        <v>6926</v>
      </c>
      <c r="S1308" s="15" t="s">
        <v>3247</v>
      </c>
    </row>
    <row r="1309" spans="1:20" x14ac:dyDescent="0.25">
      <c r="A1309" s="4" t="s">
        <v>6927</v>
      </c>
      <c r="B1309" s="4" t="s">
        <v>6847</v>
      </c>
      <c r="C1309" s="4" t="s">
        <v>6928</v>
      </c>
      <c r="D1309" s="3" t="str">
        <f t="shared" si="120"/>
        <v>MIS</v>
      </c>
      <c r="E1309" s="3" t="str">
        <f t="shared" si="121"/>
        <v>A</v>
      </c>
      <c r="F1309" s="3" t="str">
        <f t="shared" si="122"/>
        <v>008</v>
      </c>
      <c r="G1309" s="3" t="str">
        <f t="shared" si="123"/>
        <v>SA</v>
      </c>
      <c r="H1309" s="3" t="str">
        <f t="shared" si="124"/>
        <v>000</v>
      </c>
      <c r="I1309" s="3" t="str">
        <f t="shared" si="125"/>
        <v>00</v>
      </c>
      <c r="L1309" s="3" t="s">
        <v>3309</v>
      </c>
      <c r="R1309" s="3" t="s">
        <v>6929</v>
      </c>
      <c r="S1309" s="15" t="s">
        <v>3247</v>
      </c>
    </row>
    <row r="1310" spans="1:20" x14ac:dyDescent="0.25">
      <c r="A1310" s="4" t="s">
        <v>6930</v>
      </c>
      <c r="B1310" s="4" t="s">
        <v>6847</v>
      </c>
      <c r="C1310" s="4" t="s">
        <v>6931</v>
      </c>
      <c r="D1310" s="3" t="str">
        <f t="shared" si="120"/>
        <v>MIS</v>
      </c>
      <c r="E1310" s="3" t="str">
        <f t="shared" si="121"/>
        <v>A</v>
      </c>
      <c r="F1310" s="3" t="str">
        <f t="shared" si="122"/>
        <v>009</v>
      </c>
      <c r="G1310" s="3" t="str">
        <f t="shared" si="123"/>
        <v>SA</v>
      </c>
      <c r="H1310" s="3" t="str">
        <f t="shared" si="124"/>
        <v>000</v>
      </c>
      <c r="I1310" s="3" t="str">
        <f t="shared" si="125"/>
        <v>00</v>
      </c>
      <c r="L1310" s="3" t="s">
        <v>3309</v>
      </c>
      <c r="R1310" s="3" t="s">
        <v>6932</v>
      </c>
      <c r="S1310" s="15" t="s">
        <v>3247</v>
      </c>
    </row>
    <row r="1311" spans="1:20" x14ac:dyDescent="0.25">
      <c r="A1311" s="4" t="s">
        <v>6933</v>
      </c>
      <c r="B1311" s="4" t="s">
        <v>6847</v>
      </c>
      <c r="C1311" s="4" t="s">
        <v>6934</v>
      </c>
      <c r="D1311" s="3" t="str">
        <f t="shared" si="120"/>
        <v>MIS</v>
      </c>
      <c r="E1311" s="3" t="str">
        <f t="shared" si="121"/>
        <v>A</v>
      </c>
      <c r="F1311" s="3" t="str">
        <f t="shared" si="122"/>
        <v>010</v>
      </c>
      <c r="G1311" s="3" t="str">
        <f t="shared" si="123"/>
        <v>SA</v>
      </c>
      <c r="H1311" s="3" t="str">
        <f t="shared" si="124"/>
        <v>000</v>
      </c>
      <c r="I1311" s="3" t="str">
        <f t="shared" si="125"/>
        <v>00</v>
      </c>
      <c r="L1311" s="3" t="s">
        <v>3309</v>
      </c>
      <c r="R1311" s="3" t="s">
        <v>6935</v>
      </c>
      <c r="S1311" s="15" t="s">
        <v>3247</v>
      </c>
    </row>
    <row r="1312" spans="1:20" x14ac:dyDescent="0.25">
      <c r="A1312" s="4" t="s">
        <v>6936</v>
      </c>
      <c r="B1312" s="4" t="s">
        <v>6847</v>
      </c>
      <c r="C1312" s="4" t="s">
        <v>6937</v>
      </c>
      <c r="D1312" s="3" t="str">
        <f t="shared" si="120"/>
        <v>MIS</v>
      </c>
      <c r="E1312" s="3" t="str">
        <f t="shared" si="121"/>
        <v>A</v>
      </c>
      <c r="F1312" s="3" t="str">
        <f t="shared" si="122"/>
        <v>000</v>
      </c>
      <c r="G1312" s="3" t="str">
        <f t="shared" si="123"/>
        <v>SC</v>
      </c>
      <c r="H1312" s="3" t="str">
        <f t="shared" si="124"/>
        <v>006</v>
      </c>
      <c r="I1312" s="3" t="str">
        <f t="shared" si="125"/>
        <v>00</v>
      </c>
      <c r="L1312" s="3" t="s">
        <v>3309</v>
      </c>
      <c r="R1312" s="3" t="s">
        <v>3053</v>
      </c>
      <c r="S1312" s="15" t="s">
        <v>3247</v>
      </c>
    </row>
    <row r="1313" spans="1:19" x14ac:dyDescent="0.25">
      <c r="A1313" s="4" t="s">
        <v>6938</v>
      </c>
      <c r="B1313" s="4" t="s">
        <v>6847</v>
      </c>
      <c r="C1313" s="4" t="s">
        <v>6939</v>
      </c>
      <c r="D1313" s="3" t="str">
        <f t="shared" si="120"/>
        <v>MIS</v>
      </c>
      <c r="E1313" s="3" t="str">
        <f t="shared" si="121"/>
        <v>A</v>
      </c>
      <c r="F1313" s="3" t="str">
        <f t="shared" si="122"/>
        <v>000</v>
      </c>
      <c r="G1313" s="3" t="str">
        <f t="shared" si="123"/>
        <v>SC</v>
      </c>
      <c r="H1313" s="3" t="str">
        <f t="shared" si="124"/>
        <v>007</v>
      </c>
      <c r="I1313" s="3" t="str">
        <f t="shared" si="125"/>
        <v>00</v>
      </c>
      <c r="L1313" s="3" t="s">
        <v>3309</v>
      </c>
      <c r="R1313" s="3" t="s">
        <v>3054</v>
      </c>
      <c r="S1313" s="15" t="s">
        <v>3247</v>
      </c>
    </row>
    <row r="1314" spans="1:19" x14ac:dyDescent="0.25">
      <c r="A1314" s="4" t="s">
        <v>6940</v>
      </c>
      <c r="B1314" s="4" t="s">
        <v>6847</v>
      </c>
      <c r="C1314" s="4" t="s">
        <v>6941</v>
      </c>
      <c r="D1314" s="3" t="str">
        <f t="shared" si="120"/>
        <v>MIS</v>
      </c>
      <c r="E1314" s="3" t="str">
        <f t="shared" si="121"/>
        <v>A</v>
      </c>
      <c r="F1314" s="3" t="str">
        <f t="shared" si="122"/>
        <v>000</v>
      </c>
      <c r="G1314" s="3" t="str">
        <f t="shared" si="123"/>
        <v>SC</v>
      </c>
      <c r="H1314" s="3" t="str">
        <f t="shared" si="124"/>
        <v>008</v>
      </c>
      <c r="I1314" s="3" t="str">
        <f t="shared" si="125"/>
        <v>00</v>
      </c>
      <c r="L1314" s="3" t="s">
        <v>3309</v>
      </c>
      <c r="R1314" s="3" t="s">
        <v>3055</v>
      </c>
      <c r="S1314" s="15" t="s">
        <v>3247</v>
      </c>
    </row>
    <row r="1315" spans="1:19" x14ac:dyDescent="0.25">
      <c r="A1315" s="4" t="s">
        <v>6942</v>
      </c>
      <c r="B1315" s="4" t="s">
        <v>6847</v>
      </c>
      <c r="C1315" s="4" t="s">
        <v>6943</v>
      </c>
      <c r="D1315" s="3" t="str">
        <f t="shared" si="120"/>
        <v>MIS</v>
      </c>
      <c r="E1315" s="3" t="str">
        <f t="shared" si="121"/>
        <v>A</v>
      </c>
      <c r="F1315" s="3" t="str">
        <f t="shared" si="122"/>
        <v>000</v>
      </c>
      <c r="G1315" s="3" t="str">
        <f t="shared" si="123"/>
        <v>SC</v>
      </c>
      <c r="H1315" s="3" t="str">
        <f t="shared" si="124"/>
        <v>010</v>
      </c>
      <c r="I1315" s="3" t="str">
        <f t="shared" si="125"/>
        <v>00</v>
      </c>
      <c r="L1315" s="3" t="s">
        <v>3309</v>
      </c>
      <c r="R1315" s="3" t="s">
        <v>3057</v>
      </c>
      <c r="S1315" s="15" t="s">
        <v>3247</v>
      </c>
    </row>
    <row r="1316" spans="1:19" x14ac:dyDescent="0.25">
      <c r="A1316" s="4" t="s">
        <v>6944</v>
      </c>
      <c r="B1316" s="4" t="s">
        <v>6847</v>
      </c>
      <c r="C1316" s="4" t="s">
        <v>6945</v>
      </c>
      <c r="D1316" s="3" t="str">
        <f t="shared" si="120"/>
        <v>MIS</v>
      </c>
      <c r="E1316" s="3" t="str">
        <f t="shared" si="121"/>
        <v>D</v>
      </c>
      <c r="F1316" s="3" t="str">
        <f t="shared" si="122"/>
        <v>009</v>
      </c>
      <c r="G1316" s="3" t="str">
        <f t="shared" si="123"/>
        <v>SC</v>
      </c>
      <c r="H1316" s="3" t="str">
        <f t="shared" si="124"/>
        <v>011</v>
      </c>
      <c r="I1316" s="3" t="str">
        <f t="shared" si="125"/>
        <v>00</v>
      </c>
      <c r="L1316" s="3" t="s">
        <v>3245</v>
      </c>
      <c r="R1316" s="3" t="s">
        <v>6946</v>
      </c>
      <c r="S1316" s="15" t="s">
        <v>3247</v>
      </c>
    </row>
    <row r="1317" spans="1:19" x14ac:dyDescent="0.25">
      <c r="A1317" s="4" t="s">
        <v>6947</v>
      </c>
      <c r="B1317" s="4" t="s">
        <v>6847</v>
      </c>
      <c r="C1317" s="4" t="s">
        <v>6948</v>
      </c>
      <c r="D1317" s="3" t="str">
        <f t="shared" si="120"/>
        <v>MIS</v>
      </c>
      <c r="E1317" s="3" t="str">
        <f t="shared" si="121"/>
        <v>D</v>
      </c>
      <c r="F1317" s="3" t="str">
        <f t="shared" si="122"/>
        <v>010</v>
      </c>
      <c r="G1317" s="3" t="str">
        <f t="shared" si="123"/>
        <v>LT</v>
      </c>
      <c r="H1317" s="3" t="str">
        <f t="shared" si="124"/>
        <v>000</v>
      </c>
      <c r="I1317" s="3" t="str">
        <f t="shared" si="125"/>
        <v>00</v>
      </c>
      <c r="L1317" s="3" t="s">
        <v>3309</v>
      </c>
      <c r="R1317" s="3" t="s">
        <v>6949</v>
      </c>
      <c r="S1317" s="15" t="s">
        <v>3247</v>
      </c>
    </row>
    <row r="1318" spans="1:19" x14ac:dyDescent="0.25">
      <c r="A1318" s="4" t="s">
        <v>6950</v>
      </c>
      <c r="B1318" s="4" t="s">
        <v>6847</v>
      </c>
      <c r="C1318" s="4" t="s">
        <v>6951</v>
      </c>
      <c r="D1318" s="3" t="str">
        <f t="shared" si="120"/>
        <v>MIS</v>
      </c>
      <c r="E1318" s="3" t="str">
        <f t="shared" si="121"/>
        <v>B</v>
      </c>
      <c r="F1318" s="3" t="str">
        <f t="shared" si="122"/>
        <v>011</v>
      </c>
      <c r="G1318" s="3" t="str">
        <f t="shared" si="123"/>
        <v>NS</v>
      </c>
      <c r="H1318" s="3" t="str">
        <f t="shared" si="124"/>
        <v>000</v>
      </c>
      <c r="I1318" s="3" t="str">
        <f t="shared" si="125"/>
        <v>00</v>
      </c>
      <c r="L1318" s="3" t="s">
        <v>3309</v>
      </c>
      <c r="R1318" s="3" t="s">
        <v>6952</v>
      </c>
      <c r="S1318" s="15" t="s">
        <v>3247</v>
      </c>
    </row>
    <row r="1319" spans="1:19" x14ac:dyDescent="0.25">
      <c r="A1319" s="4" t="s">
        <v>6953</v>
      </c>
      <c r="B1319" s="4" t="s">
        <v>6847</v>
      </c>
      <c r="C1319" s="4" t="s">
        <v>6954</v>
      </c>
      <c r="D1319" s="3" t="str">
        <f t="shared" si="120"/>
        <v>MIS</v>
      </c>
      <c r="E1319" s="3" t="str">
        <f t="shared" si="121"/>
        <v>B</v>
      </c>
      <c r="F1319" s="3" t="str">
        <f t="shared" si="122"/>
        <v>012</v>
      </c>
      <c r="G1319" s="3" t="str">
        <f t="shared" si="123"/>
        <v>NS</v>
      </c>
      <c r="H1319" s="3" t="str">
        <f t="shared" si="124"/>
        <v>000</v>
      </c>
      <c r="I1319" s="3" t="str">
        <f t="shared" si="125"/>
        <v>00</v>
      </c>
      <c r="L1319" s="3" t="s">
        <v>3309</v>
      </c>
      <c r="R1319" s="3" t="s">
        <v>6955</v>
      </c>
      <c r="S1319" s="15" t="s">
        <v>3247</v>
      </c>
    </row>
    <row r="1320" spans="1:19" x14ac:dyDescent="0.25">
      <c r="A1320" s="4" t="s">
        <v>6956</v>
      </c>
      <c r="B1320" s="4" t="s">
        <v>6847</v>
      </c>
      <c r="C1320" s="4" t="s">
        <v>6957</v>
      </c>
      <c r="D1320" s="3" t="str">
        <f t="shared" si="120"/>
        <v>MIS</v>
      </c>
      <c r="E1320" s="3" t="str">
        <f t="shared" si="121"/>
        <v>B</v>
      </c>
      <c r="F1320" s="3" t="str">
        <f t="shared" si="122"/>
        <v>013</v>
      </c>
      <c r="G1320" s="3" t="str">
        <f t="shared" si="123"/>
        <v>NS</v>
      </c>
      <c r="H1320" s="3" t="str">
        <f t="shared" si="124"/>
        <v>000</v>
      </c>
      <c r="I1320" s="3" t="str">
        <f t="shared" si="125"/>
        <v>00</v>
      </c>
      <c r="L1320" s="3" t="s">
        <v>3309</v>
      </c>
      <c r="R1320" s="3" t="s">
        <v>6958</v>
      </c>
      <c r="S1320" s="15" t="s">
        <v>3247</v>
      </c>
    </row>
    <row r="1321" spans="1:19" x14ac:dyDescent="0.25">
      <c r="A1321" s="4" t="s">
        <v>6959</v>
      </c>
      <c r="B1321" s="4" t="s">
        <v>6847</v>
      </c>
      <c r="C1321" s="4" t="s">
        <v>6960</v>
      </c>
      <c r="D1321" s="3" t="str">
        <f t="shared" si="120"/>
        <v>MIS</v>
      </c>
      <c r="E1321" s="3" t="str">
        <f t="shared" si="121"/>
        <v>B</v>
      </c>
      <c r="F1321" s="3" t="str">
        <f t="shared" si="122"/>
        <v>014</v>
      </c>
      <c r="G1321" s="3" t="str">
        <f t="shared" si="123"/>
        <v>NS</v>
      </c>
      <c r="H1321" s="3" t="str">
        <f t="shared" si="124"/>
        <v>000</v>
      </c>
      <c r="I1321" s="3" t="str">
        <f t="shared" si="125"/>
        <v>00</v>
      </c>
      <c r="L1321" s="3" t="s">
        <v>3309</v>
      </c>
      <c r="R1321" s="3" t="s">
        <v>6961</v>
      </c>
      <c r="S1321" s="15" t="s">
        <v>3247</v>
      </c>
    </row>
    <row r="1322" spans="1:19" x14ac:dyDescent="0.25">
      <c r="A1322" s="4" t="s">
        <v>6962</v>
      </c>
      <c r="B1322" s="4" t="s">
        <v>6847</v>
      </c>
      <c r="C1322" s="4" t="s">
        <v>6963</v>
      </c>
      <c r="D1322" s="3" t="str">
        <f t="shared" si="120"/>
        <v>MIS</v>
      </c>
      <c r="E1322" s="3" t="str">
        <f t="shared" si="121"/>
        <v>B</v>
      </c>
      <c r="F1322" s="3" t="str">
        <f t="shared" si="122"/>
        <v>015</v>
      </c>
      <c r="G1322" s="3" t="str">
        <f t="shared" si="123"/>
        <v>NS</v>
      </c>
      <c r="H1322" s="3" t="str">
        <f t="shared" si="124"/>
        <v>000</v>
      </c>
      <c r="I1322" s="3" t="str">
        <f t="shared" si="125"/>
        <v>00</v>
      </c>
      <c r="L1322" s="3" t="s">
        <v>3309</v>
      </c>
      <c r="R1322" s="3" t="s">
        <v>6964</v>
      </c>
      <c r="S1322" s="15" t="s">
        <v>3247</v>
      </c>
    </row>
    <row r="1323" spans="1:19" x14ac:dyDescent="0.25">
      <c r="A1323" s="4" t="s">
        <v>6965</v>
      </c>
      <c r="B1323" s="4" t="s">
        <v>6847</v>
      </c>
      <c r="C1323" s="4" t="s">
        <v>6966</v>
      </c>
      <c r="D1323" s="3" t="str">
        <f t="shared" si="120"/>
        <v>MIS</v>
      </c>
      <c r="E1323" s="3" t="str">
        <f t="shared" si="121"/>
        <v>B</v>
      </c>
      <c r="F1323" s="3" t="str">
        <f t="shared" si="122"/>
        <v>016</v>
      </c>
      <c r="G1323" s="3" t="str">
        <f t="shared" si="123"/>
        <v>NS</v>
      </c>
      <c r="H1323" s="3" t="str">
        <f t="shared" si="124"/>
        <v>000</v>
      </c>
      <c r="I1323" s="3" t="str">
        <f t="shared" si="125"/>
        <v>00</v>
      </c>
      <c r="L1323" s="3" t="s">
        <v>3309</v>
      </c>
      <c r="R1323" s="3" t="s">
        <v>6967</v>
      </c>
      <c r="S1323" s="15" t="s">
        <v>3247</v>
      </c>
    </row>
    <row r="1324" spans="1:19" x14ac:dyDescent="0.25">
      <c r="A1324" s="4" t="s">
        <v>6968</v>
      </c>
      <c r="B1324" s="4" t="s">
        <v>6847</v>
      </c>
      <c r="C1324" s="4" t="s">
        <v>6969</v>
      </c>
      <c r="D1324" s="3" t="str">
        <f t="shared" si="120"/>
        <v>MIS</v>
      </c>
      <c r="E1324" s="3" t="str">
        <f t="shared" si="121"/>
        <v>B</v>
      </c>
      <c r="F1324" s="3" t="str">
        <f t="shared" si="122"/>
        <v>017</v>
      </c>
      <c r="G1324" s="3" t="str">
        <f t="shared" si="123"/>
        <v>NS</v>
      </c>
      <c r="H1324" s="3" t="str">
        <f t="shared" si="124"/>
        <v>000</v>
      </c>
      <c r="I1324" s="3" t="str">
        <f t="shared" si="125"/>
        <v>00</v>
      </c>
      <c r="L1324" s="3" t="s">
        <v>3309</v>
      </c>
      <c r="R1324" s="3" t="s">
        <v>6970</v>
      </c>
      <c r="S1324" s="15" t="s">
        <v>3247</v>
      </c>
    </row>
    <row r="1325" spans="1:19" x14ac:dyDescent="0.25">
      <c r="A1325" s="4" t="s">
        <v>6971</v>
      </c>
      <c r="B1325" s="4" t="s">
        <v>6847</v>
      </c>
      <c r="C1325" s="4" t="s">
        <v>6972</v>
      </c>
      <c r="D1325" s="3" t="str">
        <f t="shared" si="120"/>
        <v>MIS</v>
      </c>
      <c r="E1325" s="3" t="str">
        <f t="shared" si="121"/>
        <v>B</v>
      </c>
      <c r="F1325" s="3" t="str">
        <f t="shared" si="122"/>
        <v>018</v>
      </c>
      <c r="G1325" s="3" t="str">
        <f t="shared" si="123"/>
        <v>NS</v>
      </c>
      <c r="H1325" s="3" t="str">
        <f t="shared" si="124"/>
        <v>000</v>
      </c>
      <c r="I1325" s="3" t="str">
        <f t="shared" si="125"/>
        <v>00</v>
      </c>
      <c r="L1325" s="3" t="s">
        <v>3245</v>
      </c>
      <c r="R1325" s="3" t="s">
        <v>6973</v>
      </c>
      <c r="S1325" s="15" t="s">
        <v>3247</v>
      </c>
    </row>
    <row r="1326" spans="1:19" x14ac:dyDescent="0.25">
      <c r="A1326" s="4" t="s">
        <v>6974</v>
      </c>
      <c r="B1326" s="4" t="s">
        <v>6847</v>
      </c>
      <c r="C1326" s="4" t="s">
        <v>6975</v>
      </c>
      <c r="D1326" s="3" t="str">
        <f t="shared" si="120"/>
        <v>MIS</v>
      </c>
      <c r="E1326" s="3" t="str">
        <f t="shared" si="121"/>
        <v>B</v>
      </c>
      <c r="F1326" s="3" t="str">
        <f t="shared" si="122"/>
        <v>019</v>
      </c>
      <c r="G1326" s="3" t="str">
        <f t="shared" si="123"/>
        <v>NS</v>
      </c>
      <c r="H1326" s="3" t="str">
        <f t="shared" si="124"/>
        <v>000</v>
      </c>
      <c r="I1326" s="3" t="str">
        <f t="shared" si="125"/>
        <v>00</v>
      </c>
      <c r="L1326" s="3" t="s">
        <v>3309</v>
      </c>
      <c r="R1326" s="3" t="s">
        <v>6976</v>
      </c>
      <c r="S1326" s="15" t="s">
        <v>3247</v>
      </c>
    </row>
    <row r="1327" spans="1:19" x14ac:dyDescent="0.25">
      <c r="A1327" s="4" t="s">
        <v>6977</v>
      </c>
      <c r="B1327" s="4" t="s">
        <v>6847</v>
      </c>
      <c r="C1327" s="4" t="s">
        <v>6978</v>
      </c>
      <c r="D1327" s="3" t="str">
        <f t="shared" si="120"/>
        <v>MIS</v>
      </c>
      <c r="E1327" s="3" t="str">
        <f t="shared" si="121"/>
        <v>B</v>
      </c>
      <c r="F1327" s="3" t="str">
        <f t="shared" si="122"/>
        <v>020</v>
      </c>
      <c r="G1327" s="3" t="str">
        <f t="shared" si="123"/>
        <v>NS</v>
      </c>
      <c r="H1327" s="3" t="str">
        <f t="shared" si="124"/>
        <v>000</v>
      </c>
      <c r="I1327" s="3" t="str">
        <f t="shared" si="125"/>
        <v>00</v>
      </c>
      <c r="L1327" s="3" t="s">
        <v>3309</v>
      </c>
      <c r="R1327" s="3" t="s">
        <v>6979</v>
      </c>
      <c r="S1327" s="15" t="s">
        <v>3247</v>
      </c>
    </row>
    <row r="1328" spans="1:19" x14ac:dyDescent="0.25">
      <c r="A1328" s="4" t="s">
        <v>6980</v>
      </c>
      <c r="B1328" s="4" t="s">
        <v>6847</v>
      </c>
      <c r="C1328" s="4" t="s">
        <v>6981</v>
      </c>
      <c r="D1328" s="3" t="str">
        <f t="shared" si="120"/>
        <v>MIS</v>
      </c>
      <c r="E1328" s="3" t="str">
        <f t="shared" si="121"/>
        <v>B</v>
      </c>
      <c r="F1328" s="3" t="str">
        <f t="shared" si="122"/>
        <v>021</v>
      </c>
      <c r="G1328" s="3" t="str">
        <f t="shared" si="123"/>
        <v>NS</v>
      </c>
      <c r="H1328" s="3" t="str">
        <f t="shared" si="124"/>
        <v>000</v>
      </c>
      <c r="I1328" s="3" t="str">
        <f t="shared" si="125"/>
        <v>00</v>
      </c>
      <c r="L1328" s="3" t="s">
        <v>3309</v>
      </c>
      <c r="R1328" s="3" t="s">
        <v>6982</v>
      </c>
      <c r="S1328" s="15" t="s">
        <v>3247</v>
      </c>
    </row>
    <row r="1329" spans="1:19" x14ac:dyDescent="0.25">
      <c r="A1329" s="4" t="s">
        <v>6983</v>
      </c>
      <c r="B1329" s="4" t="s">
        <v>6847</v>
      </c>
      <c r="C1329" s="4" t="s">
        <v>6984</v>
      </c>
      <c r="D1329" s="3" t="str">
        <f t="shared" si="120"/>
        <v>MIS</v>
      </c>
      <c r="E1329" s="3" t="str">
        <f t="shared" si="121"/>
        <v>B</v>
      </c>
      <c r="F1329" s="3" t="str">
        <f t="shared" si="122"/>
        <v>022</v>
      </c>
      <c r="G1329" s="3" t="str">
        <f t="shared" si="123"/>
        <v>NS</v>
      </c>
      <c r="H1329" s="3" t="str">
        <f t="shared" si="124"/>
        <v>000</v>
      </c>
      <c r="I1329" s="3" t="str">
        <f t="shared" si="125"/>
        <v>00</v>
      </c>
      <c r="L1329" s="3" t="s">
        <v>3309</v>
      </c>
      <c r="R1329" s="3" t="s">
        <v>6985</v>
      </c>
      <c r="S1329" s="15" t="s">
        <v>3247</v>
      </c>
    </row>
    <row r="1330" spans="1:19" x14ac:dyDescent="0.25">
      <c r="A1330" s="4" t="s">
        <v>6986</v>
      </c>
      <c r="B1330" s="4" t="s">
        <v>6847</v>
      </c>
      <c r="C1330" s="4" t="s">
        <v>6987</v>
      </c>
      <c r="D1330" s="3" t="str">
        <f t="shared" si="120"/>
        <v>MIS</v>
      </c>
      <c r="E1330" s="3" t="str">
        <f t="shared" si="121"/>
        <v>B</v>
      </c>
      <c r="F1330" s="3" t="str">
        <f t="shared" si="122"/>
        <v>023</v>
      </c>
      <c r="G1330" s="3" t="str">
        <f t="shared" si="123"/>
        <v>NS</v>
      </c>
      <c r="H1330" s="3" t="str">
        <f t="shared" si="124"/>
        <v>000</v>
      </c>
      <c r="I1330" s="3" t="str">
        <f t="shared" si="125"/>
        <v>00</v>
      </c>
      <c r="L1330" s="3" t="s">
        <v>3309</v>
      </c>
      <c r="R1330" s="3" t="s">
        <v>6988</v>
      </c>
      <c r="S1330" s="15" t="s">
        <v>3247</v>
      </c>
    </row>
    <row r="1331" spans="1:19" x14ac:dyDescent="0.25">
      <c r="A1331" s="4" t="s">
        <v>6989</v>
      </c>
      <c r="B1331" s="4" t="s">
        <v>6847</v>
      </c>
      <c r="C1331" s="4" t="s">
        <v>6990</v>
      </c>
      <c r="D1331" s="3" t="str">
        <f t="shared" si="120"/>
        <v>MIS</v>
      </c>
      <c r="E1331" s="3" t="str">
        <f t="shared" si="121"/>
        <v>B</v>
      </c>
      <c r="F1331" s="3" t="str">
        <f t="shared" si="122"/>
        <v>024</v>
      </c>
      <c r="G1331" s="3" t="str">
        <f t="shared" si="123"/>
        <v>NS</v>
      </c>
      <c r="H1331" s="3" t="str">
        <f t="shared" si="124"/>
        <v>000</v>
      </c>
      <c r="I1331" s="3" t="str">
        <f t="shared" si="125"/>
        <v>00</v>
      </c>
      <c r="L1331" s="3" t="s">
        <v>3309</v>
      </c>
      <c r="R1331" s="3" t="s">
        <v>6991</v>
      </c>
      <c r="S1331" s="15" t="s">
        <v>3247</v>
      </c>
    </row>
    <row r="1332" spans="1:19" x14ac:dyDescent="0.25">
      <c r="A1332" s="4" t="s">
        <v>6992</v>
      </c>
      <c r="B1332" s="4" t="s">
        <v>6847</v>
      </c>
      <c r="C1332" s="4" t="s">
        <v>6993</v>
      </c>
      <c r="D1332" s="3" t="str">
        <f t="shared" si="120"/>
        <v>MIS</v>
      </c>
      <c r="E1332" s="3" t="str">
        <f t="shared" si="121"/>
        <v>A</v>
      </c>
      <c r="F1332" s="3" t="str">
        <f t="shared" si="122"/>
        <v>025</v>
      </c>
      <c r="G1332" s="3" t="str">
        <f t="shared" si="123"/>
        <v>MI</v>
      </c>
      <c r="H1332" s="3" t="str">
        <f t="shared" si="124"/>
        <v>000</v>
      </c>
      <c r="I1332" s="3" t="str">
        <f t="shared" si="125"/>
        <v>00</v>
      </c>
      <c r="L1332" s="3" t="s">
        <v>3309</v>
      </c>
      <c r="R1332" s="3" t="s">
        <v>6994</v>
      </c>
      <c r="S1332" s="15" t="s">
        <v>3247</v>
      </c>
    </row>
    <row r="1333" spans="1:19" x14ac:dyDescent="0.25">
      <c r="A1333" s="4" t="s">
        <v>6995</v>
      </c>
      <c r="B1333" s="4" t="s">
        <v>6847</v>
      </c>
      <c r="C1333" s="4" t="s">
        <v>6996</v>
      </c>
      <c r="D1333" s="3" t="str">
        <f t="shared" si="120"/>
        <v>MIS</v>
      </c>
      <c r="E1333" s="3" t="str">
        <f t="shared" si="121"/>
        <v>A</v>
      </c>
      <c r="F1333" s="3" t="str">
        <f t="shared" si="122"/>
        <v>026</v>
      </c>
      <c r="G1333" s="3" t="str">
        <f t="shared" si="123"/>
        <v>MI</v>
      </c>
      <c r="H1333" s="3" t="str">
        <f t="shared" si="124"/>
        <v>000</v>
      </c>
      <c r="I1333" s="3" t="str">
        <f t="shared" si="125"/>
        <v>00</v>
      </c>
      <c r="L1333" s="3" t="s">
        <v>3309</v>
      </c>
      <c r="R1333" s="3" t="s">
        <v>6997</v>
      </c>
      <c r="S1333" s="15" t="s">
        <v>3247</v>
      </c>
    </row>
    <row r="1334" spans="1:19" x14ac:dyDescent="0.25">
      <c r="A1334" s="4" t="s">
        <v>6998</v>
      </c>
      <c r="B1334" s="4" t="s">
        <v>6847</v>
      </c>
      <c r="C1334" s="4" t="s">
        <v>6999</v>
      </c>
      <c r="D1334" s="3" t="str">
        <f t="shared" si="120"/>
        <v>MIS</v>
      </c>
      <c r="E1334" s="3" t="str">
        <f t="shared" si="121"/>
        <v>A</v>
      </c>
      <c r="F1334" s="3" t="str">
        <f t="shared" si="122"/>
        <v>027</v>
      </c>
      <c r="G1334" s="3" t="str">
        <f t="shared" si="123"/>
        <v>MI</v>
      </c>
      <c r="H1334" s="3" t="str">
        <f t="shared" si="124"/>
        <v>000</v>
      </c>
      <c r="I1334" s="3" t="str">
        <f t="shared" si="125"/>
        <v>00</v>
      </c>
      <c r="L1334" s="3" t="s">
        <v>3309</v>
      </c>
      <c r="R1334" s="3" t="s">
        <v>7000</v>
      </c>
      <c r="S1334" s="15" t="s">
        <v>3247</v>
      </c>
    </row>
    <row r="1335" spans="1:19" x14ac:dyDescent="0.25">
      <c r="A1335" s="4" t="s">
        <v>7001</v>
      </c>
      <c r="B1335" s="4" t="s">
        <v>6847</v>
      </c>
      <c r="C1335" s="4" t="s">
        <v>7002</v>
      </c>
      <c r="D1335" s="3" t="str">
        <f t="shared" si="120"/>
        <v>MIS</v>
      </c>
      <c r="E1335" s="3" t="str">
        <f t="shared" si="121"/>
        <v>A</v>
      </c>
      <c r="F1335" s="3" t="str">
        <f t="shared" si="122"/>
        <v>028</v>
      </c>
      <c r="G1335" s="3" t="str">
        <f t="shared" si="123"/>
        <v>MI</v>
      </c>
      <c r="H1335" s="3" t="str">
        <f t="shared" si="124"/>
        <v>000</v>
      </c>
      <c r="I1335" s="3" t="str">
        <f t="shared" si="125"/>
        <v>00</v>
      </c>
      <c r="L1335" s="3" t="s">
        <v>3309</v>
      </c>
      <c r="R1335" s="3" t="s">
        <v>7003</v>
      </c>
      <c r="S1335" s="15" t="s">
        <v>3247</v>
      </c>
    </row>
    <row r="1336" spans="1:19" x14ac:dyDescent="0.25">
      <c r="A1336" s="4" t="s">
        <v>7004</v>
      </c>
      <c r="B1336" s="4" t="s">
        <v>6847</v>
      </c>
      <c r="C1336" s="4" t="s">
        <v>7005</v>
      </c>
      <c r="D1336" s="3" t="str">
        <f t="shared" si="120"/>
        <v>MIS</v>
      </c>
      <c r="E1336" s="3" t="str">
        <f t="shared" si="121"/>
        <v>A</v>
      </c>
      <c r="F1336" s="3" t="str">
        <f t="shared" si="122"/>
        <v>029</v>
      </c>
      <c r="G1336" s="3" t="str">
        <f t="shared" si="123"/>
        <v>MI</v>
      </c>
      <c r="H1336" s="3" t="str">
        <f t="shared" si="124"/>
        <v>000</v>
      </c>
      <c r="I1336" s="3" t="str">
        <f t="shared" si="125"/>
        <v>00</v>
      </c>
      <c r="L1336" s="3" t="s">
        <v>3309</v>
      </c>
      <c r="R1336" s="3" t="s">
        <v>7006</v>
      </c>
      <c r="S1336" s="15" t="s">
        <v>3247</v>
      </c>
    </row>
    <row r="1337" spans="1:19" x14ac:dyDescent="0.25">
      <c r="A1337" s="4" t="s">
        <v>7007</v>
      </c>
      <c r="B1337" s="4" t="s">
        <v>6847</v>
      </c>
      <c r="C1337" s="4" t="s">
        <v>7008</v>
      </c>
      <c r="D1337" s="3" t="str">
        <f t="shared" si="120"/>
        <v>MIS</v>
      </c>
      <c r="E1337" s="3" t="str">
        <f t="shared" si="121"/>
        <v>A</v>
      </c>
      <c r="F1337" s="3" t="str">
        <f t="shared" si="122"/>
        <v>030</v>
      </c>
      <c r="G1337" s="3" t="str">
        <f t="shared" si="123"/>
        <v>MI</v>
      </c>
      <c r="H1337" s="3" t="str">
        <f t="shared" si="124"/>
        <v>012</v>
      </c>
      <c r="I1337" s="3" t="str">
        <f t="shared" si="125"/>
        <v>00</v>
      </c>
      <c r="L1337" s="3" t="s">
        <v>3309</v>
      </c>
      <c r="R1337" s="3" t="s">
        <v>7009</v>
      </c>
      <c r="S1337" s="15" t="s">
        <v>3247</v>
      </c>
    </row>
    <row r="1338" spans="1:19" x14ac:dyDescent="0.25">
      <c r="A1338" s="4" t="s">
        <v>7010</v>
      </c>
      <c r="B1338" s="4" t="s">
        <v>6847</v>
      </c>
      <c r="C1338" s="4" t="s">
        <v>1975</v>
      </c>
      <c r="D1338" s="3" t="str">
        <f t="shared" si="120"/>
        <v>MIS</v>
      </c>
      <c r="E1338" s="3" t="str">
        <f t="shared" si="121"/>
        <v>A</v>
      </c>
      <c r="F1338" s="3" t="str">
        <f t="shared" si="122"/>
        <v>011</v>
      </c>
      <c r="G1338" s="3" t="str">
        <f t="shared" si="123"/>
        <v>MI</v>
      </c>
      <c r="H1338" s="3" t="str">
        <f t="shared" si="124"/>
        <v>013</v>
      </c>
      <c r="I1338" s="3" t="str">
        <f t="shared" si="125"/>
        <v>00</v>
      </c>
      <c r="L1338" s="3" t="s">
        <v>3309</v>
      </c>
      <c r="R1338" s="3" t="s">
        <v>7011</v>
      </c>
      <c r="S1338" s="15" t="s">
        <v>3247</v>
      </c>
    </row>
    <row r="1339" spans="1:19" ht="30" x14ac:dyDescent="0.25">
      <c r="A1339" s="4" t="s">
        <v>7012</v>
      </c>
      <c r="B1339" s="4" t="s">
        <v>6847</v>
      </c>
      <c r="C1339" s="4" t="s">
        <v>7013</v>
      </c>
      <c r="D1339" s="3" t="str">
        <f t="shared" si="120"/>
        <v>MOD</v>
      </c>
      <c r="E1339" s="3" t="str">
        <f t="shared" si="121"/>
        <v>F</v>
      </c>
      <c r="F1339" s="3" t="str">
        <f t="shared" si="122"/>
        <v>000</v>
      </c>
      <c r="G1339" s="3" t="str">
        <f t="shared" si="123"/>
        <v>TE</v>
      </c>
      <c r="H1339" s="3" t="str">
        <f t="shared" si="124"/>
        <v>000</v>
      </c>
      <c r="I1339" s="3" t="str">
        <f t="shared" si="125"/>
        <v>05</v>
      </c>
      <c r="L1339" s="3" t="s">
        <v>3309</v>
      </c>
      <c r="R1339" s="3" t="s">
        <v>7014</v>
      </c>
      <c r="S1339" s="15" t="s">
        <v>3247</v>
      </c>
    </row>
    <row r="1340" spans="1:19" ht="30" x14ac:dyDescent="0.25">
      <c r="A1340" s="4" t="s">
        <v>7015</v>
      </c>
      <c r="B1340" s="4" t="s">
        <v>6847</v>
      </c>
      <c r="C1340" s="4" t="s">
        <v>7016</v>
      </c>
      <c r="D1340" s="3" t="str">
        <f t="shared" si="120"/>
        <v>MIS</v>
      </c>
      <c r="E1340" s="3" t="str">
        <f t="shared" si="121"/>
        <v>F</v>
      </c>
      <c r="F1340" s="3" t="str">
        <f t="shared" si="122"/>
        <v>001</v>
      </c>
      <c r="G1340" s="3" t="str">
        <f t="shared" si="123"/>
        <v>CH</v>
      </c>
      <c r="H1340" s="3" t="str">
        <f t="shared" si="124"/>
        <v>000</v>
      </c>
      <c r="I1340" s="3" t="str">
        <f t="shared" si="125"/>
        <v>00</v>
      </c>
      <c r="L1340" s="3" t="s">
        <v>3309</v>
      </c>
      <c r="R1340" s="3" t="s">
        <v>7017</v>
      </c>
      <c r="S1340" s="15" t="s">
        <v>3247</v>
      </c>
    </row>
    <row r="1341" spans="1:19" ht="30" x14ac:dyDescent="0.25">
      <c r="A1341" s="4" t="s">
        <v>7018</v>
      </c>
      <c r="B1341" s="4" t="s">
        <v>6847</v>
      </c>
      <c r="C1341" s="4" t="s">
        <v>7019</v>
      </c>
      <c r="D1341" s="3" t="str">
        <f t="shared" si="120"/>
        <v>MIS</v>
      </c>
      <c r="E1341" s="3" t="str">
        <f t="shared" si="121"/>
        <v>F</v>
      </c>
      <c r="F1341" s="3" t="str">
        <f t="shared" si="122"/>
        <v>002</v>
      </c>
      <c r="G1341" s="3" t="str">
        <f t="shared" si="123"/>
        <v>CH</v>
      </c>
      <c r="H1341" s="3" t="str">
        <f t="shared" si="124"/>
        <v>000</v>
      </c>
      <c r="I1341" s="3" t="str">
        <f t="shared" si="125"/>
        <v>00</v>
      </c>
      <c r="L1341" s="3" t="s">
        <v>3309</v>
      </c>
      <c r="R1341" s="3" t="s">
        <v>7020</v>
      </c>
      <c r="S1341" s="15" t="s">
        <v>3247</v>
      </c>
    </row>
    <row r="1342" spans="1:19" x14ac:dyDescent="0.25">
      <c r="A1342" s="4" t="s">
        <v>7021</v>
      </c>
      <c r="B1342" s="4" t="s">
        <v>6847</v>
      </c>
      <c r="C1342" s="4" t="s">
        <v>7022</v>
      </c>
      <c r="D1342" s="3" t="str">
        <f t="shared" si="120"/>
        <v>MIS</v>
      </c>
      <c r="E1342" s="3" t="str">
        <f t="shared" si="121"/>
        <v>F</v>
      </c>
      <c r="F1342" s="3" t="str">
        <f t="shared" si="122"/>
        <v>003</v>
      </c>
      <c r="G1342" s="3" t="str">
        <f t="shared" si="123"/>
        <v>CH</v>
      </c>
      <c r="H1342" s="3" t="str">
        <f t="shared" si="124"/>
        <v>000</v>
      </c>
      <c r="I1342" s="3" t="str">
        <f t="shared" si="125"/>
        <v>00</v>
      </c>
      <c r="L1342" s="3" t="s">
        <v>3309</v>
      </c>
      <c r="R1342" s="3" t="s">
        <v>7023</v>
      </c>
      <c r="S1342" s="15" t="s">
        <v>3247</v>
      </c>
    </row>
    <row r="1343" spans="1:19" x14ac:dyDescent="0.25">
      <c r="A1343" s="4" t="s">
        <v>7024</v>
      </c>
      <c r="B1343" s="4" t="s">
        <v>6847</v>
      </c>
      <c r="C1343" s="4" t="s">
        <v>7025</v>
      </c>
      <c r="D1343" s="3" t="str">
        <f t="shared" si="120"/>
        <v>MIS</v>
      </c>
      <c r="E1343" s="3" t="str">
        <f t="shared" si="121"/>
        <v>F</v>
      </c>
      <c r="F1343" s="3" t="str">
        <f t="shared" si="122"/>
        <v>004</v>
      </c>
      <c r="G1343" s="3" t="str">
        <f t="shared" si="123"/>
        <v>CH</v>
      </c>
      <c r="H1343" s="3" t="str">
        <f t="shared" si="124"/>
        <v>000</v>
      </c>
      <c r="I1343" s="3" t="str">
        <f t="shared" si="125"/>
        <v>00</v>
      </c>
      <c r="L1343" s="3" t="s">
        <v>3309</v>
      </c>
      <c r="R1343" s="3" t="s">
        <v>7026</v>
      </c>
      <c r="S1343" s="15" t="s">
        <v>3247</v>
      </c>
    </row>
    <row r="1344" spans="1:19" x14ac:dyDescent="0.25">
      <c r="A1344" s="4" t="s">
        <v>7027</v>
      </c>
      <c r="B1344" s="4" t="s">
        <v>6847</v>
      </c>
      <c r="C1344" s="4" t="s">
        <v>1993</v>
      </c>
      <c r="D1344" s="3" t="str">
        <f t="shared" si="120"/>
        <v>MIS</v>
      </c>
      <c r="E1344" s="3" t="str">
        <f t="shared" si="121"/>
        <v>F</v>
      </c>
      <c r="F1344" s="3" t="str">
        <f t="shared" si="122"/>
        <v>005</v>
      </c>
      <c r="G1344" s="3" t="str">
        <f t="shared" si="123"/>
        <v>DP</v>
      </c>
      <c r="H1344" s="3" t="str">
        <f t="shared" si="124"/>
        <v>000</v>
      </c>
      <c r="I1344" s="3" t="str">
        <f t="shared" si="125"/>
        <v>00</v>
      </c>
      <c r="L1344" s="3" t="s">
        <v>3309</v>
      </c>
      <c r="R1344" s="3" t="s">
        <v>7028</v>
      </c>
      <c r="S1344" s="15" t="s">
        <v>3247</v>
      </c>
    </row>
    <row r="1345" spans="1:19" x14ac:dyDescent="0.25">
      <c r="A1345" s="4" t="s">
        <v>7029</v>
      </c>
      <c r="B1345" s="4" t="s">
        <v>6847</v>
      </c>
      <c r="C1345" s="4" t="s">
        <v>1994</v>
      </c>
      <c r="D1345" s="3" t="str">
        <f t="shared" si="120"/>
        <v>MIS</v>
      </c>
      <c r="E1345" s="3" t="str">
        <f t="shared" si="121"/>
        <v>F</v>
      </c>
      <c r="F1345" s="3" t="str">
        <f t="shared" si="122"/>
        <v>006</v>
      </c>
      <c r="G1345" s="3" t="str">
        <f t="shared" si="123"/>
        <v>DP</v>
      </c>
      <c r="H1345" s="3" t="str">
        <f t="shared" si="124"/>
        <v>000</v>
      </c>
      <c r="I1345" s="3" t="str">
        <f t="shared" si="125"/>
        <v>00</v>
      </c>
      <c r="L1345" s="3" t="s">
        <v>3309</v>
      </c>
      <c r="R1345" s="3" t="s">
        <v>7030</v>
      </c>
      <c r="S1345" s="15" t="s">
        <v>3247</v>
      </c>
    </row>
    <row r="1346" spans="1:19" x14ac:dyDescent="0.25">
      <c r="A1346" s="4" t="s">
        <v>7031</v>
      </c>
      <c r="B1346" s="4" t="s">
        <v>6847</v>
      </c>
      <c r="C1346" s="4" t="s">
        <v>1995</v>
      </c>
      <c r="D1346" s="3" t="str">
        <f t="shared" ref="D1346:D1409" si="126">LEFT(A1346,3)</f>
        <v>MIS</v>
      </c>
      <c r="E1346" s="3" t="str">
        <f t="shared" ref="E1346:E1409" si="127">MID(A1346,4,1)</f>
        <v>F</v>
      </c>
      <c r="F1346" s="3" t="str">
        <f t="shared" ref="F1346:F1409" si="128">MID(A1346,5,3)</f>
        <v>007</v>
      </c>
      <c r="G1346" s="3" t="str">
        <f t="shared" ref="G1346:G1409" si="129">MID(A1346,8,2)</f>
        <v>DP</v>
      </c>
      <c r="H1346" s="3" t="str">
        <f t="shared" ref="H1346:H1409" si="130">MID(A1346,10,3)</f>
        <v>000</v>
      </c>
      <c r="I1346" s="3" t="str">
        <f t="shared" ref="I1346:I1409" si="131">MID(A1346,13,2)</f>
        <v>00</v>
      </c>
      <c r="L1346" s="3" t="s">
        <v>3309</v>
      </c>
      <c r="R1346" s="3" t="s">
        <v>7032</v>
      </c>
      <c r="S1346" s="15" t="s">
        <v>3247</v>
      </c>
    </row>
    <row r="1347" spans="1:19" x14ac:dyDescent="0.25">
      <c r="A1347" s="4" t="s">
        <v>7033</v>
      </c>
      <c r="B1347" s="4" t="s">
        <v>6847</v>
      </c>
      <c r="C1347" s="4" t="s">
        <v>1996</v>
      </c>
      <c r="D1347" s="3" t="str">
        <f t="shared" si="126"/>
        <v>MIS</v>
      </c>
      <c r="E1347" s="3" t="str">
        <f t="shared" si="127"/>
        <v>F</v>
      </c>
      <c r="F1347" s="3" t="str">
        <f t="shared" si="128"/>
        <v>008</v>
      </c>
      <c r="G1347" s="3" t="str">
        <f t="shared" si="129"/>
        <v>DP</v>
      </c>
      <c r="H1347" s="3" t="str">
        <f t="shared" si="130"/>
        <v>000</v>
      </c>
      <c r="I1347" s="3" t="str">
        <f t="shared" si="131"/>
        <v>00</v>
      </c>
      <c r="L1347" s="3" t="s">
        <v>3309</v>
      </c>
      <c r="R1347" s="3" t="s">
        <v>7034</v>
      </c>
      <c r="S1347" s="15" t="s">
        <v>3247</v>
      </c>
    </row>
    <row r="1348" spans="1:19" x14ac:dyDescent="0.25">
      <c r="A1348" s="4" t="s">
        <v>7035</v>
      </c>
      <c r="B1348" s="4" t="s">
        <v>6847</v>
      </c>
      <c r="C1348" s="4" t="s">
        <v>1997</v>
      </c>
      <c r="D1348" s="3" t="str">
        <f t="shared" si="126"/>
        <v>MIS</v>
      </c>
      <c r="E1348" s="3" t="str">
        <f t="shared" si="127"/>
        <v>F</v>
      </c>
      <c r="F1348" s="3" t="str">
        <f t="shared" si="128"/>
        <v>009</v>
      </c>
      <c r="G1348" s="3" t="str">
        <f t="shared" si="129"/>
        <v>DP</v>
      </c>
      <c r="H1348" s="3" t="str">
        <f t="shared" si="130"/>
        <v>000</v>
      </c>
      <c r="I1348" s="3" t="str">
        <f t="shared" si="131"/>
        <v>00</v>
      </c>
      <c r="L1348" s="3" t="s">
        <v>3309</v>
      </c>
      <c r="R1348" s="3" t="s">
        <v>7036</v>
      </c>
      <c r="S1348" s="15" t="s">
        <v>3247</v>
      </c>
    </row>
    <row r="1349" spans="1:19" x14ac:dyDescent="0.25">
      <c r="A1349" s="4" t="s">
        <v>7037</v>
      </c>
      <c r="B1349" s="4" t="s">
        <v>6847</v>
      </c>
      <c r="C1349" s="4" t="s">
        <v>1998</v>
      </c>
      <c r="D1349" s="3" t="str">
        <f t="shared" si="126"/>
        <v>MIS</v>
      </c>
      <c r="E1349" s="3" t="str">
        <f t="shared" si="127"/>
        <v>F</v>
      </c>
      <c r="F1349" s="3" t="str">
        <f t="shared" si="128"/>
        <v>010</v>
      </c>
      <c r="G1349" s="3" t="str">
        <f t="shared" si="129"/>
        <v>DP</v>
      </c>
      <c r="H1349" s="3" t="str">
        <f t="shared" si="130"/>
        <v>000</v>
      </c>
      <c r="I1349" s="3" t="str">
        <f t="shared" si="131"/>
        <v>00</v>
      </c>
      <c r="L1349" s="3" t="s">
        <v>3309</v>
      </c>
      <c r="R1349" s="3" t="s">
        <v>7038</v>
      </c>
      <c r="S1349" s="15" t="s">
        <v>3247</v>
      </c>
    </row>
    <row r="1350" spans="1:19" x14ac:dyDescent="0.25">
      <c r="A1350" s="4" t="s">
        <v>7039</v>
      </c>
      <c r="B1350" s="4" t="s">
        <v>6847</v>
      </c>
      <c r="C1350" s="4" t="s">
        <v>7040</v>
      </c>
      <c r="D1350" s="3" t="str">
        <f t="shared" si="126"/>
        <v>MIS</v>
      </c>
      <c r="E1350" s="3" t="str">
        <f t="shared" si="127"/>
        <v>F</v>
      </c>
      <c r="F1350" s="3" t="str">
        <f t="shared" si="128"/>
        <v>011</v>
      </c>
      <c r="G1350" s="3" t="str">
        <f t="shared" si="129"/>
        <v>SH</v>
      </c>
      <c r="H1350" s="3" t="str">
        <f t="shared" si="130"/>
        <v>000</v>
      </c>
      <c r="I1350" s="3" t="str">
        <f t="shared" si="131"/>
        <v>00</v>
      </c>
      <c r="L1350" s="3" t="s">
        <v>3309</v>
      </c>
      <c r="R1350" s="3" t="s">
        <v>7041</v>
      </c>
      <c r="S1350" s="15" t="s">
        <v>3247</v>
      </c>
    </row>
    <row r="1351" spans="1:19" x14ac:dyDescent="0.25">
      <c r="A1351" s="4" t="s">
        <v>7042</v>
      </c>
      <c r="B1351" s="4" t="s">
        <v>6847</v>
      </c>
      <c r="C1351" s="4" t="s">
        <v>2000</v>
      </c>
      <c r="D1351" s="3" t="str">
        <f t="shared" si="126"/>
        <v>MIS</v>
      </c>
      <c r="E1351" s="3" t="str">
        <f t="shared" si="127"/>
        <v>F</v>
      </c>
      <c r="F1351" s="3" t="str">
        <f t="shared" si="128"/>
        <v>012</v>
      </c>
      <c r="G1351" s="3" t="str">
        <f t="shared" si="129"/>
        <v>CH</v>
      </c>
      <c r="H1351" s="3" t="str">
        <f t="shared" si="130"/>
        <v>000</v>
      </c>
      <c r="I1351" s="3" t="str">
        <f t="shared" si="131"/>
        <v>00</v>
      </c>
      <c r="L1351" s="3" t="s">
        <v>3309</v>
      </c>
      <c r="R1351" s="3" t="s">
        <v>7043</v>
      </c>
      <c r="S1351" s="15" t="s">
        <v>3247</v>
      </c>
    </row>
    <row r="1352" spans="1:19" x14ac:dyDescent="0.25">
      <c r="A1352" s="4" t="s">
        <v>7044</v>
      </c>
      <c r="B1352" s="4" t="s">
        <v>6847</v>
      </c>
      <c r="C1352" s="4" t="s">
        <v>7045</v>
      </c>
      <c r="D1352" s="3" t="str">
        <f t="shared" si="126"/>
        <v>MIS</v>
      </c>
      <c r="E1352" s="3" t="str">
        <f t="shared" si="127"/>
        <v>G</v>
      </c>
      <c r="F1352" s="3" t="str">
        <f t="shared" si="128"/>
        <v>101</v>
      </c>
      <c r="G1352" s="3" t="str">
        <f t="shared" si="129"/>
        <v>PB</v>
      </c>
      <c r="H1352" s="3" t="str">
        <f t="shared" si="130"/>
        <v>000</v>
      </c>
      <c r="I1352" s="3" t="str">
        <f t="shared" si="131"/>
        <v>00</v>
      </c>
      <c r="L1352" s="3" t="s">
        <v>3309</v>
      </c>
      <c r="R1352" s="3" t="s">
        <v>7046</v>
      </c>
      <c r="S1352" s="15" t="s">
        <v>3247</v>
      </c>
    </row>
    <row r="1353" spans="1:19" ht="30" x14ac:dyDescent="0.25">
      <c r="A1353" s="4" t="s">
        <v>7047</v>
      </c>
      <c r="B1353" s="4" t="s">
        <v>6847</v>
      </c>
      <c r="C1353" s="4" t="s">
        <v>7048</v>
      </c>
      <c r="D1353" s="3" t="str">
        <f t="shared" si="126"/>
        <v>MIS</v>
      </c>
      <c r="E1353" s="3" t="str">
        <f t="shared" si="127"/>
        <v>H</v>
      </c>
      <c r="F1353" s="3" t="str">
        <f t="shared" si="128"/>
        <v>001</v>
      </c>
      <c r="G1353" s="3" t="str">
        <f t="shared" si="129"/>
        <v>SP</v>
      </c>
      <c r="H1353" s="3" t="str">
        <f t="shared" si="130"/>
        <v>000</v>
      </c>
      <c r="I1353" s="3" t="str">
        <f t="shared" si="131"/>
        <v>00</v>
      </c>
      <c r="L1353" s="3" t="s">
        <v>3309</v>
      </c>
      <c r="R1353" s="3" t="s">
        <v>7049</v>
      </c>
      <c r="S1353" s="15" t="s">
        <v>3247</v>
      </c>
    </row>
    <row r="1354" spans="1:19" ht="30" x14ac:dyDescent="0.25">
      <c r="A1354" s="4" t="s">
        <v>7050</v>
      </c>
      <c r="B1354" s="4" t="s">
        <v>6847</v>
      </c>
      <c r="C1354" s="4" t="s">
        <v>7051</v>
      </c>
      <c r="D1354" s="3" t="str">
        <f t="shared" si="126"/>
        <v>MIS</v>
      </c>
      <c r="E1354" s="3" t="str">
        <f t="shared" si="127"/>
        <v>F</v>
      </c>
      <c r="F1354" s="3" t="str">
        <f t="shared" si="128"/>
        <v>013</v>
      </c>
      <c r="G1354" s="3" t="str">
        <f t="shared" si="129"/>
        <v>KR</v>
      </c>
      <c r="H1354" s="3" t="str">
        <f t="shared" si="130"/>
        <v>000</v>
      </c>
      <c r="I1354" s="3" t="str">
        <f t="shared" si="131"/>
        <v>00</v>
      </c>
      <c r="L1354" s="3" t="s">
        <v>3309</v>
      </c>
      <c r="R1354" s="3" t="s">
        <v>7052</v>
      </c>
      <c r="S1354" s="15" t="s">
        <v>3247</v>
      </c>
    </row>
    <row r="1355" spans="1:19" x14ac:dyDescent="0.25">
      <c r="A1355" s="4" t="s">
        <v>7053</v>
      </c>
      <c r="B1355" s="4" t="s">
        <v>6847</v>
      </c>
      <c r="C1355" s="4" t="s">
        <v>2357</v>
      </c>
      <c r="D1355" s="3" t="str">
        <f t="shared" si="126"/>
        <v>MIS</v>
      </c>
      <c r="E1355" s="3" t="str">
        <f t="shared" si="127"/>
        <v>I</v>
      </c>
      <c r="F1355" s="3" t="str">
        <f t="shared" si="128"/>
        <v>001</v>
      </c>
      <c r="G1355" s="3" t="str">
        <f t="shared" si="129"/>
        <v>MS</v>
      </c>
      <c r="H1355" s="3" t="str">
        <f t="shared" si="130"/>
        <v>014</v>
      </c>
      <c r="I1355" s="3" t="str">
        <f t="shared" si="131"/>
        <v>00</v>
      </c>
      <c r="L1355" s="3" t="s">
        <v>3309</v>
      </c>
      <c r="R1355" s="3" t="s">
        <v>7054</v>
      </c>
      <c r="S1355" s="15" t="s">
        <v>3247</v>
      </c>
    </row>
    <row r="1356" spans="1:19" x14ac:dyDescent="0.25">
      <c r="A1356" s="4" t="s">
        <v>7055</v>
      </c>
      <c r="B1356" s="4" t="s">
        <v>6847</v>
      </c>
      <c r="C1356" s="4" t="s">
        <v>7056</v>
      </c>
      <c r="D1356" s="3" t="str">
        <f t="shared" si="126"/>
        <v>MIS</v>
      </c>
      <c r="E1356" s="3" t="str">
        <f t="shared" si="127"/>
        <v>E</v>
      </c>
      <c r="F1356" s="3" t="str">
        <f t="shared" si="128"/>
        <v>001</v>
      </c>
      <c r="G1356" s="3" t="str">
        <f t="shared" si="129"/>
        <v>SR</v>
      </c>
      <c r="H1356" s="3" t="str">
        <f t="shared" si="130"/>
        <v>000</v>
      </c>
      <c r="I1356" s="3" t="str">
        <f t="shared" si="131"/>
        <v>00</v>
      </c>
      <c r="L1356" s="3" t="s">
        <v>3309</v>
      </c>
      <c r="R1356" s="3" t="s">
        <v>7057</v>
      </c>
      <c r="S1356" s="15" t="s">
        <v>3247</v>
      </c>
    </row>
    <row r="1357" spans="1:19" ht="30" x14ac:dyDescent="0.25">
      <c r="A1357" s="4" t="s">
        <v>7058</v>
      </c>
      <c r="B1357" s="4" t="s">
        <v>6847</v>
      </c>
      <c r="C1357" s="4" t="s">
        <v>7059</v>
      </c>
      <c r="D1357" s="3" t="str">
        <f t="shared" si="126"/>
        <v>MIS</v>
      </c>
      <c r="E1357" s="3" t="str">
        <f t="shared" si="127"/>
        <v>J</v>
      </c>
      <c r="F1357" s="3" t="str">
        <f t="shared" si="128"/>
        <v>001</v>
      </c>
      <c r="G1357" s="3" t="str">
        <f t="shared" si="129"/>
        <v>AZ</v>
      </c>
      <c r="H1357" s="3" t="str">
        <f t="shared" si="130"/>
        <v>015</v>
      </c>
      <c r="I1357" s="3" t="str">
        <f t="shared" si="131"/>
        <v>00</v>
      </c>
      <c r="L1357" s="3" t="s">
        <v>3309</v>
      </c>
      <c r="R1357" s="3" t="s">
        <v>7060</v>
      </c>
      <c r="S1357" s="15" t="s">
        <v>3247</v>
      </c>
    </row>
    <row r="1358" spans="1:19" x14ac:dyDescent="0.25">
      <c r="A1358" s="4" t="s">
        <v>7061</v>
      </c>
      <c r="B1358" s="4" t="s">
        <v>6847</v>
      </c>
      <c r="C1358" s="4" t="s">
        <v>7062</v>
      </c>
      <c r="D1358" s="3" t="str">
        <f t="shared" si="126"/>
        <v>MIS</v>
      </c>
      <c r="E1358" s="3" t="str">
        <f t="shared" si="127"/>
        <v>K</v>
      </c>
      <c r="F1358" s="3" t="str">
        <f t="shared" si="128"/>
        <v>001</v>
      </c>
      <c r="G1358" s="3" t="str">
        <f t="shared" si="129"/>
        <v>JA</v>
      </c>
      <c r="H1358" s="3" t="str">
        <f t="shared" si="130"/>
        <v>016</v>
      </c>
      <c r="I1358" s="3" t="str">
        <f t="shared" si="131"/>
        <v>00</v>
      </c>
      <c r="L1358" s="3" t="s">
        <v>3309</v>
      </c>
      <c r="R1358" s="3" t="s">
        <v>7063</v>
      </c>
      <c r="S1358" s="15">
        <v>256</v>
      </c>
    </row>
    <row r="1359" spans="1:19" x14ac:dyDescent="0.25">
      <c r="A1359" s="4" t="s">
        <v>7064</v>
      </c>
      <c r="B1359" s="4" t="s">
        <v>6847</v>
      </c>
      <c r="C1359" s="4" t="s">
        <v>7065</v>
      </c>
      <c r="D1359" s="3" t="str">
        <f t="shared" si="126"/>
        <v>MIS</v>
      </c>
      <c r="E1359" s="3" t="str">
        <f t="shared" si="127"/>
        <v>D</v>
      </c>
      <c r="F1359" s="3" t="str">
        <f t="shared" si="128"/>
        <v>012</v>
      </c>
      <c r="G1359" s="3" t="str">
        <f t="shared" si="129"/>
        <v>BE</v>
      </c>
      <c r="H1359" s="3" t="str">
        <f t="shared" si="130"/>
        <v>000</v>
      </c>
      <c r="I1359" s="3" t="str">
        <f t="shared" si="131"/>
        <v>00</v>
      </c>
      <c r="L1359" s="3" t="s">
        <v>3309</v>
      </c>
      <c r="R1359" s="3" t="s">
        <v>7066</v>
      </c>
      <c r="S1359" s="15" t="s">
        <v>3247</v>
      </c>
    </row>
    <row r="1360" spans="1:19" x14ac:dyDescent="0.25">
      <c r="A1360" s="4" t="s">
        <v>7067</v>
      </c>
      <c r="B1360" s="4" t="s">
        <v>6847</v>
      </c>
      <c r="C1360" s="4" t="s">
        <v>1977</v>
      </c>
      <c r="D1360" s="3" t="str">
        <f t="shared" si="126"/>
        <v>MIS</v>
      </c>
      <c r="E1360" s="3" t="str">
        <f t="shared" si="127"/>
        <v>L</v>
      </c>
      <c r="F1360" s="3" t="str">
        <f t="shared" si="128"/>
        <v>013</v>
      </c>
      <c r="G1360" s="3" t="str">
        <f t="shared" si="129"/>
        <v>MI</v>
      </c>
      <c r="H1360" s="3" t="str">
        <f t="shared" si="130"/>
        <v>017</v>
      </c>
      <c r="I1360" s="3" t="str">
        <f t="shared" si="131"/>
        <v>00</v>
      </c>
      <c r="L1360" s="3" t="s">
        <v>3309</v>
      </c>
      <c r="R1360" s="3" t="s">
        <v>1977</v>
      </c>
      <c r="S1360" s="15" t="s">
        <v>3247</v>
      </c>
    </row>
    <row r="1361" spans="1:19" x14ac:dyDescent="0.25">
      <c r="A1361" s="4" t="s">
        <v>7068</v>
      </c>
      <c r="B1361" s="4" t="s">
        <v>6847</v>
      </c>
      <c r="C1361" s="4" t="s">
        <v>7069</v>
      </c>
      <c r="D1361" s="3" t="str">
        <f t="shared" si="126"/>
        <v>MIS</v>
      </c>
      <c r="E1361" s="3" t="str">
        <f t="shared" si="127"/>
        <v>D</v>
      </c>
      <c r="F1361" s="3" t="str">
        <f t="shared" si="128"/>
        <v>014</v>
      </c>
      <c r="G1361" s="3" t="str">
        <f t="shared" si="129"/>
        <v>MI</v>
      </c>
      <c r="H1361" s="3" t="str">
        <f t="shared" si="130"/>
        <v>018</v>
      </c>
      <c r="I1361" s="3" t="str">
        <f t="shared" si="131"/>
        <v>00</v>
      </c>
      <c r="L1361" s="3" t="s">
        <v>3309</v>
      </c>
      <c r="R1361" s="3" t="s">
        <v>3062</v>
      </c>
      <c r="S1361" s="15" t="s">
        <v>3247</v>
      </c>
    </row>
    <row r="1362" spans="1:19" x14ac:dyDescent="0.25">
      <c r="A1362" s="4" t="s">
        <v>7070</v>
      </c>
      <c r="B1362" s="4" t="s">
        <v>6847</v>
      </c>
      <c r="C1362" s="4" t="s">
        <v>2361</v>
      </c>
      <c r="D1362" s="3" t="str">
        <f t="shared" si="126"/>
        <v>MIS</v>
      </c>
      <c r="E1362" s="3" t="str">
        <f t="shared" si="127"/>
        <v>M</v>
      </c>
      <c r="F1362" s="3" t="str">
        <f t="shared" si="128"/>
        <v>001</v>
      </c>
      <c r="G1362" s="3" t="str">
        <f t="shared" si="129"/>
        <v>EN</v>
      </c>
      <c r="H1362" s="3" t="str">
        <f t="shared" si="130"/>
        <v>019</v>
      </c>
      <c r="I1362" s="3" t="str">
        <f t="shared" si="131"/>
        <v>00</v>
      </c>
      <c r="L1362" s="3" t="s">
        <v>3309</v>
      </c>
      <c r="R1362" s="3" t="s">
        <v>7071</v>
      </c>
      <c r="S1362" s="15" t="s">
        <v>3247</v>
      </c>
    </row>
    <row r="1363" spans="1:19" ht="30" x14ac:dyDescent="0.25">
      <c r="A1363" s="4" t="s">
        <v>7072</v>
      </c>
      <c r="B1363" s="4" t="s">
        <v>6847</v>
      </c>
      <c r="C1363" s="4" t="s">
        <v>7073</v>
      </c>
      <c r="D1363" s="3" t="str">
        <f t="shared" si="126"/>
        <v>MIS</v>
      </c>
      <c r="E1363" s="3" t="str">
        <f t="shared" si="127"/>
        <v>N</v>
      </c>
      <c r="F1363" s="3" t="str">
        <f t="shared" si="128"/>
        <v>001</v>
      </c>
      <c r="G1363" s="3" t="str">
        <f t="shared" si="129"/>
        <v>XY</v>
      </c>
      <c r="H1363" s="3" t="str">
        <f t="shared" si="130"/>
        <v>020</v>
      </c>
      <c r="I1363" s="3" t="str">
        <f t="shared" si="131"/>
        <v>01</v>
      </c>
      <c r="L1363" s="3" t="s">
        <v>3309</v>
      </c>
      <c r="R1363" s="3" t="s">
        <v>7074</v>
      </c>
      <c r="S1363" s="15" t="s">
        <v>3247</v>
      </c>
    </row>
    <row r="1364" spans="1:19" ht="30" x14ac:dyDescent="0.25">
      <c r="A1364" s="4" t="s">
        <v>7075</v>
      </c>
      <c r="B1364" s="4" t="s">
        <v>6847</v>
      </c>
      <c r="C1364" s="4" t="s">
        <v>7076</v>
      </c>
      <c r="D1364" s="3" t="str">
        <f t="shared" si="126"/>
        <v>MIS</v>
      </c>
      <c r="E1364" s="3" t="str">
        <f t="shared" si="127"/>
        <v>N</v>
      </c>
      <c r="F1364" s="3" t="str">
        <f t="shared" si="128"/>
        <v>001</v>
      </c>
      <c r="G1364" s="3" t="str">
        <f t="shared" si="129"/>
        <v>XY</v>
      </c>
      <c r="H1364" s="3" t="str">
        <f t="shared" si="130"/>
        <v>021</v>
      </c>
      <c r="I1364" s="3" t="str">
        <f t="shared" si="131"/>
        <v>01</v>
      </c>
      <c r="L1364" s="3" t="s">
        <v>3309</v>
      </c>
      <c r="R1364" s="3" t="s">
        <v>7077</v>
      </c>
      <c r="S1364" s="15" t="s">
        <v>3247</v>
      </c>
    </row>
    <row r="1365" spans="1:19" ht="30" x14ac:dyDescent="0.25">
      <c r="A1365" s="4" t="s">
        <v>7078</v>
      </c>
      <c r="B1365" s="4" t="s">
        <v>6847</v>
      </c>
      <c r="C1365" s="4" t="s">
        <v>7079</v>
      </c>
      <c r="D1365" s="3" t="str">
        <f t="shared" si="126"/>
        <v>MIS</v>
      </c>
      <c r="E1365" s="3" t="str">
        <f t="shared" si="127"/>
        <v>E</v>
      </c>
      <c r="F1365" s="3" t="str">
        <f t="shared" si="128"/>
        <v>003</v>
      </c>
      <c r="G1365" s="3" t="str">
        <f t="shared" si="129"/>
        <v>MT</v>
      </c>
      <c r="H1365" s="3" t="str">
        <f t="shared" si="130"/>
        <v>000</v>
      </c>
      <c r="I1365" s="3" t="str">
        <f t="shared" si="131"/>
        <v>00</v>
      </c>
      <c r="L1365" s="3" t="s">
        <v>3309</v>
      </c>
      <c r="R1365" s="3" t="s">
        <v>7080</v>
      </c>
      <c r="S1365" s="15" t="s">
        <v>3247</v>
      </c>
    </row>
    <row r="1366" spans="1:19" ht="30" x14ac:dyDescent="0.25">
      <c r="A1366" s="4" t="s">
        <v>7081</v>
      </c>
      <c r="B1366" s="4" t="s">
        <v>6847</v>
      </c>
      <c r="C1366" s="4" t="s">
        <v>7082</v>
      </c>
      <c r="D1366" s="3" t="str">
        <f t="shared" si="126"/>
        <v>MIS</v>
      </c>
      <c r="E1366" s="3" t="str">
        <f t="shared" si="127"/>
        <v>B</v>
      </c>
      <c r="F1366" s="3" t="str">
        <f t="shared" si="128"/>
        <v>015</v>
      </c>
      <c r="G1366" s="3" t="str">
        <f t="shared" si="129"/>
        <v>PT</v>
      </c>
      <c r="H1366" s="3" t="str">
        <f t="shared" si="130"/>
        <v>000</v>
      </c>
      <c r="I1366" s="3" t="str">
        <f t="shared" si="131"/>
        <v>00</v>
      </c>
      <c r="L1366" s="3" t="s">
        <v>3309</v>
      </c>
      <c r="R1366" s="3" t="s">
        <v>7083</v>
      </c>
      <c r="S1366" s="15" t="s">
        <v>3247</v>
      </c>
    </row>
    <row r="1367" spans="1:19" x14ac:dyDescent="0.25">
      <c r="A1367" s="4" t="s">
        <v>7084</v>
      </c>
      <c r="B1367" s="4" t="s">
        <v>6847</v>
      </c>
      <c r="C1367" s="4" t="s">
        <v>2005</v>
      </c>
      <c r="D1367" s="3" t="str">
        <f t="shared" si="126"/>
        <v>MIS</v>
      </c>
      <c r="E1367" s="3" t="str">
        <f t="shared" si="127"/>
        <v>H</v>
      </c>
      <c r="F1367" s="3" t="str">
        <f t="shared" si="128"/>
        <v>003</v>
      </c>
      <c r="G1367" s="3" t="str">
        <f t="shared" si="129"/>
        <v>KI</v>
      </c>
      <c r="H1367" s="3" t="str">
        <f t="shared" si="130"/>
        <v>000</v>
      </c>
      <c r="I1367" s="3" t="str">
        <f t="shared" si="131"/>
        <v>00</v>
      </c>
      <c r="L1367" s="3" t="s">
        <v>3309</v>
      </c>
      <c r="R1367" s="3" t="s">
        <v>7085</v>
      </c>
      <c r="S1367" s="15" t="s">
        <v>3247</v>
      </c>
    </row>
    <row r="1368" spans="1:19" x14ac:dyDescent="0.25">
      <c r="A1368" s="4" t="s">
        <v>7086</v>
      </c>
      <c r="B1368" s="4" t="s">
        <v>6847</v>
      </c>
      <c r="C1368" s="4" t="s">
        <v>7087</v>
      </c>
      <c r="D1368" s="3" t="str">
        <f t="shared" si="126"/>
        <v>MIS</v>
      </c>
      <c r="E1368" s="3" t="str">
        <f t="shared" si="127"/>
        <v>H</v>
      </c>
      <c r="F1368" s="3" t="str">
        <f t="shared" si="128"/>
        <v>004</v>
      </c>
      <c r="G1368" s="3" t="str">
        <f t="shared" si="129"/>
        <v>KI</v>
      </c>
      <c r="H1368" s="3" t="str">
        <f t="shared" si="130"/>
        <v>000</v>
      </c>
      <c r="I1368" s="3" t="str">
        <f t="shared" si="131"/>
        <v>00</v>
      </c>
      <c r="L1368" s="3" t="s">
        <v>3309</v>
      </c>
      <c r="R1368" s="3" t="s">
        <v>7088</v>
      </c>
      <c r="S1368" s="15" t="s">
        <v>3247</v>
      </c>
    </row>
    <row r="1369" spans="1:19" x14ac:dyDescent="0.25">
      <c r="A1369" s="4" t="s">
        <v>7089</v>
      </c>
      <c r="B1369" s="4" t="s">
        <v>6847</v>
      </c>
      <c r="C1369" s="4" t="s">
        <v>7090</v>
      </c>
      <c r="D1369" s="3" t="str">
        <f t="shared" si="126"/>
        <v>MIS</v>
      </c>
      <c r="E1369" s="3" t="str">
        <f t="shared" si="127"/>
        <v>P</v>
      </c>
      <c r="F1369" s="3" t="str">
        <f t="shared" si="128"/>
        <v>042</v>
      </c>
      <c r="G1369" s="3" t="str">
        <f t="shared" si="129"/>
        <v>MT</v>
      </c>
      <c r="H1369" s="3" t="str">
        <f t="shared" si="130"/>
        <v>000</v>
      </c>
      <c r="I1369" s="3" t="str">
        <f t="shared" si="131"/>
        <v>00</v>
      </c>
      <c r="L1369" s="3" t="s">
        <v>3245</v>
      </c>
      <c r="R1369" s="3" t="s">
        <v>7091</v>
      </c>
      <c r="S1369" s="15" t="s">
        <v>3247</v>
      </c>
    </row>
    <row r="1370" spans="1:19" ht="30" x14ac:dyDescent="0.25">
      <c r="A1370" s="4" t="s">
        <v>7092</v>
      </c>
      <c r="B1370" s="4" t="s">
        <v>6847</v>
      </c>
      <c r="C1370" s="4" t="s">
        <v>7093</v>
      </c>
      <c r="D1370" s="3" t="str">
        <f t="shared" si="126"/>
        <v>MIS</v>
      </c>
      <c r="E1370" s="3" t="str">
        <f t="shared" si="127"/>
        <v>A</v>
      </c>
      <c r="F1370" s="3" t="str">
        <f t="shared" si="128"/>
        <v>041</v>
      </c>
      <c r="G1370" s="3" t="str">
        <f t="shared" si="129"/>
        <v>MI</v>
      </c>
      <c r="H1370" s="3" t="str">
        <f t="shared" si="130"/>
        <v>022</v>
      </c>
      <c r="I1370" s="3" t="str">
        <f t="shared" si="131"/>
        <v>00</v>
      </c>
      <c r="L1370" s="3" t="s">
        <v>3309</v>
      </c>
      <c r="R1370" s="3" t="s">
        <v>7094</v>
      </c>
      <c r="S1370" s="15" t="s">
        <v>3247</v>
      </c>
    </row>
    <row r="1371" spans="1:19" x14ac:dyDescent="0.25">
      <c r="A1371" s="4" t="s">
        <v>7095</v>
      </c>
      <c r="B1371" s="4" t="s">
        <v>6847</v>
      </c>
      <c r="C1371" s="4" t="s">
        <v>7090</v>
      </c>
      <c r="D1371" s="3" t="str">
        <f t="shared" si="126"/>
        <v>MIS</v>
      </c>
      <c r="E1371" s="3" t="str">
        <f t="shared" si="127"/>
        <v>P</v>
      </c>
      <c r="F1371" s="3" t="str">
        <f t="shared" si="128"/>
        <v>043</v>
      </c>
      <c r="G1371" s="3" t="str">
        <f t="shared" si="129"/>
        <v>MT</v>
      </c>
      <c r="H1371" s="3" t="str">
        <f t="shared" si="130"/>
        <v>000</v>
      </c>
      <c r="I1371" s="3" t="str">
        <f t="shared" si="131"/>
        <v>00</v>
      </c>
      <c r="L1371" s="3" t="s">
        <v>3309</v>
      </c>
      <c r="R1371" s="3" t="s">
        <v>7096</v>
      </c>
      <c r="S1371" s="15" t="s">
        <v>3247</v>
      </c>
    </row>
    <row r="1372" spans="1:19" x14ac:dyDescent="0.25">
      <c r="A1372" s="4" t="s">
        <v>7097</v>
      </c>
      <c r="B1372" s="4" t="s">
        <v>6847</v>
      </c>
      <c r="C1372" s="4" t="s">
        <v>7098</v>
      </c>
      <c r="D1372" s="3" t="str">
        <f t="shared" si="126"/>
        <v>MIS</v>
      </c>
      <c r="E1372" s="3" t="str">
        <f t="shared" si="127"/>
        <v>D</v>
      </c>
      <c r="F1372" s="3" t="str">
        <f t="shared" si="128"/>
        <v>001</v>
      </c>
      <c r="G1372" s="3" t="str">
        <f t="shared" si="129"/>
        <v>HG</v>
      </c>
      <c r="H1372" s="3" t="str">
        <f t="shared" si="130"/>
        <v>023</v>
      </c>
      <c r="I1372" s="3" t="str">
        <f t="shared" si="131"/>
        <v>00</v>
      </c>
      <c r="L1372" s="3" t="s">
        <v>3309</v>
      </c>
      <c r="R1372" s="3" t="s">
        <v>7099</v>
      </c>
      <c r="S1372" s="15" t="s">
        <v>3247</v>
      </c>
    </row>
    <row r="1373" spans="1:19" x14ac:dyDescent="0.25">
      <c r="A1373" s="4" t="s">
        <v>7100</v>
      </c>
      <c r="B1373" s="4" t="s">
        <v>6847</v>
      </c>
      <c r="C1373" s="4" t="s">
        <v>7101</v>
      </c>
      <c r="D1373" s="3" t="str">
        <f t="shared" si="126"/>
        <v>MIS</v>
      </c>
      <c r="E1373" s="3" t="str">
        <f t="shared" si="127"/>
        <v>O</v>
      </c>
      <c r="F1373" s="3" t="str">
        <f t="shared" si="128"/>
        <v>000</v>
      </c>
      <c r="G1373" s="3" t="str">
        <f t="shared" si="129"/>
        <v>MT</v>
      </c>
      <c r="H1373" s="3" t="str">
        <f t="shared" si="130"/>
        <v>000</v>
      </c>
      <c r="I1373" s="3" t="str">
        <f t="shared" si="131"/>
        <v>00</v>
      </c>
      <c r="L1373" s="3" t="s">
        <v>3309</v>
      </c>
      <c r="R1373" s="3" t="s">
        <v>7102</v>
      </c>
      <c r="S1373" s="15" t="s">
        <v>3247</v>
      </c>
    </row>
    <row r="1374" spans="1:19" x14ac:dyDescent="0.25">
      <c r="A1374" s="4" t="s">
        <v>7103</v>
      </c>
      <c r="B1374" s="4" t="s">
        <v>6847</v>
      </c>
      <c r="C1374" s="4" t="s">
        <v>7104</v>
      </c>
      <c r="D1374" s="3" t="str">
        <f t="shared" si="126"/>
        <v>MIS</v>
      </c>
      <c r="E1374" s="3" t="str">
        <f t="shared" si="127"/>
        <v>H</v>
      </c>
      <c r="F1374" s="3" t="str">
        <f t="shared" si="128"/>
        <v>005</v>
      </c>
      <c r="G1374" s="3" t="str">
        <f t="shared" si="129"/>
        <v>RS</v>
      </c>
      <c r="H1374" s="3" t="str">
        <f t="shared" si="130"/>
        <v>000</v>
      </c>
      <c r="I1374" s="3" t="str">
        <f t="shared" si="131"/>
        <v>00</v>
      </c>
      <c r="L1374" s="3" t="s">
        <v>3309</v>
      </c>
      <c r="R1374" s="3" t="s">
        <v>7105</v>
      </c>
      <c r="S1374" s="15" t="s">
        <v>3247</v>
      </c>
    </row>
    <row r="1375" spans="1:19" x14ac:dyDescent="0.25">
      <c r="A1375" s="4" t="s">
        <v>7106</v>
      </c>
      <c r="B1375" s="4" t="s">
        <v>6847</v>
      </c>
      <c r="C1375" s="4" t="s">
        <v>7107</v>
      </c>
      <c r="D1375" s="3" t="str">
        <f t="shared" si="126"/>
        <v>MIS</v>
      </c>
      <c r="E1375" s="3" t="str">
        <f t="shared" si="127"/>
        <v>P</v>
      </c>
      <c r="F1375" s="3" t="str">
        <f t="shared" si="128"/>
        <v>051</v>
      </c>
      <c r="G1375" s="3" t="str">
        <f t="shared" si="129"/>
        <v>EX</v>
      </c>
      <c r="H1375" s="3" t="str">
        <f t="shared" si="130"/>
        <v>000</v>
      </c>
      <c r="I1375" s="3" t="str">
        <f t="shared" si="131"/>
        <v>00</v>
      </c>
      <c r="L1375" s="3" t="s">
        <v>3309</v>
      </c>
      <c r="R1375" s="3" t="s">
        <v>7108</v>
      </c>
      <c r="S1375" s="15" t="s">
        <v>3247</v>
      </c>
    </row>
    <row r="1376" spans="1:19" x14ac:dyDescent="0.25">
      <c r="A1376" s="4" t="s">
        <v>7109</v>
      </c>
      <c r="B1376" s="4" t="s">
        <v>6847</v>
      </c>
      <c r="C1376" s="4" t="s">
        <v>2008</v>
      </c>
      <c r="D1376" s="3" t="str">
        <f t="shared" si="126"/>
        <v>MIS</v>
      </c>
      <c r="E1376" s="3" t="str">
        <f t="shared" si="127"/>
        <v>H</v>
      </c>
      <c r="F1376" s="3" t="str">
        <f t="shared" si="128"/>
        <v>006</v>
      </c>
      <c r="G1376" s="3" t="str">
        <f t="shared" si="129"/>
        <v>NA</v>
      </c>
      <c r="H1376" s="3" t="str">
        <f t="shared" si="130"/>
        <v>000</v>
      </c>
      <c r="I1376" s="3" t="str">
        <f t="shared" si="131"/>
        <v>00</v>
      </c>
      <c r="L1376" s="3" t="s">
        <v>3309</v>
      </c>
      <c r="R1376" s="3" t="s">
        <v>7110</v>
      </c>
      <c r="S1376" s="15" t="s">
        <v>3247</v>
      </c>
    </row>
    <row r="1377" spans="1:19" x14ac:dyDescent="0.25">
      <c r="A1377" s="4" t="s">
        <v>7111</v>
      </c>
      <c r="B1377" s="4" t="s">
        <v>6847</v>
      </c>
      <c r="C1377" s="4" t="s">
        <v>7112</v>
      </c>
      <c r="D1377" s="3" t="str">
        <f t="shared" si="126"/>
        <v>MIS</v>
      </c>
      <c r="E1377" s="3" t="str">
        <f t="shared" si="127"/>
        <v>D</v>
      </c>
      <c r="F1377" s="3" t="str">
        <f t="shared" si="128"/>
        <v>001</v>
      </c>
      <c r="G1377" s="3" t="str">
        <f t="shared" si="129"/>
        <v>EL</v>
      </c>
      <c r="H1377" s="3" t="str">
        <f t="shared" si="130"/>
        <v>000</v>
      </c>
      <c r="I1377" s="3" t="str">
        <f t="shared" si="131"/>
        <v>00</v>
      </c>
      <c r="L1377" s="3" t="s">
        <v>3309</v>
      </c>
      <c r="R1377" s="3" t="s">
        <v>7113</v>
      </c>
      <c r="S1377" s="15" t="s">
        <v>3247</v>
      </c>
    </row>
    <row r="1378" spans="1:19" x14ac:dyDescent="0.25">
      <c r="A1378" s="4" t="s">
        <v>7114</v>
      </c>
      <c r="B1378" s="4" t="s">
        <v>6847</v>
      </c>
      <c r="C1378" s="4" t="s">
        <v>7115</v>
      </c>
      <c r="D1378" s="3" t="str">
        <f t="shared" si="126"/>
        <v>MIS</v>
      </c>
      <c r="E1378" s="3" t="str">
        <f t="shared" si="127"/>
        <v>0</v>
      </c>
      <c r="F1378" s="3" t="str">
        <f t="shared" si="128"/>
        <v>004</v>
      </c>
      <c r="G1378" s="3" t="str">
        <f t="shared" si="129"/>
        <v>LU</v>
      </c>
      <c r="H1378" s="3" t="str">
        <f t="shared" si="130"/>
        <v>500</v>
      </c>
      <c r="I1378" s="3" t="str">
        <f t="shared" si="131"/>
        <v>00</v>
      </c>
      <c r="L1378" s="3" t="s">
        <v>3309</v>
      </c>
      <c r="R1378" s="3" t="s">
        <v>7116</v>
      </c>
      <c r="S1378" s="15" t="s">
        <v>3247</v>
      </c>
    </row>
    <row r="1379" spans="1:19" x14ac:dyDescent="0.25">
      <c r="A1379" s="4" t="s">
        <v>7117</v>
      </c>
      <c r="B1379" s="4" t="s">
        <v>6847</v>
      </c>
      <c r="C1379" s="4" t="s">
        <v>7118</v>
      </c>
      <c r="D1379" s="3" t="str">
        <f t="shared" si="126"/>
        <v>MIS</v>
      </c>
      <c r="E1379" s="3" t="str">
        <f t="shared" si="127"/>
        <v>I</v>
      </c>
      <c r="F1379" s="3" t="str">
        <f t="shared" si="128"/>
        <v>002</v>
      </c>
      <c r="G1379" s="3" t="str">
        <f t="shared" si="129"/>
        <v>MS</v>
      </c>
      <c r="H1379" s="3" t="str">
        <f t="shared" si="130"/>
        <v>014</v>
      </c>
      <c r="I1379" s="3" t="str">
        <f t="shared" si="131"/>
        <v>00</v>
      </c>
      <c r="L1379" s="3" t="s">
        <v>3309</v>
      </c>
      <c r="R1379" s="3" t="s">
        <v>7119</v>
      </c>
      <c r="S1379" s="15" t="s">
        <v>3247</v>
      </c>
    </row>
    <row r="1380" spans="1:19" x14ac:dyDescent="0.25">
      <c r="A1380" s="4" t="s">
        <v>7120</v>
      </c>
      <c r="B1380" s="4" t="s">
        <v>6847</v>
      </c>
      <c r="C1380" s="4" t="s">
        <v>7121</v>
      </c>
      <c r="D1380" s="3" t="str">
        <f t="shared" si="126"/>
        <v>MIS</v>
      </c>
      <c r="E1380" s="3" t="str">
        <f t="shared" si="127"/>
        <v>V</v>
      </c>
      <c r="F1380" s="3" t="str">
        <f t="shared" si="128"/>
        <v>004</v>
      </c>
      <c r="G1380" s="3" t="str">
        <f t="shared" si="129"/>
        <v>NA</v>
      </c>
      <c r="H1380" s="3" t="str">
        <f t="shared" si="130"/>
        <v>000</v>
      </c>
      <c r="I1380" s="3" t="str">
        <f t="shared" si="131"/>
        <v>00</v>
      </c>
      <c r="L1380" s="3" t="s">
        <v>3309</v>
      </c>
      <c r="R1380" s="3" t="s">
        <v>7122</v>
      </c>
      <c r="S1380" s="15" t="s">
        <v>3247</v>
      </c>
    </row>
    <row r="1381" spans="1:19" x14ac:dyDescent="0.25">
      <c r="A1381" s="4" t="s">
        <v>7123</v>
      </c>
      <c r="B1381" s="4" t="s">
        <v>6847</v>
      </c>
      <c r="C1381" s="4" t="s">
        <v>7124</v>
      </c>
      <c r="D1381" s="3" t="str">
        <f t="shared" si="126"/>
        <v>MIS</v>
      </c>
      <c r="E1381" s="3" t="str">
        <f t="shared" si="127"/>
        <v>R</v>
      </c>
      <c r="F1381" s="3" t="str">
        <f t="shared" si="128"/>
        <v>065</v>
      </c>
      <c r="G1381" s="3" t="str">
        <f t="shared" si="129"/>
        <v>NA</v>
      </c>
      <c r="H1381" s="3" t="str">
        <f t="shared" si="130"/>
        <v>000</v>
      </c>
      <c r="I1381" s="3" t="str">
        <f t="shared" si="131"/>
        <v>00</v>
      </c>
      <c r="L1381" s="3" t="s">
        <v>3309</v>
      </c>
      <c r="R1381" s="3" t="s">
        <v>7125</v>
      </c>
      <c r="S1381" s="15" t="s">
        <v>3247</v>
      </c>
    </row>
    <row r="1382" spans="1:19" x14ac:dyDescent="0.25">
      <c r="A1382" s="4" t="s">
        <v>7126</v>
      </c>
      <c r="B1382" s="4" t="s">
        <v>6847</v>
      </c>
      <c r="C1382" s="4" t="s">
        <v>2369</v>
      </c>
      <c r="D1382" s="3" t="str">
        <f t="shared" si="126"/>
        <v>MIS</v>
      </c>
      <c r="E1382" s="3" t="str">
        <f t="shared" si="127"/>
        <v>V</v>
      </c>
      <c r="F1382" s="3" t="str">
        <f t="shared" si="128"/>
        <v>005</v>
      </c>
      <c r="G1382" s="3" t="str">
        <f t="shared" si="129"/>
        <v>NA</v>
      </c>
      <c r="H1382" s="3" t="str">
        <f t="shared" si="130"/>
        <v>000</v>
      </c>
      <c r="I1382" s="3" t="str">
        <f t="shared" si="131"/>
        <v>00</v>
      </c>
      <c r="L1382" s="3" t="s">
        <v>3309</v>
      </c>
      <c r="R1382" s="3" t="s">
        <v>7127</v>
      </c>
      <c r="S1382" s="15" t="s">
        <v>3247</v>
      </c>
    </row>
    <row r="1383" spans="1:19" x14ac:dyDescent="0.25">
      <c r="A1383" s="4" t="s">
        <v>7128</v>
      </c>
      <c r="B1383" s="4" t="s">
        <v>6847</v>
      </c>
      <c r="C1383" s="4" t="s">
        <v>7129</v>
      </c>
      <c r="D1383" s="3" t="str">
        <f t="shared" si="126"/>
        <v>MIS</v>
      </c>
      <c r="E1383" s="3" t="str">
        <f t="shared" si="127"/>
        <v>X</v>
      </c>
      <c r="F1383" s="3" t="str">
        <f t="shared" si="128"/>
        <v>000</v>
      </c>
      <c r="G1383" s="3" t="str">
        <f t="shared" si="129"/>
        <v>NA</v>
      </c>
      <c r="H1383" s="3" t="str">
        <f t="shared" si="130"/>
        <v>000</v>
      </c>
      <c r="I1383" s="3" t="str">
        <f t="shared" si="131"/>
        <v>00</v>
      </c>
      <c r="L1383" s="3" t="s">
        <v>3309</v>
      </c>
      <c r="R1383" s="3" t="s">
        <v>7130</v>
      </c>
      <c r="S1383" s="15" t="s">
        <v>3247</v>
      </c>
    </row>
    <row r="1384" spans="1:19" ht="30" x14ac:dyDescent="0.25">
      <c r="A1384" s="4" t="s">
        <v>7131</v>
      </c>
      <c r="B1384" s="4" t="s">
        <v>6847</v>
      </c>
      <c r="C1384" s="4" t="s">
        <v>2026</v>
      </c>
      <c r="D1384" s="3" t="str">
        <f t="shared" si="126"/>
        <v>MIS</v>
      </c>
      <c r="E1384" s="3" t="str">
        <f t="shared" si="127"/>
        <v>Z</v>
      </c>
      <c r="F1384" s="3" t="str">
        <f t="shared" si="128"/>
        <v>001</v>
      </c>
      <c r="G1384" s="3" t="str">
        <f t="shared" si="129"/>
        <v>00</v>
      </c>
      <c r="H1384" s="3" t="str">
        <f t="shared" si="130"/>
        <v>000</v>
      </c>
      <c r="I1384" s="3" t="str">
        <f t="shared" si="131"/>
        <v/>
      </c>
      <c r="L1384" s="3" t="s">
        <v>3309</v>
      </c>
      <c r="R1384" s="3" t="s">
        <v>7132</v>
      </c>
      <c r="S1384" s="15" t="s">
        <v>3247</v>
      </c>
    </row>
    <row r="1385" spans="1:19" ht="45" x14ac:dyDescent="0.25">
      <c r="A1385" s="4" t="s">
        <v>7133</v>
      </c>
      <c r="B1385" s="4" t="s">
        <v>6847</v>
      </c>
      <c r="C1385" s="4" t="s">
        <v>1980</v>
      </c>
      <c r="D1385" s="3" t="str">
        <f t="shared" si="126"/>
        <v>MIS</v>
      </c>
      <c r="E1385" s="3" t="str">
        <f t="shared" si="127"/>
        <v>D</v>
      </c>
      <c r="F1385" s="3" t="str">
        <f t="shared" si="128"/>
        <v>016</v>
      </c>
      <c r="G1385" s="3" t="str">
        <f t="shared" si="129"/>
        <v>NA</v>
      </c>
      <c r="H1385" s="3" t="str">
        <f t="shared" si="130"/>
        <v>000</v>
      </c>
      <c r="I1385" s="3" t="str">
        <f t="shared" si="131"/>
        <v>03</v>
      </c>
      <c r="L1385" s="3" t="s">
        <v>3309</v>
      </c>
      <c r="R1385" s="3" t="s">
        <v>7134</v>
      </c>
      <c r="S1385" s="15" t="s">
        <v>3247</v>
      </c>
    </row>
    <row r="1386" spans="1:19" ht="30" x14ac:dyDescent="0.25">
      <c r="A1386" s="4" t="s">
        <v>7135</v>
      </c>
      <c r="B1386" s="4" t="s">
        <v>6847</v>
      </c>
      <c r="C1386" s="4" t="s">
        <v>7136</v>
      </c>
      <c r="D1386" s="3" t="str">
        <f t="shared" si="126"/>
        <v>MIS</v>
      </c>
      <c r="E1386" s="3" t="str">
        <f t="shared" si="127"/>
        <v>I</v>
      </c>
      <c r="F1386" s="3" t="str">
        <f t="shared" si="128"/>
        <v>001</v>
      </c>
      <c r="G1386" s="3" t="str">
        <f t="shared" si="129"/>
        <v>MS</v>
      </c>
      <c r="H1386" s="3" t="str">
        <f t="shared" si="130"/>
        <v>024</v>
      </c>
      <c r="I1386" s="3" t="str">
        <f t="shared" si="131"/>
        <v>00</v>
      </c>
      <c r="L1386" s="3" t="s">
        <v>3309</v>
      </c>
      <c r="R1386" s="3" t="s">
        <v>3068</v>
      </c>
      <c r="S1386" s="15" t="s">
        <v>3247</v>
      </c>
    </row>
    <row r="1387" spans="1:19" ht="30" x14ac:dyDescent="0.25">
      <c r="A1387" s="4" t="s">
        <v>7137</v>
      </c>
      <c r="B1387" s="4" t="s">
        <v>6847</v>
      </c>
      <c r="C1387" s="4" t="s">
        <v>7138</v>
      </c>
      <c r="D1387" s="3" t="str">
        <f t="shared" si="126"/>
        <v>MIS</v>
      </c>
      <c r="E1387" s="3" t="str">
        <f t="shared" si="127"/>
        <v>R</v>
      </c>
      <c r="F1387" s="3" t="str">
        <f t="shared" si="128"/>
        <v>099</v>
      </c>
      <c r="G1387" s="3" t="str">
        <f t="shared" si="129"/>
        <v>HP</v>
      </c>
      <c r="H1387" s="3" t="str">
        <f t="shared" si="130"/>
        <v>000</v>
      </c>
      <c r="I1387" s="3" t="str">
        <f t="shared" si="131"/>
        <v>00</v>
      </c>
      <c r="L1387" s="3" t="s">
        <v>3309</v>
      </c>
      <c r="R1387" s="3" t="s">
        <v>7139</v>
      </c>
      <c r="S1387" s="15" t="s">
        <v>3247</v>
      </c>
    </row>
    <row r="1388" spans="1:19" ht="30" x14ac:dyDescent="0.25">
      <c r="A1388" s="4" t="s">
        <v>7140</v>
      </c>
      <c r="B1388" s="4" t="s">
        <v>6847</v>
      </c>
      <c r="C1388" s="4" t="s">
        <v>7141</v>
      </c>
      <c r="D1388" s="3" t="str">
        <f t="shared" si="126"/>
        <v>MIS</v>
      </c>
      <c r="E1388" s="3" t="str">
        <f t="shared" si="127"/>
        <v>R</v>
      </c>
      <c r="F1388" s="3" t="str">
        <f t="shared" si="128"/>
        <v>000</v>
      </c>
      <c r="G1388" s="3" t="str">
        <f t="shared" si="129"/>
        <v>NA</v>
      </c>
      <c r="H1388" s="3" t="str">
        <f t="shared" si="130"/>
        <v>000</v>
      </c>
      <c r="I1388" s="3" t="str">
        <f t="shared" si="131"/>
        <v>00</v>
      </c>
      <c r="L1388" s="3" t="s">
        <v>3309</v>
      </c>
      <c r="R1388" s="3" t="s">
        <v>7142</v>
      </c>
      <c r="S1388" s="15" t="s">
        <v>3247</v>
      </c>
    </row>
    <row r="1389" spans="1:19" ht="30" x14ac:dyDescent="0.25">
      <c r="A1389" s="4" t="s">
        <v>7143</v>
      </c>
      <c r="B1389" s="4" t="s">
        <v>6847</v>
      </c>
      <c r="C1389" s="4" t="s">
        <v>7144</v>
      </c>
      <c r="D1389" s="3" t="str">
        <f t="shared" si="126"/>
        <v>MIS</v>
      </c>
      <c r="E1389" s="3" t="str">
        <f t="shared" si="127"/>
        <v>A</v>
      </c>
      <c r="F1389" s="3" t="str">
        <f t="shared" si="128"/>
        <v>125</v>
      </c>
      <c r="G1389" s="3" t="str">
        <f t="shared" si="129"/>
        <v>CI</v>
      </c>
      <c r="H1389" s="3" t="str">
        <f t="shared" si="130"/>
        <v>000</v>
      </c>
      <c r="I1389" s="3" t="str">
        <f t="shared" si="131"/>
        <v>00</v>
      </c>
      <c r="L1389" s="3" t="s">
        <v>3309</v>
      </c>
      <c r="R1389" s="3" t="s">
        <v>7145</v>
      </c>
      <c r="S1389" s="15" t="s">
        <v>3247</v>
      </c>
    </row>
    <row r="1390" spans="1:19" ht="30" x14ac:dyDescent="0.25">
      <c r="A1390" s="4" t="s">
        <v>7146</v>
      </c>
      <c r="B1390" s="4" t="s">
        <v>6847</v>
      </c>
      <c r="C1390" s="4" t="s">
        <v>7147</v>
      </c>
      <c r="D1390" s="3" t="str">
        <f t="shared" si="126"/>
        <v>MIS</v>
      </c>
      <c r="E1390" s="3" t="str">
        <f t="shared" si="127"/>
        <v>A</v>
      </c>
      <c r="F1390" s="3" t="str">
        <f t="shared" si="128"/>
        <v>126</v>
      </c>
      <c r="G1390" s="3" t="str">
        <f t="shared" si="129"/>
        <v>CI</v>
      </c>
      <c r="H1390" s="3" t="str">
        <f t="shared" si="130"/>
        <v>000</v>
      </c>
      <c r="I1390" s="3" t="str">
        <f t="shared" si="131"/>
        <v>00</v>
      </c>
      <c r="L1390" s="3" t="s">
        <v>3309</v>
      </c>
      <c r="R1390" s="3" t="s">
        <v>7148</v>
      </c>
      <c r="S1390" s="15" t="s">
        <v>3247</v>
      </c>
    </row>
    <row r="1391" spans="1:19" ht="30" x14ac:dyDescent="0.25">
      <c r="A1391" s="4" t="s">
        <v>7149</v>
      </c>
      <c r="B1391" s="4" t="s">
        <v>6847</v>
      </c>
      <c r="C1391" s="4" t="s">
        <v>7150</v>
      </c>
      <c r="D1391" s="3" t="str">
        <f t="shared" si="126"/>
        <v>MIS</v>
      </c>
      <c r="E1391" s="3" t="str">
        <f t="shared" si="127"/>
        <v>A</v>
      </c>
      <c r="F1391" s="3" t="str">
        <f t="shared" si="128"/>
        <v>127</v>
      </c>
      <c r="G1391" s="3" t="str">
        <f t="shared" si="129"/>
        <v>CI</v>
      </c>
      <c r="H1391" s="3" t="str">
        <f t="shared" si="130"/>
        <v>000</v>
      </c>
      <c r="I1391" s="3" t="str">
        <f t="shared" si="131"/>
        <v>00</v>
      </c>
      <c r="L1391" s="3" t="s">
        <v>3309</v>
      </c>
      <c r="R1391" s="3" t="s">
        <v>7151</v>
      </c>
      <c r="S1391" s="15" t="s">
        <v>3247</v>
      </c>
    </row>
    <row r="1392" spans="1:19" ht="30" x14ac:dyDescent="0.25">
      <c r="A1392" s="4" t="s">
        <v>7152</v>
      </c>
      <c r="B1392" s="4" t="s">
        <v>6847</v>
      </c>
      <c r="C1392" s="4" t="s">
        <v>7153</v>
      </c>
      <c r="D1392" s="3" t="str">
        <f t="shared" si="126"/>
        <v>MIS</v>
      </c>
      <c r="E1392" s="3" t="str">
        <f t="shared" si="127"/>
        <v>A</v>
      </c>
      <c r="F1392" s="3" t="str">
        <f t="shared" si="128"/>
        <v>128</v>
      </c>
      <c r="G1392" s="3" t="str">
        <f t="shared" si="129"/>
        <v>CI</v>
      </c>
      <c r="H1392" s="3" t="str">
        <f t="shared" si="130"/>
        <v>000</v>
      </c>
      <c r="I1392" s="3" t="str">
        <f t="shared" si="131"/>
        <v>00</v>
      </c>
      <c r="L1392" s="3" t="s">
        <v>3309</v>
      </c>
      <c r="R1392" s="3" t="s">
        <v>7154</v>
      </c>
      <c r="S1392" s="15" t="s">
        <v>3247</v>
      </c>
    </row>
    <row r="1393" spans="1:19" ht="30" x14ac:dyDescent="0.25">
      <c r="A1393" s="4" t="s">
        <v>7155</v>
      </c>
      <c r="B1393" s="4" t="s">
        <v>6847</v>
      </c>
      <c r="C1393" s="4" t="s">
        <v>7156</v>
      </c>
      <c r="D1393" s="3" t="str">
        <f t="shared" si="126"/>
        <v>MIS</v>
      </c>
      <c r="E1393" s="3" t="str">
        <f t="shared" si="127"/>
        <v>A</v>
      </c>
      <c r="F1393" s="3" t="str">
        <f t="shared" si="128"/>
        <v>129</v>
      </c>
      <c r="G1393" s="3" t="str">
        <f t="shared" si="129"/>
        <v>CI</v>
      </c>
      <c r="H1393" s="3" t="str">
        <f t="shared" si="130"/>
        <v>000</v>
      </c>
      <c r="I1393" s="3" t="str">
        <f t="shared" si="131"/>
        <v>00</v>
      </c>
      <c r="L1393" s="3" t="s">
        <v>3309</v>
      </c>
      <c r="R1393" s="3" t="s">
        <v>7157</v>
      </c>
      <c r="S1393" s="15" t="s">
        <v>3247</v>
      </c>
    </row>
    <row r="1394" spans="1:19" ht="30" x14ac:dyDescent="0.25">
      <c r="A1394" s="4" t="s">
        <v>7158</v>
      </c>
      <c r="B1394" s="4" t="s">
        <v>6847</v>
      </c>
      <c r="C1394" s="4" t="s">
        <v>7159</v>
      </c>
      <c r="D1394" s="3" t="str">
        <f t="shared" si="126"/>
        <v>MIS</v>
      </c>
      <c r="E1394" s="3" t="str">
        <f t="shared" si="127"/>
        <v>A</v>
      </c>
      <c r="F1394" s="3" t="str">
        <f t="shared" si="128"/>
        <v>130</v>
      </c>
      <c r="G1394" s="3" t="str">
        <f t="shared" si="129"/>
        <v>CI</v>
      </c>
      <c r="H1394" s="3" t="str">
        <f t="shared" si="130"/>
        <v>000</v>
      </c>
      <c r="I1394" s="3" t="str">
        <f t="shared" si="131"/>
        <v>00</v>
      </c>
      <c r="L1394" s="3" t="s">
        <v>3309</v>
      </c>
      <c r="R1394" s="3" t="s">
        <v>7160</v>
      </c>
      <c r="S1394" s="15" t="s">
        <v>3247</v>
      </c>
    </row>
    <row r="1395" spans="1:19" ht="30" x14ac:dyDescent="0.25">
      <c r="A1395" s="4" t="s">
        <v>7161</v>
      </c>
      <c r="B1395" s="4" t="s">
        <v>6847</v>
      </c>
      <c r="C1395" s="4" t="s">
        <v>7162</v>
      </c>
      <c r="D1395" s="3" t="str">
        <f t="shared" si="126"/>
        <v>MIS</v>
      </c>
      <c r="E1395" s="3" t="str">
        <f t="shared" si="127"/>
        <v>A</v>
      </c>
      <c r="F1395" s="3" t="str">
        <f t="shared" si="128"/>
        <v>131</v>
      </c>
      <c r="G1395" s="3" t="str">
        <f t="shared" si="129"/>
        <v>CI</v>
      </c>
      <c r="H1395" s="3" t="str">
        <f t="shared" si="130"/>
        <v>000</v>
      </c>
      <c r="I1395" s="3" t="str">
        <f t="shared" si="131"/>
        <v>00</v>
      </c>
      <c r="L1395" s="3" t="s">
        <v>3309</v>
      </c>
      <c r="R1395" s="3" t="s">
        <v>7163</v>
      </c>
      <c r="S1395" s="15" t="s">
        <v>3247</v>
      </c>
    </row>
    <row r="1396" spans="1:19" ht="45" x14ac:dyDescent="0.25">
      <c r="A1396" s="4" t="s">
        <v>7164</v>
      </c>
      <c r="B1396" s="4" t="s">
        <v>6847</v>
      </c>
      <c r="C1396" s="4" t="s">
        <v>7165</v>
      </c>
      <c r="D1396" s="3" t="str">
        <f t="shared" si="126"/>
        <v>MIS</v>
      </c>
      <c r="E1396" s="3" t="str">
        <f t="shared" si="127"/>
        <v>R</v>
      </c>
      <c r="F1396" s="3" t="str">
        <f t="shared" si="128"/>
        <v>001</v>
      </c>
      <c r="G1396" s="3" t="str">
        <f t="shared" si="129"/>
        <v>NA</v>
      </c>
      <c r="H1396" s="3" t="str">
        <f t="shared" si="130"/>
        <v>000</v>
      </c>
      <c r="I1396" s="3" t="str">
        <f t="shared" si="131"/>
        <v>00</v>
      </c>
      <c r="L1396" s="3" t="s">
        <v>3309</v>
      </c>
      <c r="R1396" s="3" t="s">
        <v>7166</v>
      </c>
      <c r="S1396" s="15" t="s">
        <v>3247</v>
      </c>
    </row>
    <row r="1397" spans="1:19" ht="30" x14ac:dyDescent="0.25">
      <c r="A1397" s="4" t="s">
        <v>7167</v>
      </c>
      <c r="B1397" s="4" t="s">
        <v>6847</v>
      </c>
      <c r="C1397" s="4" t="s">
        <v>7168</v>
      </c>
      <c r="D1397" s="3" t="str">
        <f t="shared" si="126"/>
        <v>MIS</v>
      </c>
      <c r="E1397" s="3" t="str">
        <f t="shared" si="127"/>
        <v>Q</v>
      </c>
      <c r="F1397" s="3" t="str">
        <f t="shared" si="128"/>
        <v>025</v>
      </c>
      <c r="G1397" s="3" t="str">
        <f t="shared" si="129"/>
        <v>NG</v>
      </c>
      <c r="H1397" s="3" t="str">
        <f t="shared" si="130"/>
        <v>000</v>
      </c>
      <c r="I1397" s="3" t="str">
        <f t="shared" si="131"/>
        <v>00</v>
      </c>
      <c r="L1397" s="3" t="s">
        <v>3309</v>
      </c>
      <c r="R1397" s="3" t="s">
        <v>7169</v>
      </c>
      <c r="S1397" s="15" t="s">
        <v>3247</v>
      </c>
    </row>
    <row r="1398" spans="1:19" ht="30" x14ac:dyDescent="0.25">
      <c r="A1398" s="4" t="s">
        <v>7170</v>
      </c>
      <c r="B1398" s="4" t="s">
        <v>6847</v>
      </c>
      <c r="C1398" s="4" t="s">
        <v>2027</v>
      </c>
      <c r="D1398" s="3" t="str">
        <f t="shared" si="126"/>
        <v>MIS</v>
      </c>
      <c r="E1398" s="3" t="str">
        <f t="shared" si="127"/>
        <v>T</v>
      </c>
      <c r="F1398" s="3" t="str">
        <f t="shared" si="128"/>
        <v>002</v>
      </c>
      <c r="G1398" s="3" t="str">
        <f t="shared" si="129"/>
        <v>PO</v>
      </c>
      <c r="H1398" s="3" t="str">
        <f t="shared" si="130"/>
        <v>000</v>
      </c>
      <c r="I1398" s="3" t="str">
        <f t="shared" si="131"/>
        <v>00</v>
      </c>
      <c r="L1398" s="3" t="s">
        <v>3309</v>
      </c>
      <c r="R1398" s="3" t="s">
        <v>7171</v>
      </c>
      <c r="S1398" s="15" t="s">
        <v>3247</v>
      </c>
    </row>
    <row r="1399" spans="1:19" ht="60" x14ac:dyDescent="0.25">
      <c r="A1399" s="4" t="s">
        <v>7172</v>
      </c>
      <c r="B1399" s="4" t="s">
        <v>6847</v>
      </c>
      <c r="C1399" s="4" t="s">
        <v>1981</v>
      </c>
      <c r="D1399" s="3" t="str">
        <f t="shared" si="126"/>
        <v>MIS</v>
      </c>
      <c r="E1399" s="3" t="str">
        <f t="shared" si="127"/>
        <v>D</v>
      </c>
      <c r="F1399" s="3" t="str">
        <f t="shared" si="128"/>
        <v>017</v>
      </c>
      <c r="G1399" s="3" t="str">
        <f t="shared" si="129"/>
        <v>NA</v>
      </c>
      <c r="H1399" s="3" t="str">
        <f t="shared" si="130"/>
        <v>000</v>
      </c>
      <c r="I1399" s="3" t="str">
        <f t="shared" si="131"/>
        <v>00</v>
      </c>
      <c r="L1399" s="3" t="s">
        <v>3309</v>
      </c>
      <c r="R1399" s="3" t="s">
        <v>7173</v>
      </c>
      <c r="S1399" s="15" t="s">
        <v>3247</v>
      </c>
    </row>
    <row r="1400" spans="1:19" x14ac:dyDescent="0.25">
      <c r="A1400" s="4" t="s">
        <v>7174</v>
      </c>
      <c r="B1400" s="4" t="s">
        <v>6847</v>
      </c>
      <c r="C1400" s="4" t="s">
        <v>7175</v>
      </c>
      <c r="D1400" s="3" t="str">
        <f t="shared" si="126"/>
        <v>MIS</v>
      </c>
      <c r="E1400" s="3" t="str">
        <f t="shared" si="127"/>
        <v>A</v>
      </c>
      <c r="F1400" s="3" t="str">
        <f t="shared" si="128"/>
        <v>200</v>
      </c>
      <c r="G1400" s="3" t="str">
        <f t="shared" si="129"/>
        <v>NA</v>
      </c>
      <c r="H1400" s="3" t="str">
        <f t="shared" si="130"/>
        <v>000</v>
      </c>
      <c r="I1400" s="3" t="str">
        <f t="shared" si="131"/>
        <v>00</v>
      </c>
      <c r="L1400" s="3" t="s">
        <v>3309</v>
      </c>
      <c r="R1400" s="3" t="s">
        <v>7176</v>
      </c>
      <c r="S1400" s="15" t="s">
        <v>3247</v>
      </c>
    </row>
    <row r="1401" spans="1:19" x14ac:dyDescent="0.25">
      <c r="A1401" s="4" t="s">
        <v>7177</v>
      </c>
      <c r="B1401" s="4" t="s">
        <v>6847</v>
      </c>
      <c r="C1401" s="4" t="s">
        <v>7178</v>
      </c>
      <c r="D1401" s="3" t="str">
        <f t="shared" si="126"/>
        <v>MIS</v>
      </c>
      <c r="E1401" s="3" t="str">
        <f t="shared" si="127"/>
        <v>D</v>
      </c>
      <c r="F1401" s="3" t="str">
        <f t="shared" si="128"/>
        <v>207</v>
      </c>
      <c r="G1401" s="3" t="str">
        <f t="shared" si="129"/>
        <v>NA</v>
      </c>
      <c r="H1401" s="3" t="str">
        <f t="shared" si="130"/>
        <v>000</v>
      </c>
      <c r="I1401" s="3" t="str">
        <f t="shared" si="131"/>
        <v>00</v>
      </c>
      <c r="L1401" s="3" t="s">
        <v>3309</v>
      </c>
      <c r="R1401" s="3" t="s">
        <v>7179</v>
      </c>
      <c r="S1401" s="15" t="s">
        <v>3247</v>
      </c>
    </row>
    <row r="1402" spans="1:19" ht="45" x14ac:dyDescent="0.25">
      <c r="A1402" s="4" t="s">
        <v>7180</v>
      </c>
      <c r="B1402" s="4" t="s">
        <v>6847</v>
      </c>
      <c r="C1402" s="4" t="s">
        <v>7181</v>
      </c>
      <c r="D1402" s="3" t="str">
        <f t="shared" si="126"/>
        <v>MIS</v>
      </c>
      <c r="E1402" s="3" t="str">
        <f t="shared" si="127"/>
        <v>B</v>
      </c>
      <c r="F1402" s="3" t="str">
        <f t="shared" si="128"/>
        <v>026</v>
      </c>
      <c r="G1402" s="3" t="str">
        <f t="shared" si="129"/>
        <v>KR</v>
      </c>
      <c r="H1402" s="3" t="str">
        <f t="shared" si="130"/>
        <v>000</v>
      </c>
      <c r="I1402" s="3" t="str">
        <f t="shared" si="131"/>
        <v>00</v>
      </c>
      <c r="L1402" s="3" t="s">
        <v>3309</v>
      </c>
      <c r="R1402" s="3" t="s">
        <v>7182</v>
      </c>
      <c r="S1402" s="15" t="s">
        <v>3247</v>
      </c>
    </row>
    <row r="1403" spans="1:19" ht="30" x14ac:dyDescent="0.25">
      <c r="A1403" s="4" t="s">
        <v>7183</v>
      </c>
      <c r="B1403" s="4" t="s">
        <v>6847</v>
      </c>
      <c r="C1403" s="4" t="s">
        <v>7184</v>
      </c>
      <c r="D1403" s="3" t="str">
        <f t="shared" si="126"/>
        <v>MIS</v>
      </c>
      <c r="E1403" s="3" t="str">
        <f t="shared" si="127"/>
        <v>A</v>
      </c>
      <c r="F1403" s="3" t="str">
        <f t="shared" si="128"/>
        <v>017</v>
      </c>
      <c r="G1403" s="3" t="str">
        <f t="shared" si="129"/>
        <v>NA</v>
      </c>
      <c r="H1403" s="3" t="str">
        <f t="shared" si="130"/>
        <v>000</v>
      </c>
      <c r="I1403" s="3" t="str">
        <f t="shared" si="131"/>
        <v>00</v>
      </c>
      <c r="L1403" s="3" t="s">
        <v>3309</v>
      </c>
      <c r="R1403" s="3" t="s">
        <v>7185</v>
      </c>
      <c r="S1403" s="15" t="s">
        <v>3247</v>
      </c>
    </row>
    <row r="1404" spans="1:19" ht="30" x14ac:dyDescent="0.25">
      <c r="A1404" s="4" t="s">
        <v>7186</v>
      </c>
      <c r="B1404" s="4" t="s">
        <v>6847</v>
      </c>
      <c r="C1404" s="4" t="s">
        <v>2376</v>
      </c>
      <c r="D1404" s="3" t="str">
        <f t="shared" si="126"/>
        <v>MIS</v>
      </c>
      <c r="E1404" s="3" t="str">
        <f t="shared" si="127"/>
        <v>A</v>
      </c>
      <c r="F1404" s="3" t="str">
        <f t="shared" si="128"/>
        <v>C00</v>
      </c>
      <c r="G1404" s="3" t="str">
        <f t="shared" si="129"/>
        <v>0C</v>
      </c>
      <c r="H1404" s="3" t="str">
        <f t="shared" si="130"/>
        <v>I00</v>
      </c>
      <c r="I1404" s="3" t="str">
        <f t="shared" si="131"/>
        <v>00</v>
      </c>
      <c r="L1404" s="3" t="s">
        <v>3309</v>
      </c>
      <c r="R1404" s="3" t="s">
        <v>7187</v>
      </c>
      <c r="S1404" s="15" t="s">
        <v>3247</v>
      </c>
    </row>
    <row r="1405" spans="1:19" x14ac:dyDescent="0.25">
      <c r="A1405" s="4" t="s">
        <v>7188</v>
      </c>
      <c r="B1405" s="4" t="s">
        <v>6847</v>
      </c>
      <c r="C1405" s="4" t="s">
        <v>7189</v>
      </c>
      <c r="D1405" s="3" t="str">
        <f t="shared" si="126"/>
        <v>MIS</v>
      </c>
      <c r="E1405" s="3" t="str">
        <f t="shared" si="127"/>
        <v>O</v>
      </c>
      <c r="F1405" s="3" t="str">
        <f t="shared" si="128"/>
        <v>004</v>
      </c>
      <c r="G1405" s="3" t="str">
        <f t="shared" si="129"/>
        <v>LU</v>
      </c>
      <c r="H1405" s="3" t="str">
        <f t="shared" si="130"/>
        <v>000</v>
      </c>
      <c r="I1405" s="3" t="str">
        <f t="shared" si="131"/>
        <v>00</v>
      </c>
      <c r="L1405" s="3" t="s">
        <v>3309</v>
      </c>
      <c r="R1405" s="3" t="s">
        <v>7190</v>
      </c>
      <c r="S1405" s="15" t="s">
        <v>3247</v>
      </c>
    </row>
    <row r="1406" spans="1:19" x14ac:dyDescent="0.25">
      <c r="A1406" s="4" t="s">
        <v>7191</v>
      </c>
      <c r="B1406" s="4" t="s">
        <v>6847</v>
      </c>
      <c r="C1406" s="4" t="s">
        <v>7192</v>
      </c>
      <c r="D1406" s="3" t="str">
        <f t="shared" si="126"/>
        <v>MIS</v>
      </c>
      <c r="E1406" s="3" t="str">
        <f t="shared" si="127"/>
        <v>A</v>
      </c>
      <c r="F1406" s="3" t="str">
        <f t="shared" si="128"/>
        <v>000</v>
      </c>
      <c r="G1406" s="3" t="str">
        <f t="shared" si="129"/>
        <v>CI</v>
      </c>
      <c r="H1406" s="3" t="str">
        <f t="shared" si="130"/>
        <v>000</v>
      </c>
      <c r="I1406" s="3" t="str">
        <f t="shared" si="131"/>
        <v>00</v>
      </c>
      <c r="L1406" s="3" t="s">
        <v>3309</v>
      </c>
      <c r="R1406" s="3" t="s">
        <v>7193</v>
      </c>
      <c r="S1406" s="15" t="s">
        <v>3247</v>
      </c>
    </row>
    <row r="1407" spans="1:19" x14ac:dyDescent="0.25">
      <c r="A1407" s="4" t="s">
        <v>7194</v>
      </c>
      <c r="B1407" s="4" t="s">
        <v>6847</v>
      </c>
      <c r="C1407" s="4" t="s">
        <v>7195</v>
      </c>
      <c r="D1407" s="3" t="str">
        <f t="shared" si="126"/>
        <v>MIS</v>
      </c>
      <c r="E1407" s="3" t="str">
        <f t="shared" si="127"/>
        <v>A</v>
      </c>
      <c r="F1407" s="3" t="str">
        <f t="shared" si="128"/>
        <v>027</v>
      </c>
      <c r="G1407" s="3" t="str">
        <f t="shared" si="129"/>
        <v>KR</v>
      </c>
      <c r="H1407" s="3" t="str">
        <f t="shared" si="130"/>
        <v>000</v>
      </c>
      <c r="I1407" s="3" t="str">
        <f t="shared" si="131"/>
        <v>00</v>
      </c>
      <c r="L1407" s="3" t="s">
        <v>3309</v>
      </c>
      <c r="R1407" s="3" t="s">
        <v>7196</v>
      </c>
      <c r="S1407" s="15" t="s">
        <v>3247</v>
      </c>
    </row>
    <row r="1408" spans="1:19" ht="30" x14ac:dyDescent="0.25">
      <c r="A1408" s="4" t="s">
        <v>7197</v>
      </c>
      <c r="B1408" s="4" t="s">
        <v>6847</v>
      </c>
      <c r="C1408" s="4" t="s">
        <v>7198</v>
      </c>
      <c r="D1408" s="3" t="str">
        <f t="shared" si="126"/>
        <v>MIS</v>
      </c>
      <c r="E1408" s="3" t="str">
        <f t="shared" si="127"/>
        <v>S</v>
      </c>
      <c r="F1408" s="3" t="str">
        <f t="shared" si="128"/>
        <v>000</v>
      </c>
      <c r="G1408" s="3" t="str">
        <f t="shared" si="129"/>
        <v>BL</v>
      </c>
      <c r="H1408" s="3" t="str">
        <f t="shared" si="130"/>
        <v>000</v>
      </c>
      <c r="I1408" s="3" t="str">
        <f t="shared" si="131"/>
        <v>00</v>
      </c>
      <c r="L1408" s="3" t="s">
        <v>3309</v>
      </c>
      <c r="R1408" s="3" t="s">
        <v>7199</v>
      </c>
      <c r="S1408" s="15" t="s">
        <v>3247</v>
      </c>
    </row>
    <row r="1409" spans="1:19" x14ac:dyDescent="0.25">
      <c r="A1409" s="4" t="s">
        <v>7200</v>
      </c>
      <c r="B1409" s="4" t="s">
        <v>6847</v>
      </c>
      <c r="C1409" s="4" t="s">
        <v>7201</v>
      </c>
      <c r="D1409" s="3" t="str">
        <f t="shared" si="126"/>
        <v>MIS</v>
      </c>
      <c r="E1409" s="3" t="str">
        <f t="shared" si="127"/>
        <v>A</v>
      </c>
      <c r="F1409" s="3" t="str">
        <f t="shared" si="128"/>
        <v>210</v>
      </c>
      <c r="G1409" s="3" t="str">
        <f t="shared" si="129"/>
        <v>SC</v>
      </c>
      <c r="H1409" s="3" t="str">
        <f t="shared" si="130"/>
        <v>026</v>
      </c>
      <c r="I1409" s="3" t="str">
        <f t="shared" si="131"/>
        <v>00</v>
      </c>
      <c r="L1409" s="3" t="s">
        <v>3309</v>
      </c>
      <c r="R1409" s="3" t="s">
        <v>7202</v>
      </c>
      <c r="S1409" s="15" t="s">
        <v>3247</v>
      </c>
    </row>
    <row r="1410" spans="1:19" x14ac:dyDescent="0.25">
      <c r="A1410" s="4" t="s">
        <v>7203</v>
      </c>
      <c r="B1410" s="4" t="s">
        <v>6847</v>
      </c>
      <c r="C1410" s="4" t="s">
        <v>7204</v>
      </c>
      <c r="D1410" s="3" t="str">
        <f t="shared" ref="D1410:D1473" si="132">LEFT(A1410,3)</f>
        <v>MIS</v>
      </c>
      <c r="E1410" s="3" t="str">
        <f t="shared" ref="E1410:E1473" si="133">MID(A1410,4,1)</f>
        <v>A</v>
      </c>
      <c r="F1410" s="3" t="str">
        <f t="shared" ref="F1410:F1473" si="134">MID(A1410,5,3)</f>
        <v>211</v>
      </c>
      <c r="G1410" s="3" t="str">
        <f t="shared" ref="G1410:G1473" si="135">MID(A1410,8,2)</f>
        <v>SC</v>
      </c>
      <c r="H1410" s="3" t="str">
        <f t="shared" ref="H1410:H1473" si="136">MID(A1410,10,3)</f>
        <v>026</v>
      </c>
      <c r="I1410" s="3" t="str">
        <f t="shared" ref="I1410:I1473" si="137">MID(A1410,13,2)</f>
        <v>00</v>
      </c>
      <c r="L1410" s="3" t="s">
        <v>3309</v>
      </c>
      <c r="R1410" s="3" t="s">
        <v>7205</v>
      </c>
      <c r="S1410" s="15" t="s">
        <v>3247</v>
      </c>
    </row>
    <row r="1411" spans="1:19" x14ac:dyDescent="0.25">
      <c r="A1411" s="4" t="s">
        <v>7206</v>
      </c>
      <c r="B1411" s="4" t="s">
        <v>6847</v>
      </c>
      <c r="C1411" s="4" t="s">
        <v>7207</v>
      </c>
      <c r="D1411" s="3" t="str">
        <f t="shared" si="132"/>
        <v>MIS</v>
      </c>
      <c r="E1411" s="3" t="str">
        <f t="shared" si="133"/>
        <v>A</v>
      </c>
      <c r="F1411" s="3" t="str">
        <f t="shared" si="134"/>
        <v>212</v>
      </c>
      <c r="G1411" s="3" t="str">
        <f t="shared" si="135"/>
        <v>SC</v>
      </c>
      <c r="H1411" s="3" t="str">
        <f t="shared" si="136"/>
        <v>026</v>
      </c>
      <c r="I1411" s="3" t="str">
        <f t="shared" si="137"/>
        <v>00</v>
      </c>
      <c r="L1411" s="3" t="s">
        <v>3309</v>
      </c>
      <c r="R1411" s="3" t="s">
        <v>7208</v>
      </c>
      <c r="S1411" s="15" t="s">
        <v>3247</v>
      </c>
    </row>
    <row r="1412" spans="1:19" x14ac:dyDescent="0.25">
      <c r="A1412" s="4" t="s">
        <v>7209</v>
      </c>
      <c r="B1412" s="4" t="s">
        <v>6847</v>
      </c>
      <c r="C1412" s="4" t="s">
        <v>7210</v>
      </c>
      <c r="D1412" s="3" t="str">
        <f t="shared" si="132"/>
        <v>MIS</v>
      </c>
      <c r="E1412" s="3" t="str">
        <f t="shared" si="133"/>
        <v>A</v>
      </c>
      <c r="F1412" s="3" t="str">
        <f t="shared" si="134"/>
        <v>213</v>
      </c>
      <c r="G1412" s="3" t="str">
        <f t="shared" si="135"/>
        <v>SC</v>
      </c>
      <c r="H1412" s="3" t="str">
        <f t="shared" si="136"/>
        <v>026</v>
      </c>
      <c r="I1412" s="3" t="str">
        <f t="shared" si="137"/>
        <v>00</v>
      </c>
      <c r="L1412" s="3" t="s">
        <v>3309</v>
      </c>
      <c r="R1412" s="3" t="s">
        <v>7211</v>
      </c>
      <c r="S1412" s="15" t="s">
        <v>3247</v>
      </c>
    </row>
    <row r="1413" spans="1:19" x14ac:dyDescent="0.25">
      <c r="A1413" s="4" t="s">
        <v>7212</v>
      </c>
      <c r="B1413" s="4" t="s">
        <v>6847</v>
      </c>
      <c r="C1413" s="4" t="s">
        <v>7213</v>
      </c>
      <c r="D1413" s="3" t="str">
        <f t="shared" si="132"/>
        <v>MIS</v>
      </c>
      <c r="E1413" s="3" t="str">
        <f t="shared" si="133"/>
        <v>A</v>
      </c>
      <c r="F1413" s="3" t="str">
        <f t="shared" si="134"/>
        <v>214</v>
      </c>
      <c r="G1413" s="3" t="str">
        <f t="shared" si="135"/>
        <v>SC</v>
      </c>
      <c r="H1413" s="3" t="str">
        <f t="shared" si="136"/>
        <v>026</v>
      </c>
      <c r="I1413" s="3" t="str">
        <f t="shared" si="137"/>
        <v>00</v>
      </c>
      <c r="L1413" s="3" t="s">
        <v>3309</v>
      </c>
      <c r="R1413" s="3" t="s">
        <v>7214</v>
      </c>
      <c r="S1413" s="15" t="s">
        <v>3247</v>
      </c>
    </row>
    <row r="1414" spans="1:19" x14ac:dyDescent="0.25">
      <c r="A1414" s="4" t="s">
        <v>7215</v>
      </c>
      <c r="B1414" s="4" t="s">
        <v>6847</v>
      </c>
      <c r="C1414" s="4" t="s">
        <v>7216</v>
      </c>
      <c r="D1414" s="3" t="str">
        <f t="shared" si="132"/>
        <v>MIS</v>
      </c>
      <c r="E1414" s="3" t="str">
        <f t="shared" si="133"/>
        <v>A</v>
      </c>
      <c r="F1414" s="3" t="str">
        <f t="shared" si="134"/>
        <v>215</v>
      </c>
      <c r="G1414" s="3" t="str">
        <f t="shared" si="135"/>
        <v>SC</v>
      </c>
      <c r="H1414" s="3" t="str">
        <f t="shared" si="136"/>
        <v>026</v>
      </c>
      <c r="I1414" s="3" t="str">
        <f t="shared" si="137"/>
        <v>00</v>
      </c>
      <c r="L1414" s="3" t="s">
        <v>3309</v>
      </c>
      <c r="R1414" s="3" t="s">
        <v>7217</v>
      </c>
      <c r="S1414" s="15" t="s">
        <v>3247</v>
      </c>
    </row>
    <row r="1415" spans="1:19" x14ac:dyDescent="0.25">
      <c r="A1415" s="4" t="s">
        <v>7218</v>
      </c>
      <c r="B1415" s="4" t="s">
        <v>6847</v>
      </c>
      <c r="C1415" s="4" t="s">
        <v>7219</v>
      </c>
      <c r="D1415" s="3" t="str">
        <f t="shared" si="132"/>
        <v>MIS</v>
      </c>
      <c r="E1415" s="3" t="str">
        <f t="shared" si="133"/>
        <v>A</v>
      </c>
      <c r="F1415" s="3" t="str">
        <f t="shared" si="134"/>
        <v>216</v>
      </c>
      <c r="G1415" s="3" t="str">
        <f t="shared" si="135"/>
        <v>SC</v>
      </c>
      <c r="H1415" s="3" t="str">
        <f t="shared" si="136"/>
        <v>026</v>
      </c>
      <c r="I1415" s="3" t="str">
        <f t="shared" si="137"/>
        <v>00</v>
      </c>
      <c r="L1415" s="3" t="s">
        <v>3309</v>
      </c>
      <c r="R1415" s="3" t="s">
        <v>7220</v>
      </c>
      <c r="S1415" s="15" t="s">
        <v>3247</v>
      </c>
    </row>
    <row r="1416" spans="1:19" x14ac:dyDescent="0.25">
      <c r="A1416" s="4" t="s">
        <v>7221</v>
      </c>
      <c r="B1416" s="4" t="s">
        <v>6847</v>
      </c>
      <c r="C1416" s="4" t="s">
        <v>7222</v>
      </c>
      <c r="D1416" s="3" t="str">
        <f t="shared" si="132"/>
        <v>MIS</v>
      </c>
      <c r="E1416" s="3" t="str">
        <f t="shared" si="133"/>
        <v>A</v>
      </c>
      <c r="F1416" s="3" t="str">
        <f t="shared" si="134"/>
        <v>217</v>
      </c>
      <c r="G1416" s="3" t="str">
        <f t="shared" si="135"/>
        <v>SC</v>
      </c>
      <c r="H1416" s="3" t="str">
        <f t="shared" si="136"/>
        <v>026</v>
      </c>
      <c r="I1416" s="3" t="str">
        <f t="shared" si="137"/>
        <v>00</v>
      </c>
      <c r="L1416" s="3" t="s">
        <v>3309</v>
      </c>
      <c r="R1416" s="3" t="s">
        <v>7223</v>
      </c>
      <c r="S1416" s="15" t="s">
        <v>3247</v>
      </c>
    </row>
    <row r="1417" spans="1:19" x14ac:dyDescent="0.25">
      <c r="A1417" s="4" t="s">
        <v>7224</v>
      </c>
      <c r="B1417" s="4" t="s">
        <v>6847</v>
      </c>
      <c r="C1417" s="4" t="s">
        <v>7225</v>
      </c>
      <c r="D1417" s="3" t="str">
        <f t="shared" si="132"/>
        <v>MIS</v>
      </c>
      <c r="E1417" s="3" t="str">
        <f t="shared" si="133"/>
        <v>A</v>
      </c>
      <c r="F1417" s="3" t="str">
        <f t="shared" si="134"/>
        <v>218</v>
      </c>
      <c r="G1417" s="3" t="str">
        <f t="shared" si="135"/>
        <v>SC</v>
      </c>
      <c r="H1417" s="3" t="str">
        <f t="shared" si="136"/>
        <v>026</v>
      </c>
      <c r="I1417" s="3" t="str">
        <f t="shared" si="137"/>
        <v>00</v>
      </c>
      <c r="L1417" s="3" t="s">
        <v>3309</v>
      </c>
      <c r="R1417" s="3" t="s">
        <v>7226</v>
      </c>
      <c r="S1417" s="15" t="s">
        <v>3247</v>
      </c>
    </row>
    <row r="1418" spans="1:19" x14ac:dyDescent="0.25">
      <c r="A1418" s="4" t="s">
        <v>7227</v>
      </c>
      <c r="B1418" s="4" t="s">
        <v>6847</v>
      </c>
      <c r="C1418" s="4" t="s">
        <v>1982</v>
      </c>
      <c r="D1418" s="3" t="str">
        <f t="shared" si="132"/>
        <v>MIS</v>
      </c>
      <c r="E1418" s="3" t="str">
        <f t="shared" si="133"/>
        <v>D</v>
      </c>
      <c r="F1418" s="3" t="str">
        <f t="shared" si="134"/>
        <v>018</v>
      </c>
      <c r="G1418" s="3" t="str">
        <f t="shared" si="135"/>
        <v>NA</v>
      </c>
      <c r="H1418" s="3" t="str">
        <f t="shared" si="136"/>
        <v>000</v>
      </c>
      <c r="I1418" s="3" t="str">
        <f t="shared" si="137"/>
        <v>00</v>
      </c>
      <c r="L1418" s="3" t="s">
        <v>3309</v>
      </c>
      <c r="R1418" s="3" t="s">
        <v>7228</v>
      </c>
      <c r="S1418" s="15" t="s">
        <v>3247</v>
      </c>
    </row>
    <row r="1419" spans="1:19" x14ac:dyDescent="0.25">
      <c r="A1419" s="4" t="s">
        <v>7229</v>
      </c>
      <c r="B1419" s="4" t="s">
        <v>6847</v>
      </c>
      <c r="C1419" s="4" t="s">
        <v>1983</v>
      </c>
      <c r="D1419" s="3" t="str">
        <f t="shared" si="132"/>
        <v>MIS</v>
      </c>
      <c r="E1419" s="3" t="str">
        <f t="shared" si="133"/>
        <v>D</v>
      </c>
      <c r="F1419" s="3" t="str">
        <f t="shared" si="134"/>
        <v>019</v>
      </c>
      <c r="G1419" s="3" t="str">
        <f t="shared" si="135"/>
        <v>NA</v>
      </c>
      <c r="H1419" s="3" t="str">
        <f t="shared" si="136"/>
        <v>000</v>
      </c>
      <c r="I1419" s="3" t="str">
        <f t="shared" si="137"/>
        <v>00</v>
      </c>
      <c r="L1419" s="3" t="s">
        <v>3309</v>
      </c>
      <c r="R1419" s="3" t="s">
        <v>7230</v>
      </c>
      <c r="S1419" s="15" t="s">
        <v>3247</v>
      </c>
    </row>
    <row r="1420" spans="1:19" ht="30" x14ac:dyDescent="0.25">
      <c r="A1420" s="4" t="s">
        <v>7231</v>
      </c>
      <c r="B1420" s="4" t="s">
        <v>6847</v>
      </c>
      <c r="C1420" s="4" t="s">
        <v>7232</v>
      </c>
      <c r="D1420" s="3" t="str">
        <f t="shared" si="132"/>
        <v>MIS</v>
      </c>
      <c r="E1420" s="3" t="str">
        <f t="shared" si="133"/>
        <v>D</v>
      </c>
      <c r="F1420" s="3" t="str">
        <f t="shared" si="134"/>
        <v>208</v>
      </c>
      <c r="G1420" s="3" t="str">
        <f t="shared" si="135"/>
        <v>CI</v>
      </c>
      <c r="H1420" s="3" t="str">
        <f t="shared" si="136"/>
        <v>000</v>
      </c>
      <c r="I1420" s="3" t="str">
        <f t="shared" si="137"/>
        <v>00</v>
      </c>
      <c r="L1420" s="3" t="s">
        <v>3608</v>
      </c>
      <c r="R1420" s="3" t="s">
        <v>7233</v>
      </c>
      <c r="S1420" s="15" t="s">
        <v>3247</v>
      </c>
    </row>
    <row r="1421" spans="1:19" x14ac:dyDescent="0.25">
      <c r="A1421" s="4" t="s">
        <v>7234</v>
      </c>
      <c r="B1421" s="4" t="s">
        <v>6847</v>
      </c>
      <c r="C1421" s="4" t="s">
        <v>7235</v>
      </c>
      <c r="D1421" s="3" t="str">
        <f t="shared" si="132"/>
        <v>MIS</v>
      </c>
      <c r="E1421" s="3" t="str">
        <f t="shared" si="133"/>
        <v>I</v>
      </c>
      <c r="F1421" s="3" t="str">
        <f t="shared" si="134"/>
        <v>003</v>
      </c>
      <c r="G1421" s="3" t="str">
        <f t="shared" si="135"/>
        <v>MS</v>
      </c>
      <c r="H1421" s="3" t="str">
        <f t="shared" si="136"/>
        <v>000</v>
      </c>
      <c r="I1421" s="3" t="str">
        <f t="shared" si="137"/>
        <v>00</v>
      </c>
      <c r="L1421" s="3" t="s">
        <v>3608</v>
      </c>
      <c r="R1421" s="3" t="s">
        <v>7236</v>
      </c>
      <c r="S1421" s="15" t="s">
        <v>3247</v>
      </c>
    </row>
    <row r="1422" spans="1:19" ht="45" x14ac:dyDescent="0.25">
      <c r="A1422" s="4" t="s">
        <v>7237</v>
      </c>
      <c r="B1422" s="4" t="s">
        <v>6847</v>
      </c>
      <c r="C1422" s="4" t="s">
        <v>7238</v>
      </c>
      <c r="D1422" s="3" t="str">
        <f t="shared" si="132"/>
        <v>MIS</v>
      </c>
      <c r="E1422" s="3" t="str">
        <f t="shared" si="133"/>
        <v>D</v>
      </c>
      <c r="F1422" s="3" t="str">
        <f t="shared" si="134"/>
        <v>020</v>
      </c>
      <c r="G1422" s="3" t="str">
        <f t="shared" si="135"/>
        <v>RI</v>
      </c>
      <c r="H1422" s="3" t="str">
        <f t="shared" si="136"/>
        <v>000</v>
      </c>
      <c r="I1422" s="3" t="str">
        <f t="shared" si="137"/>
        <v>00</v>
      </c>
      <c r="L1422" s="3" t="s">
        <v>3608</v>
      </c>
      <c r="R1422" s="3" t="s">
        <v>7239</v>
      </c>
      <c r="S1422" s="15" t="s">
        <v>3247</v>
      </c>
    </row>
    <row r="1423" spans="1:19" x14ac:dyDescent="0.25">
      <c r="A1423" s="4" t="s">
        <v>7240</v>
      </c>
      <c r="B1423" s="4" t="s">
        <v>6847</v>
      </c>
      <c r="C1423" s="4" t="s">
        <v>7241</v>
      </c>
      <c r="D1423" s="3" t="str">
        <f t="shared" si="132"/>
        <v>MIS</v>
      </c>
      <c r="E1423" s="3" t="str">
        <f t="shared" si="133"/>
        <v>D</v>
      </c>
      <c r="F1423" s="3" t="str">
        <f t="shared" si="134"/>
        <v>089</v>
      </c>
      <c r="G1423" s="3" t="str">
        <f t="shared" si="135"/>
        <v>NG</v>
      </c>
      <c r="H1423" s="3" t="str">
        <f t="shared" si="136"/>
        <v>000</v>
      </c>
      <c r="I1423" s="3" t="str">
        <f t="shared" si="137"/>
        <v>00</v>
      </c>
      <c r="L1423" s="3" t="s">
        <v>3608</v>
      </c>
      <c r="R1423" s="3" t="s">
        <v>7242</v>
      </c>
      <c r="S1423" s="15" t="s">
        <v>3247</v>
      </c>
    </row>
    <row r="1424" spans="1:19" x14ac:dyDescent="0.25">
      <c r="A1424" s="4" t="s">
        <v>7243</v>
      </c>
      <c r="B1424" s="4" t="s">
        <v>6847</v>
      </c>
      <c r="C1424" s="4" t="s">
        <v>7244</v>
      </c>
      <c r="D1424" s="3" t="str">
        <f t="shared" si="132"/>
        <v>MIS</v>
      </c>
      <c r="E1424" s="3" t="str">
        <f t="shared" si="133"/>
        <v>F</v>
      </c>
      <c r="F1424" s="3" t="str">
        <f t="shared" si="134"/>
        <v>014</v>
      </c>
      <c r="G1424" s="3" t="str">
        <f t="shared" si="135"/>
        <v>ER</v>
      </c>
      <c r="H1424" s="3" t="str">
        <f t="shared" si="136"/>
        <v>000</v>
      </c>
      <c r="I1424" s="3" t="str">
        <f t="shared" si="137"/>
        <v>00</v>
      </c>
      <c r="L1424" s="3" t="s">
        <v>3309</v>
      </c>
      <c r="R1424" s="3" t="s">
        <v>7245</v>
      </c>
      <c r="S1424" s="15" t="s">
        <v>3247</v>
      </c>
    </row>
    <row r="1425" spans="1:19" x14ac:dyDescent="0.25">
      <c r="A1425" s="4" t="s">
        <v>7246</v>
      </c>
      <c r="B1425" s="4" t="s">
        <v>6847</v>
      </c>
      <c r="C1425" s="4" t="s">
        <v>7247</v>
      </c>
      <c r="D1425" s="3" t="str">
        <f t="shared" si="132"/>
        <v>MIS</v>
      </c>
      <c r="E1425" s="3" t="str">
        <f t="shared" si="133"/>
        <v>W</v>
      </c>
      <c r="F1425" s="3" t="str">
        <f t="shared" si="134"/>
        <v>001</v>
      </c>
      <c r="G1425" s="3" t="str">
        <f t="shared" si="135"/>
        <v>NA</v>
      </c>
      <c r="H1425" s="3" t="str">
        <f t="shared" si="136"/>
        <v>000</v>
      </c>
      <c r="I1425" s="3" t="str">
        <f t="shared" si="137"/>
        <v>00</v>
      </c>
      <c r="L1425" s="3" t="s">
        <v>3309</v>
      </c>
      <c r="R1425" s="3" t="s">
        <v>7248</v>
      </c>
      <c r="S1425" s="15" t="s">
        <v>3247</v>
      </c>
    </row>
    <row r="1426" spans="1:19" x14ac:dyDescent="0.25">
      <c r="A1426" s="4" t="s">
        <v>7249</v>
      </c>
      <c r="B1426" s="4" t="s">
        <v>6847</v>
      </c>
      <c r="C1426" s="4" t="s">
        <v>7250</v>
      </c>
      <c r="D1426" s="3" t="str">
        <f t="shared" si="132"/>
        <v>MIS</v>
      </c>
      <c r="E1426" s="3" t="str">
        <f t="shared" si="133"/>
        <v>W</v>
      </c>
      <c r="F1426" s="3" t="str">
        <f t="shared" si="134"/>
        <v>002</v>
      </c>
      <c r="G1426" s="3" t="str">
        <f t="shared" si="135"/>
        <v>NA</v>
      </c>
      <c r="H1426" s="3" t="str">
        <f t="shared" si="136"/>
        <v>000</v>
      </c>
      <c r="I1426" s="3" t="str">
        <f t="shared" si="137"/>
        <v>00</v>
      </c>
      <c r="L1426" s="3" t="s">
        <v>3309</v>
      </c>
      <c r="R1426" s="3" t="s">
        <v>7251</v>
      </c>
      <c r="S1426" s="15" t="s">
        <v>3247</v>
      </c>
    </row>
    <row r="1427" spans="1:19" x14ac:dyDescent="0.25">
      <c r="A1427" s="4" t="s">
        <v>7252</v>
      </c>
      <c r="B1427" s="4" t="s">
        <v>6847</v>
      </c>
      <c r="C1427" s="4" t="s">
        <v>7253</v>
      </c>
      <c r="D1427" s="3" t="str">
        <f t="shared" si="132"/>
        <v>MIS</v>
      </c>
      <c r="E1427" s="3" t="str">
        <f t="shared" si="133"/>
        <v>W</v>
      </c>
      <c r="F1427" s="3" t="str">
        <f t="shared" si="134"/>
        <v>003</v>
      </c>
      <c r="G1427" s="3" t="str">
        <f t="shared" si="135"/>
        <v>NA</v>
      </c>
      <c r="H1427" s="3" t="str">
        <f t="shared" si="136"/>
        <v>000</v>
      </c>
      <c r="I1427" s="3" t="str">
        <f t="shared" si="137"/>
        <v>00</v>
      </c>
      <c r="L1427" s="3" t="s">
        <v>3309</v>
      </c>
      <c r="R1427" s="3" t="s">
        <v>7254</v>
      </c>
      <c r="S1427" s="15" t="s">
        <v>3247</v>
      </c>
    </row>
    <row r="1428" spans="1:19" x14ac:dyDescent="0.25">
      <c r="A1428" s="4" t="s">
        <v>7255</v>
      </c>
      <c r="B1428" s="4" t="s">
        <v>6847</v>
      </c>
      <c r="C1428" s="4" t="s">
        <v>7256</v>
      </c>
      <c r="D1428" s="3" t="str">
        <f t="shared" si="132"/>
        <v>MIS</v>
      </c>
      <c r="E1428" s="3" t="str">
        <f t="shared" si="133"/>
        <v>W</v>
      </c>
      <c r="F1428" s="3" t="str">
        <f t="shared" si="134"/>
        <v>004</v>
      </c>
      <c r="G1428" s="3" t="str">
        <f t="shared" si="135"/>
        <v>NA</v>
      </c>
      <c r="H1428" s="3" t="str">
        <f t="shared" si="136"/>
        <v>000</v>
      </c>
      <c r="I1428" s="3" t="str">
        <f t="shared" si="137"/>
        <v>00</v>
      </c>
      <c r="L1428" s="3" t="s">
        <v>3309</v>
      </c>
      <c r="R1428" s="3" t="s">
        <v>7257</v>
      </c>
      <c r="S1428" s="15" t="s">
        <v>3247</v>
      </c>
    </row>
    <row r="1429" spans="1:19" x14ac:dyDescent="0.25">
      <c r="A1429" s="4" t="s">
        <v>7258</v>
      </c>
      <c r="B1429" s="4" t="s">
        <v>6847</v>
      </c>
      <c r="C1429" s="4" t="s">
        <v>7259</v>
      </c>
      <c r="D1429" s="3" t="str">
        <f t="shared" si="132"/>
        <v>MIS</v>
      </c>
      <c r="E1429" s="3" t="str">
        <f t="shared" si="133"/>
        <v>P</v>
      </c>
      <c r="F1429" s="3" t="str">
        <f t="shared" si="134"/>
        <v>002</v>
      </c>
      <c r="G1429" s="3" t="str">
        <f t="shared" si="135"/>
        <v>ST</v>
      </c>
      <c r="H1429" s="3" t="str">
        <f t="shared" si="136"/>
        <v>000</v>
      </c>
      <c r="I1429" s="3" t="str">
        <f t="shared" si="137"/>
        <v>00</v>
      </c>
      <c r="L1429" s="3" t="s">
        <v>3309</v>
      </c>
      <c r="R1429" s="3" t="s">
        <v>7260</v>
      </c>
      <c r="S1429" s="15" t="s">
        <v>3247</v>
      </c>
    </row>
    <row r="1430" spans="1:19" x14ac:dyDescent="0.25">
      <c r="A1430" s="4" t="s">
        <v>7261</v>
      </c>
      <c r="B1430" s="4" t="s">
        <v>6847</v>
      </c>
      <c r="C1430" s="4" t="s">
        <v>7262</v>
      </c>
      <c r="D1430" s="3" t="str">
        <f t="shared" si="132"/>
        <v>MIS</v>
      </c>
      <c r="E1430" s="3" t="str">
        <f t="shared" si="133"/>
        <v>E</v>
      </c>
      <c r="F1430" s="3" t="str">
        <f t="shared" si="134"/>
        <v>005</v>
      </c>
      <c r="G1430" s="3" t="str">
        <f t="shared" si="135"/>
        <v>NA</v>
      </c>
      <c r="H1430" s="3" t="str">
        <f t="shared" si="136"/>
        <v>000</v>
      </c>
      <c r="I1430" s="3" t="str">
        <f t="shared" si="137"/>
        <v>00</v>
      </c>
      <c r="L1430" s="3" t="s">
        <v>3309</v>
      </c>
      <c r="R1430" s="3" t="s">
        <v>7263</v>
      </c>
      <c r="S1430" s="15" t="s">
        <v>3247</v>
      </c>
    </row>
    <row r="1431" spans="1:19" x14ac:dyDescent="0.25">
      <c r="A1431" s="4" t="s">
        <v>7264</v>
      </c>
      <c r="B1431" s="4" t="s">
        <v>6847</v>
      </c>
      <c r="C1431" s="4" t="s">
        <v>7265</v>
      </c>
      <c r="D1431" s="3" t="str">
        <f t="shared" si="132"/>
        <v>MIS</v>
      </c>
      <c r="E1431" s="3" t="str">
        <f t="shared" si="133"/>
        <v>E</v>
      </c>
      <c r="F1431" s="3" t="str">
        <f t="shared" si="134"/>
        <v>006</v>
      </c>
      <c r="G1431" s="3" t="str">
        <f t="shared" si="135"/>
        <v>NA</v>
      </c>
      <c r="H1431" s="3" t="str">
        <f t="shared" si="136"/>
        <v>000</v>
      </c>
      <c r="I1431" s="3" t="str">
        <f t="shared" si="137"/>
        <v>00</v>
      </c>
      <c r="L1431" s="3" t="s">
        <v>3309</v>
      </c>
      <c r="R1431" s="3" t="s">
        <v>7266</v>
      </c>
      <c r="S1431" s="15" t="s">
        <v>3247</v>
      </c>
    </row>
    <row r="1432" spans="1:19" x14ac:dyDescent="0.25">
      <c r="A1432" s="4" t="s">
        <v>7267</v>
      </c>
      <c r="B1432" s="4" t="s">
        <v>6847</v>
      </c>
      <c r="C1432" s="4" t="s">
        <v>7268</v>
      </c>
      <c r="D1432" s="3" t="str">
        <f t="shared" si="132"/>
        <v>MIS</v>
      </c>
      <c r="E1432" s="3" t="str">
        <f t="shared" si="133"/>
        <v>E</v>
      </c>
      <c r="F1432" s="3" t="str">
        <f t="shared" si="134"/>
        <v>007</v>
      </c>
      <c r="G1432" s="3" t="str">
        <f t="shared" si="135"/>
        <v>NA</v>
      </c>
      <c r="H1432" s="3" t="str">
        <f t="shared" si="136"/>
        <v>000</v>
      </c>
      <c r="I1432" s="3" t="str">
        <f t="shared" si="137"/>
        <v>00</v>
      </c>
      <c r="L1432" s="3" t="s">
        <v>3309</v>
      </c>
      <c r="R1432" s="3" t="s">
        <v>7269</v>
      </c>
      <c r="S1432" s="15" t="s">
        <v>3247</v>
      </c>
    </row>
    <row r="1433" spans="1:19" x14ac:dyDescent="0.25">
      <c r="A1433" s="4" t="s">
        <v>7270</v>
      </c>
      <c r="B1433" s="4" t="s">
        <v>6847</v>
      </c>
      <c r="C1433" s="4" t="s">
        <v>7271</v>
      </c>
      <c r="D1433" s="3" t="str">
        <f t="shared" si="132"/>
        <v>MIS</v>
      </c>
      <c r="E1433" s="3" t="str">
        <f t="shared" si="133"/>
        <v>E</v>
      </c>
      <c r="F1433" s="3" t="str">
        <f t="shared" si="134"/>
        <v>008</v>
      </c>
      <c r="G1433" s="3" t="str">
        <f t="shared" si="135"/>
        <v>NA</v>
      </c>
      <c r="H1433" s="3" t="str">
        <f t="shared" si="136"/>
        <v>000</v>
      </c>
      <c r="I1433" s="3" t="str">
        <f t="shared" si="137"/>
        <v>00</v>
      </c>
      <c r="L1433" s="3" t="s">
        <v>3309</v>
      </c>
      <c r="R1433" s="3" t="s">
        <v>7272</v>
      </c>
      <c r="S1433" s="15" t="s">
        <v>3247</v>
      </c>
    </row>
    <row r="1434" spans="1:19" x14ac:dyDescent="0.25">
      <c r="A1434" s="4" t="s">
        <v>7273</v>
      </c>
      <c r="B1434" s="4" t="s">
        <v>6847</v>
      </c>
      <c r="C1434" s="4" t="s">
        <v>7274</v>
      </c>
      <c r="D1434" s="3" t="str">
        <f t="shared" si="132"/>
        <v>MIS</v>
      </c>
      <c r="E1434" s="3" t="str">
        <f t="shared" si="133"/>
        <v>E</v>
      </c>
      <c r="F1434" s="3" t="str">
        <f t="shared" si="134"/>
        <v>001</v>
      </c>
      <c r="G1434" s="3" t="str">
        <f t="shared" si="135"/>
        <v>0N</v>
      </c>
      <c r="H1434" s="3" t="str">
        <f t="shared" si="136"/>
        <v>A00</v>
      </c>
      <c r="I1434" s="3" t="str">
        <f t="shared" si="137"/>
        <v>00</v>
      </c>
      <c r="L1434" s="3" t="s">
        <v>3309</v>
      </c>
      <c r="R1434" s="3" t="s">
        <v>7275</v>
      </c>
      <c r="S1434" s="15" t="s">
        <v>3247</v>
      </c>
    </row>
    <row r="1435" spans="1:19" x14ac:dyDescent="0.25">
      <c r="A1435" s="4" t="s">
        <v>7276</v>
      </c>
      <c r="B1435" s="4" t="s">
        <v>6847</v>
      </c>
      <c r="C1435" s="4" t="s">
        <v>7277</v>
      </c>
      <c r="D1435" s="3" t="str">
        <f t="shared" si="132"/>
        <v>MIS</v>
      </c>
      <c r="E1435" s="3" t="str">
        <f t="shared" si="133"/>
        <v>E</v>
      </c>
      <c r="F1435" s="3" t="str">
        <f t="shared" si="134"/>
        <v>016</v>
      </c>
      <c r="G1435" s="3" t="str">
        <f t="shared" si="135"/>
        <v>NA</v>
      </c>
      <c r="H1435" s="3" t="str">
        <f t="shared" si="136"/>
        <v>000</v>
      </c>
      <c r="I1435" s="3" t="str">
        <f t="shared" si="137"/>
        <v>00</v>
      </c>
      <c r="L1435" s="3" t="s">
        <v>3309</v>
      </c>
      <c r="R1435" s="3" t="s">
        <v>7278</v>
      </c>
      <c r="S1435" s="15" t="s">
        <v>3247</v>
      </c>
    </row>
    <row r="1436" spans="1:19" x14ac:dyDescent="0.25">
      <c r="A1436" s="4" t="s">
        <v>7279</v>
      </c>
      <c r="B1436" s="4" t="s">
        <v>6847</v>
      </c>
      <c r="C1436" s="4" t="s">
        <v>7280</v>
      </c>
      <c r="D1436" s="3" t="str">
        <f t="shared" si="132"/>
        <v>MIS</v>
      </c>
      <c r="E1436" s="3" t="str">
        <f t="shared" si="133"/>
        <v>E</v>
      </c>
      <c r="F1436" s="3" t="str">
        <f t="shared" si="134"/>
        <v>017</v>
      </c>
      <c r="G1436" s="3" t="str">
        <f t="shared" si="135"/>
        <v>NA</v>
      </c>
      <c r="H1436" s="3" t="str">
        <f t="shared" si="136"/>
        <v>000</v>
      </c>
      <c r="I1436" s="3" t="str">
        <f t="shared" si="137"/>
        <v>00</v>
      </c>
      <c r="L1436" s="3" t="s">
        <v>3309</v>
      </c>
      <c r="R1436" s="3" t="s">
        <v>7281</v>
      </c>
      <c r="S1436" s="15" t="s">
        <v>3247</v>
      </c>
    </row>
    <row r="1437" spans="1:19" ht="30" x14ac:dyDescent="0.25">
      <c r="A1437" s="4" t="s">
        <v>7282</v>
      </c>
      <c r="B1437" s="4" t="s">
        <v>6847</v>
      </c>
      <c r="C1437" s="4" t="s">
        <v>7283</v>
      </c>
      <c r="D1437" s="3" t="str">
        <f t="shared" si="132"/>
        <v>MIS</v>
      </c>
      <c r="E1437" s="3" t="str">
        <f t="shared" si="133"/>
        <v>U</v>
      </c>
      <c r="F1437" s="3" t="str">
        <f t="shared" si="134"/>
        <v>001</v>
      </c>
      <c r="G1437" s="3" t="str">
        <f t="shared" si="135"/>
        <v>NA</v>
      </c>
      <c r="H1437" s="3" t="str">
        <f t="shared" si="136"/>
        <v>000</v>
      </c>
      <c r="I1437" s="3" t="str">
        <f t="shared" si="137"/>
        <v>00</v>
      </c>
      <c r="L1437" s="3" t="s">
        <v>3309</v>
      </c>
      <c r="R1437" s="3" t="s">
        <v>7284</v>
      </c>
      <c r="S1437" s="15">
        <v>3</v>
      </c>
    </row>
    <row r="1438" spans="1:19" ht="45" x14ac:dyDescent="0.25">
      <c r="A1438" s="4" t="s">
        <v>7285</v>
      </c>
      <c r="B1438" s="4" t="s">
        <v>6847</v>
      </c>
      <c r="C1438" s="4" t="s">
        <v>7286</v>
      </c>
      <c r="D1438" s="3" t="str">
        <f t="shared" si="132"/>
        <v>MIS</v>
      </c>
      <c r="E1438" s="3" t="str">
        <f t="shared" si="133"/>
        <v>I</v>
      </c>
      <c r="F1438" s="3" t="str">
        <f t="shared" si="134"/>
        <v>001</v>
      </c>
      <c r="G1438" s="3" t="str">
        <f t="shared" si="135"/>
        <v>NA</v>
      </c>
      <c r="H1438" s="3" t="str">
        <f t="shared" si="136"/>
        <v>000</v>
      </c>
      <c r="I1438" s="3" t="str">
        <f t="shared" si="137"/>
        <v>00</v>
      </c>
      <c r="L1438" s="3" t="s">
        <v>3309</v>
      </c>
      <c r="R1438" s="3" t="s">
        <v>7287</v>
      </c>
      <c r="S1438" s="15" t="s">
        <v>3247</v>
      </c>
    </row>
    <row r="1439" spans="1:19" x14ac:dyDescent="0.25">
      <c r="A1439" s="4" t="s">
        <v>7288</v>
      </c>
      <c r="B1439" s="4" t="s">
        <v>6847</v>
      </c>
      <c r="C1439" s="4" t="s">
        <v>7289</v>
      </c>
      <c r="D1439" s="3" t="str">
        <f t="shared" si="132"/>
        <v>MIS</v>
      </c>
      <c r="E1439" s="3" t="str">
        <f t="shared" si="133"/>
        <v>D</v>
      </c>
      <c r="F1439" s="3" t="str">
        <f t="shared" si="134"/>
        <v>021</v>
      </c>
      <c r="G1439" s="3" t="str">
        <f t="shared" si="135"/>
        <v>NA</v>
      </c>
      <c r="H1439" s="3" t="str">
        <f t="shared" si="136"/>
        <v>000</v>
      </c>
      <c r="I1439" s="3" t="str">
        <f t="shared" si="137"/>
        <v>00</v>
      </c>
      <c r="L1439" s="3" t="s">
        <v>3309</v>
      </c>
      <c r="R1439" s="3" t="s">
        <v>7290</v>
      </c>
      <c r="S1439" s="15" t="s">
        <v>3247</v>
      </c>
    </row>
    <row r="1440" spans="1:19" x14ac:dyDescent="0.25">
      <c r="A1440" s="4" t="s">
        <v>7291</v>
      </c>
      <c r="B1440" s="4" t="s">
        <v>6847</v>
      </c>
      <c r="C1440" s="4" t="s">
        <v>7292</v>
      </c>
      <c r="D1440" s="3" t="str">
        <f t="shared" si="132"/>
        <v>MIS</v>
      </c>
      <c r="E1440" s="3" t="str">
        <f t="shared" si="133"/>
        <v>D</v>
      </c>
      <c r="F1440" s="3" t="str">
        <f t="shared" si="134"/>
        <v>022</v>
      </c>
      <c r="G1440" s="3" t="str">
        <f t="shared" si="135"/>
        <v>NA</v>
      </c>
      <c r="H1440" s="3" t="str">
        <f t="shared" si="136"/>
        <v>000</v>
      </c>
      <c r="I1440" s="3" t="str">
        <f t="shared" si="137"/>
        <v>00</v>
      </c>
      <c r="L1440" s="3" t="s">
        <v>3309</v>
      </c>
      <c r="R1440" s="3" t="s">
        <v>7293</v>
      </c>
      <c r="S1440" s="15" t="s">
        <v>3247</v>
      </c>
    </row>
    <row r="1441" spans="1:20" x14ac:dyDescent="0.25">
      <c r="A1441" s="4" t="s">
        <v>7294</v>
      </c>
      <c r="B1441" s="4" t="s">
        <v>6847</v>
      </c>
      <c r="C1441" s="4" t="s">
        <v>7295</v>
      </c>
      <c r="D1441" s="3" t="str">
        <f t="shared" si="132"/>
        <v>MIS</v>
      </c>
      <c r="E1441" s="3" t="str">
        <f t="shared" si="133"/>
        <v>E</v>
      </c>
      <c r="F1441" s="3" t="str">
        <f t="shared" si="134"/>
        <v>002</v>
      </c>
      <c r="G1441" s="3" t="str">
        <f t="shared" si="135"/>
        <v>NA</v>
      </c>
      <c r="H1441" s="3" t="str">
        <f t="shared" si="136"/>
        <v>000</v>
      </c>
      <c r="I1441" s="3" t="str">
        <f t="shared" si="137"/>
        <v>00</v>
      </c>
      <c r="L1441" s="3" t="s">
        <v>3309</v>
      </c>
      <c r="R1441" s="3" t="s">
        <v>7296</v>
      </c>
      <c r="S1441" s="15">
        <v>2</v>
      </c>
    </row>
    <row r="1442" spans="1:20" ht="30" x14ac:dyDescent="0.25">
      <c r="A1442" s="4" t="s">
        <v>7297</v>
      </c>
      <c r="B1442" s="4" t="s">
        <v>11</v>
      </c>
      <c r="C1442" s="4" t="s">
        <v>7298</v>
      </c>
      <c r="D1442" s="3" t="str">
        <f t="shared" si="132"/>
        <v>UPS</v>
      </c>
      <c r="E1442" s="3" t="str">
        <f t="shared" si="133"/>
        <v>B</v>
      </c>
      <c r="F1442" s="3" t="str">
        <f t="shared" si="134"/>
        <v>101</v>
      </c>
      <c r="G1442" s="3" t="str">
        <f t="shared" si="135"/>
        <v>LU</v>
      </c>
      <c r="H1442" s="3" t="str">
        <f t="shared" si="136"/>
        <v>001</v>
      </c>
      <c r="I1442" s="3" t="str">
        <f t="shared" si="137"/>
        <v>01</v>
      </c>
      <c r="L1442" s="3" t="s">
        <v>3309</v>
      </c>
      <c r="R1442" s="3" t="s">
        <v>7299</v>
      </c>
      <c r="S1442" s="15" t="s">
        <v>3247</v>
      </c>
    </row>
    <row r="1443" spans="1:20" x14ac:dyDescent="0.25">
      <c r="A1443" s="4" t="s">
        <v>7300</v>
      </c>
      <c r="B1443" s="4" t="s">
        <v>11</v>
      </c>
      <c r="C1443" s="4" t="s">
        <v>7301</v>
      </c>
      <c r="D1443" s="3" t="str">
        <f t="shared" si="132"/>
        <v>UPS</v>
      </c>
      <c r="E1443" s="3" t="str">
        <f t="shared" si="133"/>
        <v>A</v>
      </c>
      <c r="F1443" s="3" t="str">
        <f t="shared" si="134"/>
        <v>101</v>
      </c>
      <c r="G1443" s="3" t="str">
        <f t="shared" si="135"/>
        <v>FU</v>
      </c>
      <c r="H1443" s="3" t="str">
        <f t="shared" si="136"/>
        <v>002</v>
      </c>
      <c r="I1443" s="3" t="str">
        <f t="shared" si="137"/>
        <v>05</v>
      </c>
      <c r="L1443" s="3" t="s">
        <v>3245</v>
      </c>
      <c r="R1443" s="3" t="s">
        <v>7302</v>
      </c>
      <c r="S1443" s="15" t="s">
        <v>3247</v>
      </c>
    </row>
    <row r="1444" spans="1:20" x14ac:dyDescent="0.25">
      <c r="A1444" s="4" t="s">
        <v>7303</v>
      </c>
      <c r="B1444" s="4" t="s">
        <v>11</v>
      </c>
      <c r="C1444" s="4" t="s">
        <v>7304</v>
      </c>
      <c r="D1444" s="3" t="str">
        <f t="shared" si="132"/>
        <v>UPS</v>
      </c>
      <c r="E1444" s="3" t="str">
        <f t="shared" si="133"/>
        <v>B</v>
      </c>
      <c r="F1444" s="3" t="str">
        <f t="shared" si="134"/>
        <v>100</v>
      </c>
      <c r="G1444" s="3" t="str">
        <f t="shared" si="135"/>
        <v>LU</v>
      </c>
      <c r="H1444" s="3" t="str">
        <f t="shared" si="136"/>
        <v>003</v>
      </c>
      <c r="I1444" s="3" t="str">
        <f t="shared" si="137"/>
        <v>03</v>
      </c>
      <c r="L1444" s="3" t="s">
        <v>3309</v>
      </c>
      <c r="R1444" s="3" t="s">
        <v>7305</v>
      </c>
      <c r="S1444" s="15">
        <v>1</v>
      </c>
      <c r="T1444" s="14"/>
    </row>
    <row r="1445" spans="1:20" x14ac:dyDescent="0.25">
      <c r="A1445" s="4" t="s">
        <v>7306</v>
      </c>
      <c r="B1445" s="4" t="s">
        <v>11</v>
      </c>
      <c r="C1445" s="4" t="s">
        <v>7307</v>
      </c>
      <c r="D1445" s="3" t="str">
        <f t="shared" si="132"/>
        <v>UPS</v>
      </c>
      <c r="E1445" s="3" t="str">
        <f t="shared" si="133"/>
        <v>A</v>
      </c>
      <c r="F1445" s="3" t="str">
        <f t="shared" si="134"/>
        <v>101</v>
      </c>
      <c r="G1445" s="3" t="str">
        <f t="shared" si="135"/>
        <v>MI</v>
      </c>
      <c r="H1445" s="3" t="str">
        <f t="shared" si="136"/>
        <v>004</v>
      </c>
      <c r="I1445" s="3" t="str">
        <f t="shared" si="137"/>
        <v>01</v>
      </c>
      <c r="L1445" s="3" t="s">
        <v>3309</v>
      </c>
      <c r="R1445" s="3" t="s">
        <v>7308</v>
      </c>
      <c r="S1445" s="15" t="s">
        <v>3247</v>
      </c>
    </row>
    <row r="1446" spans="1:20" x14ac:dyDescent="0.25">
      <c r="A1446" s="4" t="s">
        <v>7309</v>
      </c>
      <c r="B1446" s="4" t="s">
        <v>11</v>
      </c>
      <c r="C1446" s="4" t="s">
        <v>7310</v>
      </c>
      <c r="D1446" s="3" t="str">
        <f t="shared" si="132"/>
        <v>UPS</v>
      </c>
      <c r="E1446" s="3" t="str">
        <f t="shared" si="133"/>
        <v>A</v>
      </c>
      <c r="F1446" s="3" t="str">
        <f t="shared" si="134"/>
        <v>102</v>
      </c>
      <c r="G1446" s="3" t="str">
        <f t="shared" si="135"/>
        <v>LU</v>
      </c>
      <c r="H1446" s="3" t="str">
        <f t="shared" si="136"/>
        <v>005</v>
      </c>
      <c r="I1446" s="3" t="str">
        <f t="shared" si="137"/>
        <v>03</v>
      </c>
      <c r="L1446" s="3" t="s">
        <v>3309</v>
      </c>
      <c r="R1446" s="3" t="s">
        <v>7311</v>
      </c>
      <c r="S1446" s="15" t="s">
        <v>3247</v>
      </c>
    </row>
    <row r="1447" spans="1:20" ht="30" x14ac:dyDescent="0.25">
      <c r="A1447" s="4" t="s">
        <v>7312</v>
      </c>
      <c r="B1447" s="4" t="s">
        <v>11</v>
      </c>
      <c r="C1447" s="4" t="s">
        <v>7313</v>
      </c>
      <c r="D1447" s="3" t="str">
        <f t="shared" si="132"/>
        <v>UPS</v>
      </c>
      <c r="E1447" s="3" t="str">
        <f t="shared" si="133"/>
        <v>A</v>
      </c>
      <c r="F1447" s="3" t="str">
        <f t="shared" si="134"/>
        <v>000</v>
      </c>
      <c r="G1447" s="3" t="str">
        <f t="shared" si="135"/>
        <v>ST</v>
      </c>
      <c r="H1447" s="3" t="str">
        <f t="shared" si="136"/>
        <v>000</v>
      </c>
      <c r="I1447" s="3" t="str">
        <f t="shared" si="137"/>
        <v>05</v>
      </c>
      <c r="L1447" s="3" t="s">
        <v>3309</v>
      </c>
      <c r="R1447" s="3" t="s">
        <v>7314</v>
      </c>
      <c r="S1447" s="15" t="s">
        <v>3247</v>
      </c>
    </row>
    <row r="1448" spans="1:20" x14ac:dyDescent="0.25">
      <c r="A1448" s="4" t="s">
        <v>7315</v>
      </c>
      <c r="B1448" s="4" t="s">
        <v>11</v>
      </c>
      <c r="C1448" s="4" t="s">
        <v>7316</v>
      </c>
      <c r="D1448" s="3" t="str">
        <f t="shared" si="132"/>
        <v>UPS</v>
      </c>
      <c r="E1448" s="3" t="str">
        <f t="shared" si="133"/>
        <v>B</v>
      </c>
      <c r="F1448" s="3" t="str">
        <f t="shared" si="134"/>
        <v>100</v>
      </c>
      <c r="G1448" s="3" t="str">
        <f t="shared" si="135"/>
        <v>IB</v>
      </c>
      <c r="H1448" s="3" t="str">
        <f t="shared" si="136"/>
        <v>006</v>
      </c>
      <c r="I1448" s="3" t="str">
        <f t="shared" si="137"/>
        <v>01</v>
      </c>
      <c r="J1448" s="19"/>
      <c r="K1448" s="19"/>
      <c r="L1448" s="3" t="s">
        <v>3309</v>
      </c>
      <c r="M1448" s="19"/>
      <c r="N1448" s="19"/>
      <c r="O1448" s="19"/>
      <c r="P1448" s="19"/>
      <c r="Q1448" s="19"/>
      <c r="R1448" s="3" t="s">
        <v>7317</v>
      </c>
      <c r="S1448" s="15" t="s">
        <v>3247</v>
      </c>
    </row>
    <row r="1449" spans="1:20" x14ac:dyDescent="0.25">
      <c r="A1449" s="4" t="s">
        <v>7318</v>
      </c>
      <c r="B1449" s="4" t="s">
        <v>11</v>
      </c>
      <c r="C1449" s="4" t="s">
        <v>7319</v>
      </c>
      <c r="D1449" s="3" t="str">
        <f t="shared" si="132"/>
        <v>UPS</v>
      </c>
      <c r="E1449" s="3" t="str">
        <f t="shared" si="133"/>
        <v>A</v>
      </c>
      <c r="F1449" s="3" t="str">
        <f t="shared" si="134"/>
        <v>101</v>
      </c>
      <c r="G1449" s="3" t="str">
        <f t="shared" si="135"/>
        <v>BP</v>
      </c>
      <c r="H1449" s="3" t="str">
        <f t="shared" si="136"/>
        <v>000</v>
      </c>
      <c r="I1449" s="3" t="str">
        <f t="shared" si="137"/>
        <v>01</v>
      </c>
      <c r="L1449" s="3" t="s">
        <v>3309</v>
      </c>
      <c r="R1449" s="3" t="s">
        <v>7320</v>
      </c>
      <c r="S1449" s="15" t="s">
        <v>3247</v>
      </c>
    </row>
    <row r="1450" spans="1:20" ht="30" x14ac:dyDescent="0.25">
      <c r="A1450" s="4" t="s">
        <v>7321</v>
      </c>
      <c r="B1450" s="4" t="s">
        <v>11</v>
      </c>
      <c r="C1450" s="4" t="s">
        <v>7322</v>
      </c>
      <c r="D1450" s="3" t="str">
        <f t="shared" si="132"/>
        <v>UPS</v>
      </c>
      <c r="E1450" s="3" t="str">
        <f t="shared" si="133"/>
        <v>A</v>
      </c>
      <c r="F1450" s="3" t="str">
        <f t="shared" si="134"/>
        <v>103</v>
      </c>
      <c r="G1450" s="3" t="str">
        <f t="shared" si="135"/>
        <v>HI</v>
      </c>
      <c r="H1450" s="3" t="str">
        <f t="shared" si="136"/>
        <v>006</v>
      </c>
      <c r="I1450" s="3" t="str">
        <f t="shared" si="137"/>
        <v>04</v>
      </c>
      <c r="L1450" s="3" t="s">
        <v>3309</v>
      </c>
      <c r="R1450" s="3" t="s">
        <v>7323</v>
      </c>
      <c r="S1450" s="15" t="s">
        <v>3247</v>
      </c>
    </row>
    <row r="1451" spans="1:20" ht="30" x14ac:dyDescent="0.25">
      <c r="A1451" s="4" t="s">
        <v>7324</v>
      </c>
      <c r="B1451" s="4" t="s">
        <v>11</v>
      </c>
      <c r="C1451" s="4" t="s">
        <v>7325</v>
      </c>
      <c r="D1451" s="3" t="str">
        <f t="shared" si="132"/>
        <v>UPS</v>
      </c>
      <c r="E1451" s="3" t="str">
        <f t="shared" si="133"/>
        <v>A</v>
      </c>
      <c r="F1451" s="3" t="str">
        <f t="shared" si="134"/>
        <v>103</v>
      </c>
      <c r="G1451" s="3" t="str">
        <f t="shared" si="135"/>
        <v>MI</v>
      </c>
      <c r="H1451" s="3" t="str">
        <f t="shared" si="136"/>
        <v>007</v>
      </c>
      <c r="I1451" s="3" t="str">
        <f t="shared" si="137"/>
        <v>04</v>
      </c>
      <c r="L1451" s="3" t="s">
        <v>3309</v>
      </c>
      <c r="R1451" s="3" t="s">
        <v>7326</v>
      </c>
      <c r="S1451" s="15" t="s">
        <v>3247</v>
      </c>
    </row>
    <row r="1452" spans="1:20" ht="30" x14ac:dyDescent="0.25">
      <c r="A1452" s="4" t="s">
        <v>7327</v>
      </c>
      <c r="B1452" s="4" t="s">
        <v>11</v>
      </c>
      <c r="C1452" s="4" t="s">
        <v>7328</v>
      </c>
      <c r="D1452" s="3" t="str">
        <f t="shared" si="132"/>
        <v>UPS</v>
      </c>
      <c r="E1452" s="3" t="str">
        <f t="shared" si="133"/>
        <v>D</v>
      </c>
      <c r="F1452" s="3" t="str">
        <f t="shared" si="134"/>
        <v>410</v>
      </c>
      <c r="G1452" s="3" t="str">
        <f t="shared" si="135"/>
        <v>KR</v>
      </c>
      <c r="H1452" s="3" t="str">
        <f t="shared" si="136"/>
        <v>008</v>
      </c>
      <c r="I1452" s="3" t="str">
        <f t="shared" si="137"/>
        <v>06</v>
      </c>
      <c r="L1452" s="3" t="s">
        <v>3309</v>
      </c>
      <c r="R1452" s="3" t="s">
        <v>7329</v>
      </c>
      <c r="S1452" s="15" t="s">
        <v>3247</v>
      </c>
    </row>
    <row r="1453" spans="1:20" x14ac:dyDescent="0.25">
      <c r="A1453" s="4" t="s">
        <v>7330</v>
      </c>
      <c r="B1453" s="4" t="s">
        <v>11</v>
      </c>
      <c r="C1453" s="4" t="s">
        <v>7331</v>
      </c>
      <c r="D1453" s="3" t="str">
        <f t="shared" si="132"/>
        <v>UPS</v>
      </c>
      <c r="E1453" s="3" t="str">
        <f t="shared" si="133"/>
        <v>B</v>
      </c>
      <c r="F1453" s="3" t="str">
        <f t="shared" si="134"/>
        <v>101</v>
      </c>
      <c r="G1453" s="3" t="str">
        <f t="shared" si="135"/>
        <v>FS</v>
      </c>
      <c r="H1453" s="3" t="str">
        <f t="shared" si="136"/>
        <v>009</v>
      </c>
      <c r="I1453" s="3" t="str">
        <f t="shared" si="137"/>
        <v>01</v>
      </c>
      <c r="L1453" s="3" t="s">
        <v>3309</v>
      </c>
      <c r="R1453" s="3" t="s">
        <v>7332</v>
      </c>
      <c r="S1453" s="15">
        <v>8</v>
      </c>
    </row>
    <row r="1454" spans="1:20" x14ac:dyDescent="0.25">
      <c r="A1454" s="4" t="s">
        <v>7333</v>
      </c>
      <c r="B1454" s="4" t="s">
        <v>11</v>
      </c>
      <c r="C1454" s="4" t="s">
        <v>7334</v>
      </c>
      <c r="D1454" s="3" t="str">
        <f t="shared" si="132"/>
        <v>UPS</v>
      </c>
      <c r="E1454" s="3" t="str">
        <f t="shared" si="133"/>
        <v>A</v>
      </c>
      <c r="F1454" s="3" t="str">
        <f t="shared" si="134"/>
        <v>101</v>
      </c>
      <c r="G1454" s="3" t="str">
        <f t="shared" si="135"/>
        <v>FU</v>
      </c>
      <c r="H1454" s="3" t="str">
        <f t="shared" si="136"/>
        <v>000</v>
      </c>
      <c r="I1454" s="3" t="str">
        <f t="shared" si="137"/>
        <v>03</v>
      </c>
      <c r="L1454" s="3" t="s">
        <v>3309</v>
      </c>
      <c r="R1454" s="3" t="s">
        <v>7335</v>
      </c>
      <c r="S1454" s="15" t="s">
        <v>3247</v>
      </c>
    </row>
    <row r="1455" spans="1:20" x14ac:dyDescent="0.25">
      <c r="A1455" s="4" t="s">
        <v>7336</v>
      </c>
      <c r="B1455" s="4" t="s">
        <v>11</v>
      </c>
      <c r="C1455" s="4" t="s">
        <v>7337</v>
      </c>
      <c r="D1455" s="3" t="str">
        <f t="shared" si="132"/>
        <v>UPS</v>
      </c>
      <c r="E1455" s="3" t="str">
        <f t="shared" si="133"/>
        <v>A</v>
      </c>
      <c r="F1455" s="3" t="str">
        <f t="shared" si="134"/>
        <v>103</v>
      </c>
      <c r="G1455" s="3" t="str">
        <f t="shared" si="135"/>
        <v>NA</v>
      </c>
      <c r="H1455" s="3" t="str">
        <f t="shared" si="136"/>
        <v>000</v>
      </c>
      <c r="I1455" s="3" t="str">
        <f t="shared" si="137"/>
        <v>00</v>
      </c>
      <c r="L1455" s="3" t="s">
        <v>3309</v>
      </c>
      <c r="R1455" s="3" t="s">
        <v>7338</v>
      </c>
      <c r="S1455" s="15" t="s">
        <v>3247</v>
      </c>
    </row>
    <row r="1456" spans="1:20" ht="30" x14ac:dyDescent="0.25">
      <c r="A1456" s="4" t="s">
        <v>7339</v>
      </c>
      <c r="B1456" s="4" t="s">
        <v>11</v>
      </c>
      <c r="C1456" s="4" t="s">
        <v>7340</v>
      </c>
      <c r="D1456" s="3" t="str">
        <f t="shared" si="132"/>
        <v>UPS</v>
      </c>
      <c r="E1456" s="3" t="str">
        <f t="shared" si="133"/>
        <v>D</v>
      </c>
      <c r="F1456" s="3" t="str">
        <f t="shared" si="134"/>
        <v>411</v>
      </c>
      <c r="G1456" s="3" t="str">
        <f t="shared" si="135"/>
        <v>KR</v>
      </c>
      <c r="H1456" s="3" t="str">
        <f t="shared" si="136"/>
        <v>010</v>
      </c>
      <c r="I1456" s="3" t="str">
        <f t="shared" si="137"/>
        <v>06</v>
      </c>
      <c r="L1456" s="3" t="s">
        <v>3309</v>
      </c>
      <c r="R1456" s="3" t="s">
        <v>7341</v>
      </c>
      <c r="S1456" s="15" t="s">
        <v>3247</v>
      </c>
    </row>
    <row r="1457" spans="1:19" x14ac:dyDescent="0.25">
      <c r="A1457" s="4" t="s">
        <v>7342</v>
      </c>
      <c r="B1457" s="4" t="s">
        <v>7343</v>
      </c>
      <c r="C1457" s="4" t="s">
        <v>7344</v>
      </c>
      <c r="D1457" s="3" t="str">
        <f t="shared" si="132"/>
        <v>MOV</v>
      </c>
      <c r="E1457" s="3" t="str">
        <f t="shared" si="133"/>
        <v>F</v>
      </c>
      <c r="F1457" s="3" t="str">
        <f t="shared" si="134"/>
        <v>004</v>
      </c>
      <c r="G1457" s="3" t="str">
        <f t="shared" si="135"/>
        <v>AN</v>
      </c>
      <c r="H1457" s="3" t="str">
        <f t="shared" si="136"/>
        <v>000</v>
      </c>
      <c r="I1457" s="3" t="str">
        <f t="shared" si="137"/>
        <v>00</v>
      </c>
      <c r="L1457" s="3" t="s">
        <v>3245</v>
      </c>
      <c r="R1457" s="3" t="s">
        <v>7345</v>
      </c>
      <c r="S1457" s="15" t="s">
        <v>3247</v>
      </c>
    </row>
    <row r="1458" spans="1:19" x14ac:dyDescent="0.25">
      <c r="A1458" s="14" t="s">
        <v>7346</v>
      </c>
      <c r="B1458" s="14" t="s">
        <v>7343</v>
      </c>
      <c r="C1458" s="4" t="s">
        <v>7347</v>
      </c>
      <c r="D1458" s="3" t="str">
        <f t="shared" si="132"/>
        <v>MOV</v>
      </c>
      <c r="E1458" s="3" t="str">
        <f t="shared" si="133"/>
        <v>J</v>
      </c>
      <c r="F1458" s="3" t="str">
        <f t="shared" si="134"/>
        <v>002</v>
      </c>
      <c r="G1458" s="3" t="str">
        <f t="shared" si="135"/>
        <v>MA</v>
      </c>
      <c r="H1458" s="3" t="str">
        <f t="shared" si="136"/>
        <v>001</v>
      </c>
      <c r="I1458" s="3" t="str">
        <f t="shared" si="137"/>
        <v>02</v>
      </c>
      <c r="L1458" s="14" t="s">
        <v>3309</v>
      </c>
      <c r="R1458" s="3" t="s">
        <v>7348</v>
      </c>
      <c r="S1458" s="15" t="s">
        <v>3247</v>
      </c>
    </row>
    <row r="1459" spans="1:19" x14ac:dyDescent="0.25">
      <c r="A1459" s="4" t="s">
        <v>7349</v>
      </c>
      <c r="B1459" s="4" t="s">
        <v>7343</v>
      </c>
      <c r="C1459" s="4" t="s">
        <v>7350</v>
      </c>
      <c r="D1459" s="3" t="str">
        <f t="shared" si="132"/>
        <v>MOV</v>
      </c>
      <c r="E1459" s="3" t="str">
        <f t="shared" si="133"/>
        <v>A</v>
      </c>
      <c r="F1459" s="3" t="str">
        <f t="shared" si="134"/>
        <v>102</v>
      </c>
      <c r="G1459" s="3" t="str">
        <f t="shared" si="135"/>
        <v>ST</v>
      </c>
      <c r="H1459" s="3" t="str">
        <f t="shared" si="136"/>
        <v>000</v>
      </c>
      <c r="I1459" s="3" t="str">
        <f t="shared" si="137"/>
        <v>00</v>
      </c>
      <c r="L1459" s="3" t="s">
        <v>3309</v>
      </c>
      <c r="R1459" s="3" t="s">
        <v>7351</v>
      </c>
      <c r="S1459" s="15" t="s">
        <v>3247</v>
      </c>
    </row>
    <row r="1460" spans="1:19" ht="30" x14ac:dyDescent="0.25">
      <c r="A1460" s="4" t="s">
        <v>7352</v>
      </c>
      <c r="B1460" s="4" t="s">
        <v>7343</v>
      </c>
      <c r="C1460" s="4" t="s">
        <v>7353</v>
      </c>
      <c r="D1460" s="3" t="str">
        <f t="shared" si="132"/>
        <v>MOV</v>
      </c>
      <c r="E1460" s="3" t="str">
        <f t="shared" si="133"/>
        <v>J</v>
      </c>
      <c r="F1460" s="3" t="str">
        <f t="shared" si="134"/>
        <v>OO3</v>
      </c>
      <c r="G1460" s="3" t="str">
        <f t="shared" si="135"/>
        <v>MA</v>
      </c>
      <c r="H1460" s="3" t="str">
        <f t="shared" si="136"/>
        <v>002</v>
      </c>
      <c r="I1460" s="3" t="str">
        <f t="shared" si="137"/>
        <v>02</v>
      </c>
      <c r="L1460" s="3" t="s">
        <v>3309</v>
      </c>
      <c r="R1460" s="3" t="s">
        <v>7354</v>
      </c>
      <c r="S1460" s="15" t="s">
        <v>3247</v>
      </c>
    </row>
    <row r="1461" spans="1:19" x14ac:dyDescent="0.25">
      <c r="A1461" s="4" t="s">
        <v>7355</v>
      </c>
      <c r="B1461" s="4" t="s">
        <v>7343</v>
      </c>
      <c r="C1461" s="4" t="s">
        <v>7356</v>
      </c>
      <c r="D1461" s="3" t="str">
        <f t="shared" si="132"/>
        <v>MOV</v>
      </c>
      <c r="E1461" s="3" t="str">
        <f t="shared" si="133"/>
        <v>C</v>
      </c>
      <c r="F1461" s="3" t="str">
        <f t="shared" si="134"/>
        <v>001</v>
      </c>
      <c r="G1461" s="3" t="str">
        <f t="shared" si="135"/>
        <v>MA</v>
      </c>
      <c r="H1461" s="3" t="str">
        <f t="shared" si="136"/>
        <v>003</v>
      </c>
      <c r="I1461" s="3" t="str">
        <f t="shared" si="137"/>
        <v>00</v>
      </c>
      <c r="L1461" s="3" t="s">
        <v>3309</v>
      </c>
      <c r="R1461" s="3" t="s">
        <v>7357</v>
      </c>
      <c r="S1461" s="15" t="s">
        <v>3247</v>
      </c>
    </row>
    <row r="1462" spans="1:19" x14ac:dyDescent="0.25">
      <c r="A1462" s="4" t="s">
        <v>7358</v>
      </c>
      <c r="B1462" s="4" t="s">
        <v>7343</v>
      </c>
      <c r="C1462" s="4" t="s">
        <v>7359</v>
      </c>
      <c r="D1462" s="3" t="str">
        <f t="shared" si="132"/>
        <v>MOV</v>
      </c>
      <c r="E1462" s="3" t="str">
        <f t="shared" si="133"/>
        <v>C</v>
      </c>
      <c r="F1462" s="3" t="str">
        <f t="shared" si="134"/>
        <v>002</v>
      </c>
      <c r="G1462" s="3" t="str">
        <f t="shared" si="135"/>
        <v>MA</v>
      </c>
      <c r="H1462" s="3" t="str">
        <f t="shared" si="136"/>
        <v>003</v>
      </c>
      <c r="I1462" s="3" t="str">
        <f t="shared" si="137"/>
        <v>00</v>
      </c>
      <c r="L1462" s="3" t="s">
        <v>3309</v>
      </c>
      <c r="R1462" s="3" t="s">
        <v>7360</v>
      </c>
      <c r="S1462" s="15">
        <v>6</v>
      </c>
    </row>
    <row r="1463" spans="1:19" x14ac:dyDescent="0.25">
      <c r="A1463" s="4" t="s">
        <v>7361</v>
      </c>
      <c r="B1463" s="4" t="s">
        <v>7343</v>
      </c>
      <c r="C1463" s="4" t="s">
        <v>7362</v>
      </c>
      <c r="D1463" s="3" t="str">
        <f t="shared" si="132"/>
        <v>MOV</v>
      </c>
      <c r="E1463" s="3" t="str">
        <f t="shared" si="133"/>
        <v>C</v>
      </c>
      <c r="F1463" s="3" t="str">
        <f t="shared" si="134"/>
        <v>003</v>
      </c>
      <c r="G1463" s="3" t="str">
        <f t="shared" si="135"/>
        <v>MA</v>
      </c>
      <c r="H1463" s="3" t="str">
        <f t="shared" si="136"/>
        <v>003</v>
      </c>
      <c r="I1463" s="3" t="str">
        <f t="shared" si="137"/>
        <v>00</v>
      </c>
      <c r="L1463" s="3" t="s">
        <v>3309</v>
      </c>
      <c r="R1463" s="3" t="s">
        <v>7363</v>
      </c>
      <c r="S1463" s="15" t="s">
        <v>3247</v>
      </c>
    </row>
    <row r="1464" spans="1:19" x14ac:dyDescent="0.25">
      <c r="A1464" s="4" t="s">
        <v>7364</v>
      </c>
      <c r="B1464" s="4" t="s">
        <v>7343</v>
      </c>
      <c r="C1464" s="4" t="s">
        <v>7365</v>
      </c>
      <c r="D1464" s="3" t="str">
        <f t="shared" si="132"/>
        <v>MOV</v>
      </c>
      <c r="E1464" s="3" t="str">
        <f t="shared" si="133"/>
        <v>C</v>
      </c>
      <c r="F1464" s="3" t="str">
        <f t="shared" si="134"/>
        <v>004</v>
      </c>
      <c r="G1464" s="3" t="str">
        <f t="shared" si="135"/>
        <v>MA</v>
      </c>
      <c r="H1464" s="3" t="str">
        <f t="shared" si="136"/>
        <v>003</v>
      </c>
      <c r="I1464" s="3" t="str">
        <f t="shared" si="137"/>
        <v>00</v>
      </c>
      <c r="L1464" s="3" t="s">
        <v>3309</v>
      </c>
      <c r="R1464" s="3" t="s">
        <v>7366</v>
      </c>
      <c r="S1464" s="15" t="s">
        <v>3247</v>
      </c>
    </row>
    <row r="1465" spans="1:19" x14ac:dyDescent="0.25">
      <c r="A1465" s="4" t="s">
        <v>7367</v>
      </c>
      <c r="B1465" s="4" t="s">
        <v>7343</v>
      </c>
      <c r="C1465" s="4" t="s">
        <v>7368</v>
      </c>
      <c r="D1465" s="3" t="str">
        <f t="shared" si="132"/>
        <v>MOV</v>
      </c>
      <c r="E1465" s="3" t="str">
        <f t="shared" si="133"/>
        <v>C</v>
      </c>
      <c r="F1465" s="3" t="str">
        <f t="shared" si="134"/>
        <v>005</v>
      </c>
      <c r="G1465" s="3" t="str">
        <f t="shared" si="135"/>
        <v>MA</v>
      </c>
      <c r="H1465" s="3" t="str">
        <f t="shared" si="136"/>
        <v>004</v>
      </c>
      <c r="I1465" s="3" t="str">
        <f t="shared" si="137"/>
        <v>00</v>
      </c>
      <c r="L1465" s="3" t="s">
        <v>3309</v>
      </c>
      <c r="R1465" s="3" t="s">
        <v>7369</v>
      </c>
      <c r="S1465" s="15" t="s">
        <v>3247</v>
      </c>
    </row>
    <row r="1466" spans="1:19" x14ac:dyDescent="0.25">
      <c r="A1466" s="4" t="s">
        <v>7370</v>
      </c>
      <c r="B1466" s="4" t="s">
        <v>7343</v>
      </c>
      <c r="C1466" s="4" t="s">
        <v>7371</v>
      </c>
      <c r="D1466" s="3" t="str">
        <f t="shared" si="132"/>
        <v>MOV</v>
      </c>
      <c r="E1466" s="3" t="str">
        <f t="shared" si="133"/>
        <v>C</v>
      </c>
      <c r="F1466" s="3" t="str">
        <f t="shared" si="134"/>
        <v>006</v>
      </c>
      <c r="G1466" s="3" t="str">
        <f t="shared" si="135"/>
        <v>MA</v>
      </c>
      <c r="H1466" s="3" t="str">
        <f t="shared" si="136"/>
        <v>004</v>
      </c>
      <c r="I1466" s="3" t="str">
        <f t="shared" si="137"/>
        <v>00</v>
      </c>
      <c r="L1466" s="3" t="s">
        <v>3309</v>
      </c>
      <c r="R1466" s="3" t="s">
        <v>7372</v>
      </c>
      <c r="S1466" s="15" t="s">
        <v>3247</v>
      </c>
    </row>
    <row r="1467" spans="1:19" x14ac:dyDescent="0.25">
      <c r="A1467" s="4" t="s">
        <v>7373</v>
      </c>
      <c r="B1467" s="4" t="s">
        <v>7343</v>
      </c>
      <c r="C1467" s="4" t="s">
        <v>7374</v>
      </c>
      <c r="D1467" s="3" t="str">
        <f t="shared" si="132"/>
        <v>MOV</v>
      </c>
      <c r="E1467" s="3" t="str">
        <f t="shared" si="133"/>
        <v>C</v>
      </c>
      <c r="F1467" s="3" t="str">
        <f t="shared" si="134"/>
        <v>007</v>
      </c>
      <c r="G1467" s="3" t="str">
        <f t="shared" si="135"/>
        <v>MA</v>
      </c>
      <c r="H1467" s="3" t="str">
        <f t="shared" si="136"/>
        <v>004</v>
      </c>
      <c r="I1467" s="3" t="str">
        <f t="shared" si="137"/>
        <v>00</v>
      </c>
      <c r="L1467" s="3" t="s">
        <v>3245</v>
      </c>
      <c r="R1467" s="3" t="s">
        <v>7375</v>
      </c>
      <c r="S1467" s="15" t="s">
        <v>3247</v>
      </c>
    </row>
    <row r="1468" spans="1:19" x14ac:dyDescent="0.25">
      <c r="A1468" s="4" t="s">
        <v>7376</v>
      </c>
      <c r="B1468" s="4" t="s">
        <v>7343</v>
      </c>
      <c r="C1468" s="4" t="s">
        <v>7377</v>
      </c>
      <c r="D1468" s="3" t="str">
        <f t="shared" si="132"/>
        <v>MOV</v>
      </c>
      <c r="E1468" s="3" t="str">
        <f t="shared" si="133"/>
        <v>J</v>
      </c>
      <c r="F1468" s="3" t="str">
        <f t="shared" si="134"/>
        <v>002</v>
      </c>
      <c r="G1468" s="3" t="str">
        <f t="shared" si="135"/>
        <v>MA</v>
      </c>
      <c r="H1468" s="3" t="str">
        <f t="shared" si="136"/>
        <v>005</v>
      </c>
      <c r="I1468" s="3" t="str">
        <f t="shared" si="137"/>
        <v>02</v>
      </c>
      <c r="L1468" s="3" t="s">
        <v>3245</v>
      </c>
      <c r="R1468" s="3" t="s">
        <v>7378</v>
      </c>
      <c r="S1468" s="15" t="s">
        <v>3247</v>
      </c>
    </row>
    <row r="1469" spans="1:19" x14ac:dyDescent="0.25">
      <c r="A1469" s="4" t="s">
        <v>7379</v>
      </c>
      <c r="B1469" s="4" t="s">
        <v>7343</v>
      </c>
      <c r="C1469" s="4" t="s">
        <v>7380</v>
      </c>
      <c r="D1469" s="3" t="str">
        <f t="shared" si="132"/>
        <v>MOV</v>
      </c>
      <c r="E1469" s="3" t="str">
        <f t="shared" si="133"/>
        <v>J</v>
      </c>
      <c r="F1469" s="3" t="str">
        <f t="shared" si="134"/>
        <v>010</v>
      </c>
      <c r="G1469" s="3" t="str">
        <f t="shared" si="135"/>
        <v>MA</v>
      </c>
      <c r="H1469" s="3" t="str">
        <f t="shared" si="136"/>
        <v>005</v>
      </c>
      <c r="I1469" s="3" t="str">
        <f t="shared" si="137"/>
        <v>02</v>
      </c>
      <c r="L1469" s="3" t="s">
        <v>3309</v>
      </c>
      <c r="R1469" s="3" t="s">
        <v>7381</v>
      </c>
      <c r="S1469" s="15" t="s">
        <v>3247</v>
      </c>
    </row>
    <row r="1470" spans="1:19" x14ac:dyDescent="0.25">
      <c r="A1470" s="4" t="s">
        <v>7382</v>
      </c>
      <c r="B1470" s="4" t="s">
        <v>7343</v>
      </c>
      <c r="C1470" s="4" t="s">
        <v>7383</v>
      </c>
      <c r="D1470" s="3" t="str">
        <f t="shared" si="132"/>
        <v>MOV</v>
      </c>
      <c r="E1470" s="3" t="str">
        <f t="shared" si="133"/>
        <v>C</v>
      </c>
      <c r="F1470" s="3" t="str">
        <f t="shared" si="134"/>
        <v>005</v>
      </c>
      <c r="G1470" s="3" t="str">
        <f t="shared" si="135"/>
        <v>ZD</v>
      </c>
      <c r="H1470" s="3" t="str">
        <f t="shared" si="136"/>
        <v>000</v>
      </c>
      <c r="I1470" s="3" t="str">
        <f t="shared" si="137"/>
        <v>00</v>
      </c>
      <c r="L1470" s="3" t="s">
        <v>3309</v>
      </c>
      <c r="R1470" s="3" t="s">
        <v>7384</v>
      </c>
      <c r="S1470" s="15">
        <v>1</v>
      </c>
    </row>
    <row r="1471" spans="1:19" x14ac:dyDescent="0.25">
      <c r="A1471" s="4" t="s">
        <v>7385</v>
      </c>
      <c r="B1471" s="4" t="s">
        <v>7343</v>
      </c>
      <c r="C1471" s="4" t="s">
        <v>7383</v>
      </c>
      <c r="D1471" s="3" t="str">
        <f t="shared" si="132"/>
        <v>MOV</v>
      </c>
      <c r="E1471" s="3" t="str">
        <f t="shared" si="133"/>
        <v>C</v>
      </c>
      <c r="F1471" s="3" t="str">
        <f t="shared" si="134"/>
        <v>005</v>
      </c>
      <c r="G1471" s="3" t="str">
        <f t="shared" si="135"/>
        <v>AR</v>
      </c>
      <c r="H1471" s="3" t="str">
        <f t="shared" si="136"/>
        <v>000</v>
      </c>
      <c r="I1471" s="3" t="str">
        <f t="shared" si="137"/>
        <v>00</v>
      </c>
      <c r="L1471" s="3" t="s">
        <v>3309</v>
      </c>
      <c r="R1471" s="3" t="s">
        <v>7386</v>
      </c>
      <c r="S1471" s="15">
        <v>1</v>
      </c>
    </row>
    <row r="1472" spans="1:19" ht="30" x14ac:dyDescent="0.25">
      <c r="A1472" s="4" t="s">
        <v>7387</v>
      </c>
      <c r="B1472" s="4" t="s">
        <v>7343</v>
      </c>
      <c r="C1472" s="4" t="s">
        <v>965</v>
      </c>
      <c r="D1472" s="3" t="str">
        <f t="shared" si="132"/>
        <v>MOV</v>
      </c>
      <c r="E1472" s="3" t="str">
        <f t="shared" si="133"/>
        <v>K</v>
      </c>
      <c r="F1472" s="3" t="str">
        <f t="shared" si="134"/>
        <v>001</v>
      </c>
      <c r="G1472" s="3" t="str">
        <f t="shared" si="135"/>
        <v>MA</v>
      </c>
      <c r="H1472" s="3" t="str">
        <f t="shared" si="136"/>
        <v>000</v>
      </c>
      <c r="I1472" s="3" t="str">
        <f t="shared" si="137"/>
        <v>00</v>
      </c>
      <c r="L1472" s="3" t="s">
        <v>3309</v>
      </c>
      <c r="R1472" s="3" t="s">
        <v>7388</v>
      </c>
      <c r="S1472" s="15" t="s">
        <v>3247</v>
      </c>
    </row>
    <row r="1473" spans="1:19" ht="30" x14ac:dyDescent="0.25">
      <c r="A1473" s="4" t="s">
        <v>7389</v>
      </c>
      <c r="B1473" s="4" t="s">
        <v>7343</v>
      </c>
      <c r="C1473" s="4" t="s">
        <v>966</v>
      </c>
      <c r="D1473" s="3" t="str">
        <f t="shared" si="132"/>
        <v>MOV</v>
      </c>
      <c r="E1473" s="3" t="str">
        <f t="shared" si="133"/>
        <v>K</v>
      </c>
      <c r="F1473" s="3" t="str">
        <f t="shared" si="134"/>
        <v>002</v>
      </c>
      <c r="G1473" s="3" t="str">
        <f t="shared" si="135"/>
        <v>MA</v>
      </c>
      <c r="H1473" s="3" t="str">
        <f t="shared" si="136"/>
        <v>000</v>
      </c>
      <c r="I1473" s="3" t="str">
        <f t="shared" si="137"/>
        <v>00</v>
      </c>
      <c r="L1473" s="3" t="s">
        <v>3309</v>
      </c>
      <c r="R1473" s="3" t="s">
        <v>7390</v>
      </c>
      <c r="S1473" s="15" t="s">
        <v>3247</v>
      </c>
    </row>
    <row r="1474" spans="1:19" ht="30" x14ac:dyDescent="0.25">
      <c r="A1474" s="4" t="s">
        <v>7391</v>
      </c>
      <c r="B1474" s="4" t="s">
        <v>7343</v>
      </c>
      <c r="C1474" s="4" t="s">
        <v>967</v>
      </c>
      <c r="D1474" s="3" t="str">
        <f t="shared" ref="D1474:D1537" si="138">LEFT(A1474,3)</f>
        <v>MOV</v>
      </c>
      <c r="E1474" s="3" t="str">
        <f t="shared" ref="E1474:E1537" si="139">MID(A1474,4,1)</f>
        <v>K</v>
      </c>
      <c r="F1474" s="3" t="str">
        <f t="shared" ref="F1474:F1537" si="140">MID(A1474,5,3)</f>
        <v>003</v>
      </c>
      <c r="G1474" s="3" t="str">
        <f t="shared" ref="G1474:G1537" si="141">MID(A1474,8,2)</f>
        <v>MA</v>
      </c>
      <c r="H1474" s="3" t="str">
        <f t="shared" ref="H1474:H1537" si="142">MID(A1474,10,3)</f>
        <v>000</v>
      </c>
      <c r="I1474" s="3" t="str">
        <f t="shared" ref="I1474:I1537" si="143">MID(A1474,13,2)</f>
        <v>00</v>
      </c>
      <c r="L1474" s="3" t="s">
        <v>3309</v>
      </c>
      <c r="R1474" s="3" t="s">
        <v>7392</v>
      </c>
      <c r="S1474" s="15" t="s">
        <v>3247</v>
      </c>
    </row>
    <row r="1475" spans="1:19" ht="30" x14ac:dyDescent="0.25">
      <c r="A1475" s="4" t="s">
        <v>7393</v>
      </c>
      <c r="B1475" s="4" t="s">
        <v>7343</v>
      </c>
      <c r="C1475" s="4" t="s">
        <v>7394</v>
      </c>
      <c r="D1475" s="3" t="str">
        <f t="shared" si="138"/>
        <v>MOV</v>
      </c>
      <c r="E1475" s="3" t="str">
        <f t="shared" si="139"/>
        <v>K</v>
      </c>
      <c r="F1475" s="3" t="str">
        <f t="shared" si="140"/>
        <v>004</v>
      </c>
      <c r="G1475" s="3" t="str">
        <f t="shared" si="141"/>
        <v>MA</v>
      </c>
      <c r="H1475" s="3" t="str">
        <f t="shared" si="142"/>
        <v>000</v>
      </c>
      <c r="I1475" s="3" t="str">
        <f t="shared" si="143"/>
        <v>00</v>
      </c>
      <c r="L1475" s="3" t="s">
        <v>3309</v>
      </c>
      <c r="R1475" s="3" t="s">
        <v>7395</v>
      </c>
      <c r="S1475" s="15" t="s">
        <v>3247</v>
      </c>
    </row>
    <row r="1476" spans="1:19" ht="30" x14ac:dyDescent="0.25">
      <c r="A1476" s="4" t="s">
        <v>7396</v>
      </c>
      <c r="B1476" s="4" t="s">
        <v>7343</v>
      </c>
      <c r="C1476" s="4" t="s">
        <v>7397</v>
      </c>
      <c r="D1476" s="3" t="str">
        <f t="shared" si="138"/>
        <v>MOV</v>
      </c>
      <c r="E1476" s="3" t="str">
        <f t="shared" si="139"/>
        <v>K</v>
      </c>
      <c r="F1476" s="3" t="str">
        <f t="shared" si="140"/>
        <v>005</v>
      </c>
      <c r="G1476" s="3" t="str">
        <f t="shared" si="141"/>
        <v>MA</v>
      </c>
      <c r="H1476" s="3" t="str">
        <f t="shared" si="142"/>
        <v>000</v>
      </c>
      <c r="I1476" s="3" t="str">
        <f t="shared" si="143"/>
        <v>00</v>
      </c>
      <c r="L1476" s="3" t="s">
        <v>3309</v>
      </c>
      <c r="R1476" s="3" t="s">
        <v>7398</v>
      </c>
      <c r="S1476" s="15" t="s">
        <v>3247</v>
      </c>
    </row>
    <row r="1477" spans="1:19" ht="30" x14ac:dyDescent="0.25">
      <c r="A1477" s="4" t="s">
        <v>7399</v>
      </c>
      <c r="B1477" s="4" t="s">
        <v>7343</v>
      </c>
      <c r="C1477" s="4" t="s">
        <v>7400</v>
      </c>
      <c r="D1477" s="3" t="str">
        <f t="shared" si="138"/>
        <v>MOV</v>
      </c>
      <c r="E1477" s="3" t="str">
        <f t="shared" si="139"/>
        <v>C</v>
      </c>
      <c r="F1477" s="3" t="str">
        <f t="shared" si="140"/>
        <v>407</v>
      </c>
      <c r="G1477" s="3" t="str">
        <f t="shared" si="141"/>
        <v>ST</v>
      </c>
      <c r="H1477" s="3" t="str">
        <f t="shared" si="142"/>
        <v>000</v>
      </c>
      <c r="I1477" s="3" t="str">
        <f t="shared" si="143"/>
        <v>00</v>
      </c>
      <c r="L1477" s="3" t="s">
        <v>3309</v>
      </c>
      <c r="R1477" s="3" t="s">
        <v>7401</v>
      </c>
      <c r="S1477" s="15" t="s">
        <v>3247</v>
      </c>
    </row>
    <row r="1478" spans="1:19" x14ac:dyDescent="0.25">
      <c r="A1478" s="4" t="s">
        <v>7402</v>
      </c>
      <c r="B1478" s="4" t="s">
        <v>7343</v>
      </c>
      <c r="C1478" s="4" t="s">
        <v>7403</v>
      </c>
      <c r="D1478" s="3" t="str">
        <f t="shared" si="138"/>
        <v>MOV</v>
      </c>
      <c r="E1478" s="3" t="str">
        <f t="shared" si="139"/>
        <v>B</v>
      </c>
      <c r="F1478" s="3" t="str">
        <f t="shared" si="140"/>
        <v>003</v>
      </c>
      <c r="G1478" s="3" t="str">
        <f t="shared" si="141"/>
        <v>MA</v>
      </c>
      <c r="H1478" s="3" t="str">
        <f t="shared" si="142"/>
        <v>006</v>
      </c>
      <c r="I1478" s="3" t="str">
        <f t="shared" si="143"/>
        <v>00</v>
      </c>
      <c r="L1478" s="3" t="s">
        <v>3309</v>
      </c>
      <c r="R1478" s="3" t="s">
        <v>7404</v>
      </c>
      <c r="S1478" s="15" t="s">
        <v>3247</v>
      </c>
    </row>
    <row r="1479" spans="1:19" ht="30" x14ac:dyDescent="0.25">
      <c r="A1479" s="4" t="s">
        <v>7405</v>
      </c>
      <c r="B1479" s="4" t="s">
        <v>7343</v>
      </c>
      <c r="C1479" s="4" t="s">
        <v>7406</v>
      </c>
      <c r="D1479" s="3" t="str">
        <f t="shared" si="138"/>
        <v>MOV</v>
      </c>
      <c r="E1479" s="3" t="str">
        <f t="shared" si="139"/>
        <v>J</v>
      </c>
      <c r="F1479" s="3" t="str">
        <f t="shared" si="140"/>
        <v>003</v>
      </c>
      <c r="G1479" s="3" t="str">
        <f t="shared" si="141"/>
        <v>MA</v>
      </c>
      <c r="H1479" s="3" t="str">
        <f t="shared" si="142"/>
        <v>014</v>
      </c>
      <c r="I1479" s="3" t="str">
        <f t="shared" si="143"/>
        <v>00</v>
      </c>
      <c r="L1479" s="3" t="s">
        <v>3309</v>
      </c>
      <c r="R1479" s="3" t="s">
        <v>7407</v>
      </c>
      <c r="S1479" s="15" t="s">
        <v>3247</v>
      </c>
    </row>
    <row r="1480" spans="1:19" ht="30" x14ac:dyDescent="0.25">
      <c r="A1480" s="4" t="s">
        <v>7408</v>
      </c>
      <c r="B1480" s="4" t="s">
        <v>7343</v>
      </c>
      <c r="C1480" s="4" t="s">
        <v>7409</v>
      </c>
      <c r="D1480" s="3" t="str">
        <f t="shared" si="138"/>
        <v>MOV</v>
      </c>
      <c r="E1480" s="3" t="str">
        <f t="shared" si="139"/>
        <v>J</v>
      </c>
      <c r="F1480" s="3" t="str">
        <f t="shared" si="140"/>
        <v>005</v>
      </c>
      <c r="G1480" s="3" t="str">
        <f t="shared" si="141"/>
        <v>MA</v>
      </c>
      <c r="H1480" s="3" t="str">
        <f t="shared" si="142"/>
        <v>014</v>
      </c>
      <c r="I1480" s="3" t="str">
        <f t="shared" si="143"/>
        <v>00</v>
      </c>
      <c r="L1480" s="3" t="s">
        <v>3309</v>
      </c>
      <c r="R1480" s="3" t="s">
        <v>7410</v>
      </c>
      <c r="S1480" s="15" t="s">
        <v>3247</v>
      </c>
    </row>
    <row r="1481" spans="1:19" x14ac:dyDescent="0.25">
      <c r="A1481" s="4" t="s">
        <v>7411</v>
      </c>
      <c r="B1481" s="4" t="s">
        <v>7343</v>
      </c>
      <c r="C1481" s="4" t="s">
        <v>7412</v>
      </c>
      <c r="D1481" s="3" t="str">
        <f t="shared" si="138"/>
        <v>MOV</v>
      </c>
      <c r="E1481" s="3" t="str">
        <f t="shared" si="139"/>
        <v>B</v>
      </c>
      <c r="F1481" s="3" t="str">
        <f t="shared" si="140"/>
        <v>109</v>
      </c>
      <c r="G1481" s="3" t="str">
        <f t="shared" si="141"/>
        <v>MA</v>
      </c>
      <c r="H1481" s="3" t="str">
        <f t="shared" si="142"/>
        <v>000</v>
      </c>
      <c r="I1481" s="3" t="str">
        <f t="shared" si="143"/>
        <v>00</v>
      </c>
      <c r="L1481" s="3" t="s">
        <v>3309</v>
      </c>
      <c r="R1481" s="3" t="s">
        <v>7413</v>
      </c>
      <c r="S1481" s="15" t="s">
        <v>3247</v>
      </c>
    </row>
    <row r="1482" spans="1:19" x14ac:dyDescent="0.25">
      <c r="A1482" s="4" t="s">
        <v>7414</v>
      </c>
      <c r="B1482" s="4" t="s">
        <v>7343</v>
      </c>
      <c r="C1482" s="4" t="s">
        <v>7415</v>
      </c>
      <c r="D1482" s="3" t="str">
        <f t="shared" si="138"/>
        <v>MOV</v>
      </c>
      <c r="E1482" s="3" t="str">
        <f t="shared" si="139"/>
        <v>B</v>
      </c>
      <c r="F1482" s="3" t="str">
        <f t="shared" si="140"/>
        <v>111</v>
      </c>
      <c r="G1482" s="3" t="str">
        <f t="shared" si="141"/>
        <v>MA</v>
      </c>
      <c r="H1482" s="3" t="str">
        <f t="shared" si="142"/>
        <v>000</v>
      </c>
      <c r="I1482" s="3" t="str">
        <f t="shared" si="143"/>
        <v>00</v>
      </c>
      <c r="L1482" s="3" t="s">
        <v>3309</v>
      </c>
      <c r="R1482" s="3" t="s">
        <v>7416</v>
      </c>
      <c r="S1482" s="15" t="s">
        <v>3247</v>
      </c>
    </row>
    <row r="1483" spans="1:19" ht="30" x14ac:dyDescent="0.25">
      <c r="A1483" s="4" t="s">
        <v>7417</v>
      </c>
      <c r="B1483" s="4" t="s">
        <v>7343</v>
      </c>
      <c r="C1483" s="4" t="s">
        <v>7418</v>
      </c>
      <c r="D1483" s="3" t="str">
        <f t="shared" si="138"/>
        <v>MOV</v>
      </c>
      <c r="E1483" s="3" t="str">
        <f t="shared" si="139"/>
        <v>J</v>
      </c>
      <c r="F1483" s="3" t="str">
        <f t="shared" si="140"/>
        <v>006</v>
      </c>
      <c r="G1483" s="3" t="str">
        <f t="shared" si="141"/>
        <v>MA</v>
      </c>
      <c r="H1483" s="3" t="str">
        <f t="shared" si="142"/>
        <v>016</v>
      </c>
      <c r="I1483" s="3" t="str">
        <f t="shared" si="143"/>
        <v>00</v>
      </c>
      <c r="L1483" s="3" t="s">
        <v>3309</v>
      </c>
      <c r="R1483" s="3" t="s">
        <v>7419</v>
      </c>
      <c r="S1483" s="15" t="s">
        <v>3247</v>
      </c>
    </row>
    <row r="1484" spans="1:19" ht="30" x14ac:dyDescent="0.25">
      <c r="A1484" s="4" t="s">
        <v>7420</v>
      </c>
      <c r="B1484" s="4" t="s">
        <v>7343</v>
      </c>
      <c r="C1484" s="4" t="s">
        <v>7421</v>
      </c>
      <c r="D1484" s="3" t="str">
        <f t="shared" si="138"/>
        <v>MOV</v>
      </c>
      <c r="E1484" s="3" t="str">
        <f t="shared" si="139"/>
        <v>J</v>
      </c>
      <c r="F1484" s="3" t="str">
        <f t="shared" si="140"/>
        <v>007</v>
      </c>
      <c r="G1484" s="3" t="str">
        <f t="shared" si="141"/>
        <v>MA</v>
      </c>
      <c r="H1484" s="3" t="str">
        <f t="shared" si="142"/>
        <v>017</v>
      </c>
      <c r="I1484" s="3" t="str">
        <f t="shared" si="143"/>
        <v>00</v>
      </c>
      <c r="L1484" s="3" t="s">
        <v>3309</v>
      </c>
      <c r="R1484" s="3" t="s">
        <v>7422</v>
      </c>
      <c r="S1484" s="15" t="s">
        <v>3247</v>
      </c>
    </row>
    <row r="1485" spans="1:19" ht="30" x14ac:dyDescent="0.25">
      <c r="A1485" s="4" t="s">
        <v>7423</v>
      </c>
      <c r="B1485" s="4" t="s">
        <v>7343</v>
      </c>
      <c r="C1485" s="4" t="s">
        <v>7424</v>
      </c>
      <c r="D1485" s="3" t="str">
        <f t="shared" si="138"/>
        <v>MOV</v>
      </c>
      <c r="E1485" s="3" t="str">
        <f t="shared" si="139"/>
        <v>J</v>
      </c>
      <c r="F1485" s="3" t="str">
        <f t="shared" si="140"/>
        <v>008</v>
      </c>
      <c r="G1485" s="3" t="str">
        <f t="shared" si="141"/>
        <v>MA</v>
      </c>
      <c r="H1485" s="3" t="str">
        <f t="shared" si="142"/>
        <v>018</v>
      </c>
      <c r="I1485" s="3" t="str">
        <f t="shared" si="143"/>
        <v>00</v>
      </c>
      <c r="L1485" s="3" t="s">
        <v>3309</v>
      </c>
      <c r="R1485" s="3" t="s">
        <v>7425</v>
      </c>
      <c r="S1485" s="15" t="s">
        <v>3247</v>
      </c>
    </row>
    <row r="1486" spans="1:19" ht="30" x14ac:dyDescent="0.25">
      <c r="A1486" s="4" t="s">
        <v>7426</v>
      </c>
      <c r="B1486" s="4" t="s">
        <v>7343</v>
      </c>
      <c r="C1486" s="4" t="s">
        <v>7427</v>
      </c>
      <c r="D1486" s="3" t="str">
        <f t="shared" si="138"/>
        <v>MOV</v>
      </c>
      <c r="E1486" s="3" t="str">
        <f t="shared" si="139"/>
        <v>J</v>
      </c>
      <c r="F1486" s="3" t="str">
        <f t="shared" si="140"/>
        <v>008</v>
      </c>
      <c r="G1486" s="3" t="str">
        <f t="shared" si="141"/>
        <v>MA</v>
      </c>
      <c r="H1486" s="3" t="str">
        <f t="shared" si="142"/>
        <v>019</v>
      </c>
      <c r="I1486" s="3" t="str">
        <f t="shared" si="143"/>
        <v>00</v>
      </c>
      <c r="L1486" s="3" t="s">
        <v>3309</v>
      </c>
      <c r="R1486" s="3" t="s">
        <v>7428</v>
      </c>
      <c r="S1486" s="15" t="s">
        <v>3247</v>
      </c>
    </row>
    <row r="1487" spans="1:19" ht="30" x14ac:dyDescent="0.25">
      <c r="A1487" s="4" t="s">
        <v>7429</v>
      </c>
      <c r="B1487" s="4" t="s">
        <v>7343</v>
      </c>
      <c r="C1487" s="4" t="s">
        <v>7430</v>
      </c>
      <c r="D1487" s="3" t="str">
        <f t="shared" si="138"/>
        <v>MOV</v>
      </c>
      <c r="E1487" s="3" t="str">
        <f t="shared" si="139"/>
        <v>J</v>
      </c>
      <c r="F1487" s="3" t="str">
        <f t="shared" si="140"/>
        <v>009</v>
      </c>
      <c r="G1487" s="3" t="str">
        <f t="shared" si="141"/>
        <v>MA</v>
      </c>
      <c r="H1487" s="3" t="str">
        <f t="shared" si="142"/>
        <v>018</v>
      </c>
      <c r="I1487" s="3" t="str">
        <f t="shared" si="143"/>
        <v>00</v>
      </c>
      <c r="L1487" s="3" t="s">
        <v>3309</v>
      </c>
      <c r="R1487" s="3" t="s">
        <v>7431</v>
      </c>
      <c r="S1487" s="15" t="s">
        <v>3247</v>
      </c>
    </row>
    <row r="1488" spans="1:19" x14ac:dyDescent="0.25">
      <c r="A1488" s="4" t="s">
        <v>7432</v>
      </c>
      <c r="B1488" s="4" t="s">
        <v>7343</v>
      </c>
      <c r="C1488" s="4" t="s">
        <v>7433</v>
      </c>
      <c r="D1488" s="3" t="str">
        <f t="shared" si="138"/>
        <v>MOV</v>
      </c>
      <c r="E1488" s="3" t="str">
        <f t="shared" si="139"/>
        <v>A</v>
      </c>
      <c r="F1488" s="3" t="str">
        <f t="shared" si="140"/>
        <v>007</v>
      </c>
      <c r="G1488" s="3" t="str">
        <f t="shared" si="141"/>
        <v>MA</v>
      </c>
      <c r="H1488" s="3" t="str">
        <f t="shared" si="142"/>
        <v>003</v>
      </c>
      <c r="I1488" s="3" t="str">
        <f t="shared" si="143"/>
        <v>00</v>
      </c>
      <c r="L1488" s="3" t="s">
        <v>3309</v>
      </c>
      <c r="R1488" s="3" t="s">
        <v>7434</v>
      </c>
      <c r="S1488" s="15" t="s">
        <v>3247</v>
      </c>
    </row>
    <row r="1489" spans="1:19" x14ac:dyDescent="0.25">
      <c r="A1489" s="4" t="s">
        <v>7435</v>
      </c>
      <c r="B1489" s="4" t="s">
        <v>7343</v>
      </c>
      <c r="C1489" s="4" t="s">
        <v>7436</v>
      </c>
      <c r="D1489" s="3" t="str">
        <f t="shared" si="138"/>
        <v>MOV</v>
      </c>
      <c r="E1489" s="3" t="str">
        <f t="shared" si="139"/>
        <v>K</v>
      </c>
      <c r="F1489" s="3" t="str">
        <f t="shared" si="140"/>
        <v>502</v>
      </c>
      <c r="G1489" s="3" t="str">
        <f t="shared" si="141"/>
        <v>MA</v>
      </c>
      <c r="H1489" s="3" t="str">
        <f t="shared" si="142"/>
        <v>000</v>
      </c>
      <c r="I1489" s="3" t="str">
        <f t="shared" si="143"/>
        <v>00</v>
      </c>
      <c r="L1489" s="3" t="s">
        <v>3309</v>
      </c>
      <c r="R1489" s="3" t="s">
        <v>7437</v>
      </c>
      <c r="S1489" s="15" t="s">
        <v>3247</v>
      </c>
    </row>
    <row r="1490" spans="1:19" x14ac:dyDescent="0.25">
      <c r="A1490" s="4" t="s">
        <v>7438</v>
      </c>
      <c r="B1490" s="4" t="s">
        <v>7343</v>
      </c>
      <c r="C1490" s="4" t="s">
        <v>7439</v>
      </c>
      <c r="D1490" s="3" t="str">
        <f t="shared" si="138"/>
        <v>MOV</v>
      </c>
      <c r="E1490" s="3" t="str">
        <f t="shared" si="139"/>
        <v>K</v>
      </c>
      <c r="F1490" s="3" t="str">
        <f t="shared" si="140"/>
        <v>503</v>
      </c>
      <c r="G1490" s="3" t="str">
        <f t="shared" si="141"/>
        <v>MA</v>
      </c>
      <c r="H1490" s="3" t="str">
        <f t="shared" si="142"/>
        <v>000</v>
      </c>
      <c r="I1490" s="3" t="str">
        <f t="shared" si="143"/>
        <v>00</v>
      </c>
      <c r="L1490" s="3" t="s">
        <v>3309</v>
      </c>
      <c r="R1490" s="3" t="s">
        <v>7440</v>
      </c>
      <c r="S1490" s="15" t="s">
        <v>3247</v>
      </c>
    </row>
    <row r="1491" spans="1:19" ht="30" x14ac:dyDescent="0.25">
      <c r="A1491" s="4" t="s">
        <v>7441</v>
      </c>
      <c r="B1491" s="4" t="s">
        <v>7343</v>
      </c>
      <c r="C1491" s="4" t="s">
        <v>7442</v>
      </c>
      <c r="D1491" s="3" t="str">
        <f t="shared" si="138"/>
        <v>MOV</v>
      </c>
      <c r="E1491" s="3" t="str">
        <f t="shared" si="139"/>
        <v>K</v>
      </c>
      <c r="F1491" s="3" t="str">
        <f t="shared" si="140"/>
        <v>008</v>
      </c>
      <c r="G1491" s="3" t="str">
        <f t="shared" si="141"/>
        <v>MA</v>
      </c>
      <c r="H1491" s="3" t="str">
        <f t="shared" si="142"/>
        <v>000</v>
      </c>
      <c r="I1491" s="3" t="str">
        <f t="shared" si="143"/>
        <v>00</v>
      </c>
      <c r="L1491" s="3" t="s">
        <v>3309</v>
      </c>
      <c r="R1491" s="3" t="s">
        <v>7443</v>
      </c>
      <c r="S1491" s="15" t="s">
        <v>3247</v>
      </c>
    </row>
    <row r="1492" spans="1:19" ht="30" x14ac:dyDescent="0.25">
      <c r="A1492" s="4" t="s">
        <v>7444</v>
      </c>
      <c r="B1492" s="4" t="s">
        <v>7343</v>
      </c>
      <c r="C1492" s="4" t="s">
        <v>7445</v>
      </c>
      <c r="D1492" s="3" t="str">
        <f t="shared" si="138"/>
        <v>MOV</v>
      </c>
      <c r="E1492" s="3" t="str">
        <f t="shared" si="139"/>
        <v>K</v>
      </c>
      <c r="F1492" s="3" t="str">
        <f t="shared" si="140"/>
        <v>009</v>
      </c>
      <c r="G1492" s="3" t="str">
        <f t="shared" si="141"/>
        <v>MA</v>
      </c>
      <c r="H1492" s="3" t="str">
        <f t="shared" si="142"/>
        <v>000</v>
      </c>
      <c r="I1492" s="3" t="str">
        <f t="shared" si="143"/>
        <v>00</v>
      </c>
      <c r="L1492" s="3" t="s">
        <v>3309</v>
      </c>
      <c r="R1492" s="3" t="s">
        <v>7446</v>
      </c>
      <c r="S1492" s="15" t="s">
        <v>3247</v>
      </c>
    </row>
    <row r="1493" spans="1:19" ht="30" x14ac:dyDescent="0.25">
      <c r="A1493" s="4" t="s">
        <v>7447</v>
      </c>
      <c r="B1493" s="4" t="s">
        <v>7343</v>
      </c>
      <c r="C1493" s="4" t="s">
        <v>7448</v>
      </c>
      <c r="D1493" s="3" t="str">
        <f t="shared" si="138"/>
        <v>MOV</v>
      </c>
      <c r="E1493" s="3" t="str">
        <f t="shared" si="139"/>
        <v>C</v>
      </c>
      <c r="F1493" s="3" t="str">
        <f t="shared" si="140"/>
        <v>002</v>
      </c>
      <c r="G1493" s="3" t="str">
        <f t="shared" si="141"/>
        <v>ST</v>
      </c>
      <c r="H1493" s="3" t="str">
        <f t="shared" si="142"/>
        <v>000</v>
      </c>
      <c r="I1493" s="3" t="str">
        <f t="shared" si="143"/>
        <v>00</v>
      </c>
      <c r="L1493" s="3" t="s">
        <v>3309</v>
      </c>
      <c r="R1493" s="3" t="s">
        <v>7449</v>
      </c>
      <c r="S1493" s="15" t="s">
        <v>3247</v>
      </c>
    </row>
    <row r="1494" spans="1:19" ht="30" x14ac:dyDescent="0.25">
      <c r="A1494" s="4" t="s">
        <v>7450</v>
      </c>
      <c r="B1494" s="4" t="s">
        <v>7343</v>
      </c>
      <c r="C1494" s="4" t="s">
        <v>7451</v>
      </c>
      <c r="D1494" s="3" t="str">
        <f t="shared" si="138"/>
        <v>MOV</v>
      </c>
      <c r="E1494" s="3" t="str">
        <f t="shared" si="139"/>
        <v>C</v>
      </c>
      <c r="F1494" s="3" t="str">
        <f t="shared" si="140"/>
        <v>003</v>
      </c>
      <c r="G1494" s="3" t="str">
        <f t="shared" si="141"/>
        <v>ST</v>
      </c>
      <c r="H1494" s="3" t="str">
        <f t="shared" si="142"/>
        <v>000</v>
      </c>
      <c r="I1494" s="3" t="str">
        <f t="shared" si="143"/>
        <v>00</v>
      </c>
      <c r="L1494" s="3" t="s">
        <v>3309</v>
      </c>
      <c r="R1494" s="3" t="s">
        <v>7452</v>
      </c>
      <c r="S1494" s="15" t="s">
        <v>3247</v>
      </c>
    </row>
    <row r="1495" spans="1:19" ht="30" x14ac:dyDescent="0.25">
      <c r="A1495" s="4" t="s">
        <v>7453</v>
      </c>
      <c r="B1495" s="4" t="s">
        <v>7343</v>
      </c>
      <c r="C1495" s="4" t="s">
        <v>7454</v>
      </c>
      <c r="D1495" s="3" t="str">
        <f t="shared" si="138"/>
        <v>MOV</v>
      </c>
      <c r="E1495" s="3" t="str">
        <f t="shared" si="139"/>
        <v>C</v>
      </c>
      <c r="F1495" s="3" t="str">
        <f t="shared" si="140"/>
        <v>005</v>
      </c>
      <c r="G1495" s="3" t="str">
        <f t="shared" si="141"/>
        <v>ST</v>
      </c>
      <c r="H1495" s="3" t="str">
        <f t="shared" si="142"/>
        <v>000</v>
      </c>
      <c r="I1495" s="3" t="str">
        <f t="shared" si="143"/>
        <v>00</v>
      </c>
      <c r="L1495" s="3" t="s">
        <v>3309</v>
      </c>
      <c r="R1495" s="3" t="s">
        <v>7455</v>
      </c>
      <c r="S1495" s="15" t="s">
        <v>3247</v>
      </c>
    </row>
    <row r="1496" spans="1:19" x14ac:dyDescent="0.25">
      <c r="A1496" s="4" t="s">
        <v>7456</v>
      </c>
      <c r="B1496" s="4" t="s">
        <v>7343</v>
      </c>
      <c r="C1496" s="4" t="s">
        <v>7457</v>
      </c>
      <c r="D1496" s="3" t="str">
        <f t="shared" si="138"/>
        <v>MOV</v>
      </c>
      <c r="E1496" s="3" t="str">
        <f t="shared" si="139"/>
        <v>F</v>
      </c>
      <c r="F1496" s="3" t="str">
        <f t="shared" si="140"/>
        <v>109</v>
      </c>
      <c r="G1496" s="3" t="str">
        <f t="shared" si="141"/>
        <v>CA</v>
      </c>
      <c r="H1496" s="3" t="str">
        <f t="shared" si="142"/>
        <v>000</v>
      </c>
      <c r="I1496" s="3" t="str">
        <f t="shared" si="143"/>
        <v>00</v>
      </c>
      <c r="L1496" s="3" t="s">
        <v>3309</v>
      </c>
      <c r="R1496" s="3" t="s">
        <v>7458</v>
      </c>
      <c r="S1496" s="15" t="s">
        <v>3247</v>
      </c>
    </row>
    <row r="1497" spans="1:19" x14ac:dyDescent="0.25">
      <c r="A1497" s="4" t="s">
        <v>7459</v>
      </c>
      <c r="B1497" s="4" t="s">
        <v>7343</v>
      </c>
      <c r="C1497" s="4" t="s">
        <v>7460</v>
      </c>
      <c r="D1497" s="3" t="str">
        <f t="shared" si="138"/>
        <v>MOV</v>
      </c>
      <c r="E1497" s="3" t="str">
        <f t="shared" si="139"/>
        <v>C</v>
      </c>
      <c r="F1497" s="3" t="str">
        <f t="shared" si="140"/>
        <v>008</v>
      </c>
      <c r="G1497" s="3" t="str">
        <f t="shared" si="141"/>
        <v>MA</v>
      </c>
      <c r="H1497" s="3" t="str">
        <f t="shared" si="142"/>
        <v>021</v>
      </c>
      <c r="I1497" s="3" t="str">
        <f t="shared" si="143"/>
        <v>00</v>
      </c>
      <c r="L1497" s="3" t="s">
        <v>3309</v>
      </c>
      <c r="R1497" s="3" t="s">
        <v>7461</v>
      </c>
      <c r="S1497" s="15" t="s">
        <v>3247</v>
      </c>
    </row>
    <row r="1498" spans="1:19" x14ac:dyDescent="0.25">
      <c r="A1498" s="4" t="s">
        <v>7462</v>
      </c>
      <c r="B1498" s="4" t="s">
        <v>7343</v>
      </c>
      <c r="C1498" s="4" t="s">
        <v>7463</v>
      </c>
      <c r="D1498" s="3" t="str">
        <f t="shared" si="138"/>
        <v>MOV</v>
      </c>
      <c r="E1498" s="3" t="str">
        <f t="shared" si="139"/>
        <v>I</v>
      </c>
      <c r="F1498" s="3" t="str">
        <f t="shared" si="140"/>
        <v>001</v>
      </c>
      <c r="G1498" s="3" t="str">
        <f t="shared" si="141"/>
        <v>CA</v>
      </c>
      <c r="H1498" s="3" t="str">
        <f t="shared" si="142"/>
        <v>023</v>
      </c>
      <c r="I1498" s="3" t="str">
        <f t="shared" si="143"/>
        <v>04</v>
      </c>
      <c r="L1498" s="3" t="s">
        <v>3309</v>
      </c>
      <c r="R1498" s="3" t="s">
        <v>7464</v>
      </c>
      <c r="S1498" s="15" t="s">
        <v>3247</v>
      </c>
    </row>
    <row r="1499" spans="1:19" x14ac:dyDescent="0.25">
      <c r="A1499" s="4" t="s">
        <v>7465</v>
      </c>
      <c r="B1499" s="4" t="s">
        <v>7343</v>
      </c>
      <c r="C1499" s="4" t="s">
        <v>7466</v>
      </c>
      <c r="D1499" s="3" t="str">
        <f t="shared" si="138"/>
        <v>MOV</v>
      </c>
      <c r="E1499" s="3" t="str">
        <f t="shared" si="139"/>
        <v>I</v>
      </c>
      <c r="F1499" s="3" t="str">
        <f t="shared" si="140"/>
        <v>002</v>
      </c>
      <c r="G1499" s="3" t="str">
        <f t="shared" si="141"/>
        <v>CA</v>
      </c>
      <c r="H1499" s="3" t="str">
        <f t="shared" si="142"/>
        <v>023</v>
      </c>
      <c r="I1499" s="3" t="str">
        <f t="shared" si="143"/>
        <v>04</v>
      </c>
      <c r="L1499" s="3" t="s">
        <v>3309</v>
      </c>
      <c r="R1499" s="3" t="s">
        <v>7467</v>
      </c>
      <c r="S1499" s="15" t="s">
        <v>3247</v>
      </c>
    </row>
    <row r="1500" spans="1:19" x14ac:dyDescent="0.25">
      <c r="A1500" s="4" t="s">
        <v>7468</v>
      </c>
      <c r="B1500" s="4" t="s">
        <v>7343</v>
      </c>
      <c r="C1500" s="4" t="s">
        <v>7469</v>
      </c>
      <c r="D1500" s="3" t="str">
        <f t="shared" si="138"/>
        <v>MOV</v>
      </c>
      <c r="E1500" s="3" t="str">
        <f t="shared" si="139"/>
        <v>I</v>
      </c>
      <c r="F1500" s="3" t="str">
        <f t="shared" si="140"/>
        <v>003</v>
      </c>
      <c r="G1500" s="3" t="str">
        <f t="shared" si="141"/>
        <v>CA</v>
      </c>
      <c r="H1500" s="3" t="str">
        <f t="shared" si="142"/>
        <v>023</v>
      </c>
      <c r="I1500" s="3" t="str">
        <f t="shared" si="143"/>
        <v>04</v>
      </c>
      <c r="L1500" s="3" t="s">
        <v>3309</v>
      </c>
      <c r="R1500" s="3" t="s">
        <v>7470</v>
      </c>
      <c r="S1500" s="15" t="s">
        <v>3247</v>
      </c>
    </row>
    <row r="1501" spans="1:19" x14ac:dyDescent="0.25">
      <c r="A1501" s="4" t="s">
        <v>7471</v>
      </c>
      <c r="B1501" s="4" t="s">
        <v>7343</v>
      </c>
      <c r="C1501" s="4" t="s">
        <v>7472</v>
      </c>
      <c r="D1501" s="3" t="str">
        <f t="shared" si="138"/>
        <v>MOV</v>
      </c>
      <c r="E1501" s="3" t="str">
        <f t="shared" si="139"/>
        <v>I</v>
      </c>
      <c r="F1501" s="3" t="str">
        <f t="shared" si="140"/>
        <v>004</v>
      </c>
      <c r="G1501" s="3" t="str">
        <f t="shared" si="141"/>
        <v>CA</v>
      </c>
      <c r="H1501" s="3" t="str">
        <f t="shared" si="142"/>
        <v>023</v>
      </c>
      <c r="I1501" s="3" t="str">
        <f t="shared" si="143"/>
        <v>04</v>
      </c>
      <c r="L1501" s="3" t="s">
        <v>3309</v>
      </c>
      <c r="R1501" s="3" t="s">
        <v>7473</v>
      </c>
      <c r="S1501" s="15" t="s">
        <v>3247</v>
      </c>
    </row>
    <row r="1502" spans="1:19" x14ac:dyDescent="0.25">
      <c r="A1502" s="4" t="s">
        <v>7474</v>
      </c>
      <c r="B1502" s="4" t="s">
        <v>7343</v>
      </c>
      <c r="C1502" s="4" t="s">
        <v>7475</v>
      </c>
      <c r="D1502" s="3" t="str">
        <f t="shared" si="138"/>
        <v>MOV</v>
      </c>
      <c r="E1502" s="3" t="str">
        <f t="shared" si="139"/>
        <v>I</v>
      </c>
      <c r="F1502" s="3" t="str">
        <f t="shared" si="140"/>
        <v>006</v>
      </c>
      <c r="G1502" s="3" t="str">
        <f t="shared" si="141"/>
        <v>CA</v>
      </c>
      <c r="H1502" s="3" t="str">
        <f t="shared" si="142"/>
        <v>023</v>
      </c>
      <c r="I1502" s="3" t="str">
        <f t="shared" si="143"/>
        <v>04</v>
      </c>
      <c r="L1502" s="3" t="s">
        <v>3309</v>
      </c>
      <c r="R1502" s="3" t="s">
        <v>7476</v>
      </c>
      <c r="S1502" s="15" t="s">
        <v>3247</v>
      </c>
    </row>
    <row r="1503" spans="1:19" x14ac:dyDescent="0.25">
      <c r="A1503" s="4" t="s">
        <v>7477</v>
      </c>
      <c r="B1503" s="4" t="s">
        <v>7343</v>
      </c>
      <c r="C1503" s="4" t="s">
        <v>7478</v>
      </c>
      <c r="D1503" s="3" t="str">
        <f t="shared" si="138"/>
        <v>MOV</v>
      </c>
      <c r="E1503" s="3" t="str">
        <f t="shared" si="139"/>
        <v>I</v>
      </c>
      <c r="F1503" s="3" t="str">
        <f t="shared" si="140"/>
        <v>007</v>
      </c>
      <c r="G1503" s="3" t="str">
        <f t="shared" si="141"/>
        <v>CA</v>
      </c>
      <c r="H1503" s="3" t="str">
        <f t="shared" si="142"/>
        <v>023</v>
      </c>
      <c r="I1503" s="3" t="str">
        <f t="shared" si="143"/>
        <v>04</v>
      </c>
      <c r="L1503" s="3" t="s">
        <v>3309</v>
      </c>
      <c r="R1503" s="3" t="s">
        <v>7479</v>
      </c>
      <c r="S1503" s="15" t="s">
        <v>3247</v>
      </c>
    </row>
    <row r="1504" spans="1:19" x14ac:dyDescent="0.25">
      <c r="A1504" s="4" t="s">
        <v>7480</v>
      </c>
      <c r="B1504" s="4" t="s">
        <v>7343</v>
      </c>
      <c r="C1504" s="4" t="s">
        <v>7481</v>
      </c>
      <c r="D1504" s="3" t="str">
        <f t="shared" si="138"/>
        <v>MOV</v>
      </c>
      <c r="E1504" s="3" t="str">
        <f t="shared" si="139"/>
        <v>I</v>
      </c>
      <c r="F1504" s="3" t="str">
        <f t="shared" si="140"/>
        <v>008</v>
      </c>
      <c r="G1504" s="3" t="str">
        <f t="shared" si="141"/>
        <v>CA</v>
      </c>
      <c r="H1504" s="3" t="str">
        <f t="shared" si="142"/>
        <v>023</v>
      </c>
      <c r="I1504" s="3" t="str">
        <f t="shared" si="143"/>
        <v>04</v>
      </c>
      <c r="L1504" s="3" t="s">
        <v>3309</v>
      </c>
      <c r="R1504" s="3" t="s">
        <v>7482</v>
      </c>
      <c r="S1504" s="15" t="s">
        <v>3247</v>
      </c>
    </row>
    <row r="1505" spans="1:19" x14ac:dyDescent="0.25">
      <c r="A1505" s="4" t="s">
        <v>7483</v>
      </c>
      <c r="B1505" s="4" t="s">
        <v>7343</v>
      </c>
      <c r="C1505" s="4" t="s">
        <v>7484</v>
      </c>
      <c r="D1505" s="3" t="str">
        <f t="shared" si="138"/>
        <v>MOV</v>
      </c>
      <c r="E1505" s="3" t="str">
        <f t="shared" si="139"/>
        <v>I</v>
      </c>
      <c r="F1505" s="3" t="str">
        <f t="shared" si="140"/>
        <v>009</v>
      </c>
      <c r="G1505" s="3" t="str">
        <f t="shared" si="141"/>
        <v>CA</v>
      </c>
      <c r="H1505" s="3" t="str">
        <f t="shared" si="142"/>
        <v>023</v>
      </c>
      <c r="I1505" s="3" t="str">
        <f t="shared" si="143"/>
        <v>04</v>
      </c>
      <c r="L1505" s="3" t="s">
        <v>3309</v>
      </c>
      <c r="R1505" s="3" t="s">
        <v>7485</v>
      </c>
      <c r="S1505" s="15" t="s">
        <v>3247</v>
      </c>
    </row>
    <row r="1506" spans="1:19" x14ac:dyDescent="0.25">
      <c r="A1506" s="4" t="s">
        <v>7486</v>
      </c>
      <c r="B1506" s="4" t="s">
        <v>7343</v>
      </c>
      <c r="C1506" s="4" t="s">
        <v>7487</v>
      </c>
      <c r="D1506" s="3" t="str">
        <f t="shared" si="138"/>
        <v>MOV</v>
      </c>
      <c r="E1506" s="3" t="str">
        <f t="shared" si="139"/>
        <v>I</v>
      </c>
      <c r="F1506" s="3" t="str">
        <f t="shared" si="140"/>
        <v>011</v>
      </c>
      <c r="G1506" s="3" t="str">
        <f t="shared" si="141"/>
        <v>CA</v>
      </c>
      <c r="H1506" s="3" t="str">
        <f t="shared" si="142"/>
        <v>023</v>
      </c>
      <c r="I1506" s="3" t="str">
        <f t="shared" si="143"/>
        <v>04</v>
      </c>
      <c r="L1506" s="3" t="s">
        <v>3309</v>
      </c>
      <c r="R1506" s="3" t="s">
        <v>7488</v>
      </c>
      <c r="S1506" s="15" t="s">
        <v>3247</v>
      </c>
    </row>
    <row r="1507" spans="1:19" x14ac:dyDescent="0.25">
      <c r="A1507" s="4" t="s">
        <v>7489</v>
      </c>
      <c r="B1507" s="4" t="s">
        <v>7343</v>
      </c>
      <c r="C1507" s="4" t="s">
        <v>7490</v>
      </c>
      <c r="D1507" s="3" t="str">
        <f t="shared" si="138"/>
        <v>MOV</v>
      </c>
      <c r="E1507" s="3" t="str">
        <f t="shared" si="139"/>
        <v>I</v>
      </c>
      <c r="F1507" s="3" t="str">
        <f t="shared" si="140"/>
        <v>013</v>
      </c>
      <c r="G1507" s="3" t="str">
        <f t="shared" si="141"/>
        <v>CA</v>
      </c>
      <c r="H1507" s="3" t="str">
        <f t="shared" si="142"/>
        <v>023</v>
      </c>
      <c r="I1507" s="3" t="str">
        <f t="shared" si="143"/>
        <v>04</v>
      </c>
      <c r="L1507" s="3" t="s">
        <v>3309</v>
      </c>
      <c r="R1507" s="3" t="s">
        <v>7491</v>
      </c>
      <c r="S1507" s="15" t="s">
        <v>3247</v>
      </c>
    </row>
    <row r="1508" spans="1:19" x14ac:dyDescent="0.25">
      <c r="A1508" s="4" t="s">
        <v>7492</v>
      </c>
      <c r="B1508" s="4" t="s">
        <v>7343</v>
      </c>
      <c r="C1508" s="4" t="s">
        <v>7493</v>
      </c>
      <c r="D1508" s="3" t="str">
        <f t="shared" si="138"/>
        <v>MOV</v>
      </c>
      <c r="E1508" s="3" t="str">
        <f t="shared" si="139"/>
        <v>I</v>
      </c>
      <c r="F1508" s="3" t="str">
        <f t="shared" si="140"/>
        <v>015</v>
      </c>
      <c r="G1508" s="3" t="str">
        <f t="shared" si="141"/>
        <v>CA</v>
      </c>
      <c r="H1508" s="3" t="str">
        <f t="shared" si="142"/>
        <v>023</v>
      </c>
      <c r="I1508" s="3" t="str">
        <f t="shared" si="143"/>
        <v>04</v>
      </c>
      <c r="L1508" s="3" t="s">
        <v>3309</v>
      </c>
      <c r="R1508" s="3" t="s">
        <v>7494</v>
      </c>
      <c r="S1508" s="15" t="s">
        <v>3247</v>
      </c>
    </row>
    <row r="1509" spans="1:19" ht="30" x14ac:dyDescent="0.25">
      <c r="A1509" s="4" t="s">
        <v>7495</v>
      </c>
      <c r="B1509" s="4" t="s">
        <v>7343</v>
      </c>
      <c r="C1509" s="4" t="s">
        <v>7496</v>
      </c>
      <c r="D1509" s="3" t="str">
        <f t="shared" si="138"/>
        <v>MOV</v>
      </c>
      <c r="E1509" s="3" t="str">
        <f t="shared" si="139"/>
        <v>B</v>
      </c>
      <c r="F1509" s="3" t="str">
        <f t="shared" si="140"/>
        <v>012</v>
      </c>
      <c r="G1509" s="3" t="str">
        <f t="shared" si="141"/>
        <v>CA</v>
      </c>
      <c r="H1509" s="3" t="str">
        <f t="shared" si="142"/>
        <v>022</v>
      </c>
      <c r="I1509" s="3" t="str">
        <f t="shared" si="143"/>
        <v>02</v>
      </c>
      <c r="L1509" s="3" t="s">
        <v>3309</v>
      </c>
      <c r="R1509" s="3" t="s">
        <v>7497</v>
      </c>
      <c r="S1509" s="15" t="s">
        <v>3247</v>
      </c>
    </row>
    <row r="1510" spans="1:19" ht="30" x14ac:dyDescent="0.25">
      <c r="A1510" s="4" t="s">
        <v>7498</v>
      </c>
      <c r="B1510" s="4" t="s">
        <v>7343</v>
      </c>
      <c r="C1510" s="4" t="s">
        <v>7499</v>
      </c>
      <c r="D1510" s="3" t="str">
        <f t="shared" si="138"/>
        <v>MOV</v>
      </c>
      <c r="E1510" s="3" t="str">
        <f t="shared" si="139"/>
        <v>B</v>
      </c>
      <c r="F1510" s="3" t="str">
        <f t="shared" si="140"/>
        <v>014</v>
      </c>
      <c r="G1510" s="3" t="str">
        <f t="shared" si="141"/>
        <v>CA</v>
      </c>
      <c r="H1510" s="3" t="str">
        <f t="shared" si="142"/>
        <v>022</v>
      </c>
      <c r="I1510" s="3" t="str">
        <f t="shared" si="143"/>
        <v>02</v>
      </c>
      <c r="L1510" s="3" t="s">
        <v>3309</v>
      </c>
      <c r="R1510" s="3" t="s">
        <v>7500</v>
      </c>
      <c r="S1510" s="15" t="s">
        <v>3247</v>
      </c>
    </row>
    <row r="1511" spans="1:19" ht="30" x14ac:dyDescent="0.25">
      <c r="A1511" s="4" t="s">
        <v>7501</v>
      </c>
      <c r="B1511" s="4" t="s">
        <v>7343</v>
      </c>
      <c r="C1511" s="4" t="s">
        <v>7502</v>
      </c>
      <c r="D1511" s="3" t="str">
        <f t="shared" si="138"/>
        <v>MOV</v>
      </c>
      <c r="E1511" s="3" t="str">
        <f t="shared" si="139"/>
        <v>B</v>
      </c>
      <c r="F1511" s="3" t="str">
        <f t="shared" si="140"/>
        <v>015</v>
      </c>
      <c r="G1511" s="3" t="str">
        <f t="shared" si="141"/>
        <v>CA</v>
      </c>
      <c r="H1511" s="3" t="str">
        <f t="shared" si="142"/>
        <v>022</v>
      </c>
      <c r="I1511" s="3" t="str">
        <f t="shared" si="143"/>
        <v>02</v>
      </c>
      <c r="L1511" s="3" t="s">
        <v>3309</v>
      </c>
      <c r="R1511" s="3" t="s">
        <v>7503</v>
      </c>
      <c r="S1511" s="15" t="s">
        <v>3247</v>
      </c>
    </row>
    <row r="1512" spans="1:19" ht="30" x14ac:dyDescent="0.25">
      <c r="A1512" s="4" t="s">
        <v>7504</v>
      </c>
      <c r="B1512" s="4" t="s">
        <v>7343</v>
      </c>
      <c r="C1512" s="4" t="s">
        <v>7505</v>
      </c>
      <c r="D1512" s="3" t="str">
        <f t="shared" si="138"/>
        <v>MOV</v>
      </c>
      <c r="E1512" s="3" t="str">
        <f t="shared" si="139"/>
        <v>C</v>
      </c>
      <c r="F1512" s="3" t="str">
        <f t="shared" si="140"/>
        <v>005</v>
      </c>
      <c r="G1512" s="3" t="str">
        <f t="shared" si="141"/>
        <v>NA</v>
      </c>
      <c r="H1512" s="3" t="str">
        <f t="shared" si="142"/>
        <v>000</v>
      </c>
      <c r="I1512" s="3" t="str">
        <f t="shared" si="143"/>
        <v>00</v>
      </c>
      <c r="L1512" s="3" t="s">
        <v>3309</v>
      </c>
      <c r="R1512" s="3" t="s">
        <v>7506</v>
      </c>
      <c r="S1512" s="15" t="s">
        <v>3247</v>
      </c>
    </row>
    <row r="1513" spans="1:19" x14ac:dyDescent="0.25">
      <c r="A1513" s="4" t="s">
        <v>7507</v>
      </c>
      <c r="B1513" s="4" t="s">
        <v>7343</v>
      </c>
      <c r="C1513" s="4" t="s">
        <v>7508</v>
      </c>
      <c r="D1513" s="3" t="str">
        <f t="shared" si="138"/>
        <v>MOV</v>
      </c>
      <c r="E1513" s="3" t="str">
        <f t="shared" si="139"/>
        <v>C</v>
      </c>
      <c r="F1513" s="3" t="str">
        <f t="shared" si="140"/>
        <v>003</v>
      </c>
      <c r="G1513" s="3" t="str">
        <f t="shared" si="141"/>
        <v>NA</v>
      </c>
      <c r="H1513" s="3" t="str">
        <f t="shared" si="142"/>
        <v>000</v>
      </c>
      <c r="I1513" s="3" t="str">
        <f t="shared" si="143"/>
        <v>00</v>
      </c>
      <c r="L1513" s="3" t="s">
        <v>3309</v>
      </c>
      <c r="R1513" s="3" t="s">
        <v>7509</v>
      </c>
      <c r="S1513" s="15">
        <v>9</v>
      </c>
    </row>
    <row r="1514" spans="1:19" x14ac:dyDescent="0.25">
      <c r="A1514" s="4" t="s">
        <v>7510</v>
      </c>
      <c r="B1514" s="4" t="s">
        <v>7343</v>
      </c>
      <c r="C1514" s="4" t="s">
        <v>7511</v>
      </c>
      <c r="D1514" s="3" t="str">
        <f t="shared" si="138"/>
        <v>MOV</v>
      </c>
      <c r="E1514" s="3" t="str">
        <f t="shared" si="139"/>
        <v>B</v>
      </c>
      <c r="F1514" s="3" t="str">
        <f t="shared" si="140"/>
        <v>006</v>
      </c>
      <c r="G1514" s="3" t="str">
        <f t="shared" si="141"/>
        <v>CA</v>
      </c>
      <c r="H1514" s="3" t="str">
        <f t="shared" si="142"/>
        <v>000</v>
      </c>
      <c r="I1514" s="3" t="str">
        <f t="shared" si="143"/>
        <v>00</v>
      </c>
      <c r="L1514" s="3" t="s">
        <v>3608</v>
      </c>
      <c r="R1514" s="3" t="s">
        <v>7512</v>
      </c>
      <c r="S1514" s="15" t="s">
        <v>3247</v>
      </c>
    </row>
    <row r="1515" spans="1:19" x14ac:dyDescent="0.25">
      <c r="A1515" s="4" t="s">
        <v>7513</v>
      </c>
      <c r="B1515" s="4" t="s">
        <v>7343</v>
      </c>
      <c r="C1515" s="4" t="s">
        <v>7514</v>
      </c>
      <c r="D1515" s="3" t="str">
        <f t="shared" si="138"/>
        <v>MOV</v>
      </c>
      <c r="E1515" s="3" t="str">
        <f t="shared" si="139"/>
        <v>M</v>
      </c>
      <c r="F1515" s="3" t="str">
        <f t="shared" si="140"/>
        <v>005</v>
      </c>
      <c r="G1515" s="3" t="str">
        <f t="shared" si="141"/>
        <v>CA</v>
      </c>
      <c r="H1515" s="3" t="str">
        <f t="shared" si="142"/>
        <v>000</v>
      </c>
      <c r="I1515" s="3" t="str">
        <f t="shared" si="143"/>
        <v>00</v>
      </c>
      <c r="L1515" s="3" t="s">
        <v>3608</v>
      </c>
      <c r="R1515" s="3" t="s">
        <v>7515</v>
      </c>
      <c r="S1515" s="15" t="s">
        <v>3247</v>
      </c>
    </row>
    <row r="1516" spans="1:19" x14ac:dyDescent="0.25">
      <c r="A1516" s="4" t="s">
        <v>7516</v>
      </c>
      <c r="B1516" s="4" t="s">
        <v>7343</v>
      </c>
      <c r="C1516" s="4" t="s">
        <v>7517</v>
      </c>
      <c r="D1516" s="3" t="str">
        <f t="shared" si="138"/>
        <v>MOV</v>
      </c>
      <c r="E1516" s="3" t="str">
        <f t="shared" si="139"/>
        <v>O</v>
      </c>
      <c r="F1516" s="3" t="str">
        <f t="shared" si="140"/>
        <v>007</v>
      </c>
      <c r="G1516" s="3" t="str">
        <f t="shared" si="141"/>
        <v>NA</v>
      </c>
      <c r="H1516" s="3" t="str">
        <f t="shared" si="142"/>
        <v>000</v>
      </c>
      <c r="I1516" s="3" t="str">
        <f t="shared" si="143"/>
        <v>00</v>
      </c>
      <c r="L1516" s="3" t="s">
        <v>3309</v>
      </c>
      <c r="R1516" s="3" t="s">
        <v>7518</v>
      </c>
      <c r="S1516" s="15" t="s">
        <v>3247</v>
      </c>
    </row>
    <row r="1517" spans="1:19" x14ac:dyDescent="0.25">
      <c r="A1517" s="4" t="s">
        <v>7519</v>
      </c>
      <c r="B1517" s="4" t="s">
        <v>7343</v>
      </c>
      <c r="C1517" s="4" t="s">
        <v>7520</v>
      </c>
      <c r="D1517" s="3" t="str">
        <f t="shared" si="138"/>
        <v>MOV</v>
      </c>
      <c r="E1517" s="3" t="str">
        <f t="shared" si="139"/>
        <v>C</v>
      </c>
      <c r="F1517" s="3" t="str">
        <f t="shared" si="140"/>
        <v>005</v>
      </c>
      <c r="G1517" s="3" t="str">
        <f t="shared" si="141"/>
        <v>TN</v>
      </c>
      <c r="H1517" s="3" t="str">
        <f t="shared" si="142"/>
        <v>000</v>
      </c>
      <c r="I1517" s="3" t="str">
        <f t="shared" si="143"/>
        <v>00</v>
      </c>
      <c r="L1517" s="3" t="s">
        <v>3309</v>
      </c>
      <c r="R1517" s="3" t="s">
        <v>7521</v>
      </c>
      <c r="S1517" s="15">
        <v>1</v>
      </c>
    </row>
    <row r="1518" spans="1:19" x14ac:dyDescent="0.25">
      <c r="A1518" s="4" t="s">
        <v>7522</v>
      </c>
      <c r="B1518" s="4" t="s">
        <v>7343</v>
      </c>
      <c r="C1518" s="4" t="s">
        <v>7523</v>
      </c>
      <c r="D1518" s="3" t="str">
        <f t="shared" si="138"/>
        <v>MOV</v>
      </c>
      <c r="E1518" s="3" t="str">
        <f t="shared" si="139"/>
        <v>C</v>
      </c>
      <c r="F1518" s="3" t="str">
        <f t="shared" si="140"/>
        <v>005</v>
      </c>
      <c r="G1518" s="3" t="str">
        <f t="shared" si="141"/>
        <v>ZB</v>
      </c>
      <c r="H1518" s="3" t="str">
        <f t="shared" si="142"/>
        <v>000</v>
      </c>
      <c r="I1518" s="3" t="str">
        <f t="shared" si="143"/>
        <v>00</v>
      </c>
      <c r="L1518" s="3" t="s">
        <v>3309</v>
      </c>
      <c r="R1518" s="3" t="s">
        <v>7524</v>
      </c>
      <c r="S1518" s="15">
        <v>2</v>
      </c>
    </row>
    <row r="1519" spans="1:19" x14ac:dyDescent="0.25">
      <c r="A1519" s="4" t="s">
        <v>7525</v>
      </c>
      <c r="B1519" s="4" t="s">
        <v>7343</v>
      </c>
      <c r="C1519" s="4" t="s">
        <v>7526</v>
      </c>
      <c r="D1519" s="3" t="str">
        <f t="shared" si="138"/>
        <v>MOV</v>
      </c>
      <c r="E1519" s="3" t="str">
        <f t="shared" si="139"/>
        <v>C</v>
      </c>
      <c r="F1519" s="3" t="str">
        <f t="shared" si="140"/>
        <v>005</v>
      </c>
      <c r="G1519" s="3" t="str">
        <f t="shared" si="141"/>
        <v>NA</v>
      </c>
      <c r="H1519" s="3" t="str">
        <f t="shared" si="142"/>
        <v>000</v>
      </c>
      <c r="I1519" s="3" t="str">
        <f t="shared" si="143"/>
        <v>00</v>
      </c>
      <c r="L1519" s="3" t="s">
        <v>3309</v>
      </c>
      <c r="R1519" s="3" t="s">
        <v>7527</v>
      </c>
      <c r="S1519" s="15">
        <v>10</v>
      </c>
    </row>
    <row r="1520" spans="1:19" x14ac:dyDescent="0.25">
      <c r="A1520" s="4" t="s">
        <v>7528</v>
      </c>
      <c r="B1520" s="4" t="s">
        <v>7343</v>
      </c>
      <c r="C1520" s="4" t="s">
        <v>7529</v>
      </c>
      <c r="D1520" s="3" t="str">
        <f t="shared" si="138"/>
        <v>MOV</v>
      </c>
      <c r="E1520" s="3" t="str">
        <f t="shared" si="139"/>
        <v>C</v>
      </c>
      <c r="F1520" s="3" t="str">
        <f t="shared" si="140"/>
        <v>003</v>
      </c>
      <c r="G1520" s="3" t="str">
        <f t="shared" si="141"/>
        <v>BO</v>
      </c>
      <c r="H1520" s="3" t="str">
        <f t="shared" si="142"/>
        <v>000</v>
      </c>
      <c r="I1520" s="3" t="str">
        <f t="shared" si="143"/>
        <v>00</v>
      </c>
      <c r="L1520" s="3" t="s">
        <v>3309</v>
      </c>
      <c r="R1520" s="3" t="s">
        <v>7530</v>
      </c>
      <c r="S1520" s="15">
        <v>1</v>
      </c>
    </row>
    <row r="1521" spans="1:19" x14ac:dyDescent="0.25">
      <c r="A1521" s="4" t="s">
        <v>7531</v>
      </c>
      <c r="B1521" s="4" t="s">
        <v>7343</v>
      </c>
      <c r="C1521" s="4" t="s">
        <v>7532</v>
      </c>
      <c r="D1521" s="3" t="str">
        <f t="shared" si="138"/>
        <v>MOV</v>
      </c>
      <c r="E1521" s="3" t="str">
        <f t="shared" si="139"/>
        <v>C</v>
      </c>
      <c r="F1521" s="3" t="str">
        <f t="shared" si="140"/>
        <v>002</v>
      </c>
      <c r="G1521" s="3" t="str">
        <f t="shared" si="141"/>
        <v>NA</v>
      </c>
      <c r="H1521" s="3" t="str">
        <f t="shared" si="142"/>
        <v>000</v>
      </c>
      <c r="I1521" s="3" t="str">
        <f t="shared" si="143"/>
        <v>00</v>
      </c>
      <c r="L1521" s="3" t="s">
        <v>3309</v>
      </c>
      <c r="R1521" s="3" t="s">
        <v>7533</v>
      </c>
      <c r="S1521" s="15">
        <v>23</v>
      </c>
    </row>
    <row r="1522" spans="1:19" x14ac:dyDescent="0.25">
      <c r="A1522" s="4" t="s">
        <v>7534</v>
      </c>
      <c r="B1522" s="4" t="s">
        <v>7343</v>
      </c>
      <c r="C1522" s="4" t="s">
        <v>7535</v>
      </c>
      <c r="D1522" s="3" t="str">
        <f t="shared" si="138"/>
        <v>MOV</v>
      </c>
      <c r="E1522" s="3" t="str">
        <f t="shared" si="139"/>
        <v>C</v>
      </c>
      <c r="F1522" s="3" t="str">
        <f t="shared" si="140"/>
        <v>006</v>
      </c>
      <c r="G1522" s="3" t="str">
        <f t="shared" si="141"/>
        <v>NA</v>
      </c>
      <c r="H1522" s="3" t="str">
        <f t="shared" si="142"/>
        <v>000</v>
      </c>
      <c r="I1522" s="3" t="str">
        <f t="shared" si="143"/>
        <v>00</v>
      </c>
      <c r="L1522" s="3" t="s">
        <v>3309</v>
      </c>
      <c r="R1522" s="3" t="s">
        <v>7536</v>
      </c>
      <c r="S1522" s="15">
        <v>1</v>
      </c>
    </row>
    <row r="1523" spans="1:19" x14ac:dyDescent="0.25">
      <c r="A1523" s="4" t="s">
        <v>7537</v>
      </c>
      <c r="B1523" s="4" t="s">
        <v>7343</v>
      </c>
      <c r="C1523" s="4" t="s">
        <v>7538</v>
      </c>
      <c r="D1523" s="3" t="str">
        <f t="shared" si="138"/>
        <v>MOV</v>
      </c>
      <c r="E1523" s="3" t="str">
        <f t="shared" si="139"/>
        <v>C</v>
      </c>
      <c r="F1523" s="3" t="str">
        <f t="shared" si="140"/>
        <v>007</v>
      </c>
      <c r="G1523" s="3" t="str">
        <f t="shared" si="141"/>
        <v>NA</v>
      </c>
      <c r="H1523" s="3" t="str">
        <f t="shared" si="142"/>
        <v>000</v>
      </c>
      <c r="I1523" s="3" t="str">
        <f t="shared" si="143"/>
        <v>00</v>
      </c>
      <c r="L1523" s="3" t="s">
        <v>3309</v>
      </c>
      <c r="R1523" s="3" t="s">
        <v>7539</v>
      </c>
      <c r="S1523" s="15">
        <v>4</v>
      </c>
    </row>
    <row r="1524" spans="1:19" x14ac:dyDescent="0.25">
      <c r="A1524" s="4" t="s">
        <v>7540</v>
      </c>
      <c r="B1524" s="4" t="s">
        <v>7343</v>
      </c>
      <c r="C1524" s="4" t="s">
        <v>7541</v>
      </c>
      <c r="D1524" s="3" t="str">
        <f t="shared" si="138"/>
        <v>MOV</v>
      </c>
      <c r="E1524" s="3" t="str">
        <f t="shared" si="139"/>
        <v>C</v>
      </c>
      <c r="F1524" s="3" t="str">
        <f t="shared" si="140"/>
        <v>008</v>
      </c>
      <c r="G1524" s="3" t="str">
        <f t="shared" si="141"/>
        <v>NA</v>
      </c>
      <c r="H1524" s="3" t="str">
        <f t="shared" si="142"/>
        <v>000</v>
      </c>
      <c r="I1524" s="3" t="str">
        <f t="shared" si="143"/>
        <v>00</v>
      </c>
      <c r="L1524" s="3" t="s">
        <v>3309</v>
      </c>
      <c r="R1524" s="3" t="s">
        <v>7542</v>
      </c>
      <c r="S1524" s="15">
        <v>2</v>
      </c>
    </row>
    <row r="1525" spans="1:19" ht="30" x14ac:dyDescent="0.25">
      <c r="A1525" s="4" t="s">
        <v>7543</v>
      </c>
      <c r="B1525" s="4" t="s">
        <v>7343</v>
      </c>
      <c r="C1525" s="4" t="s">
        <v>7544</v>
      </c>
      <c r="D1525" s="3" t="str">
        <f t="shared" si="138"/>
        <v>MOV</v>
      </c>
      <c r="E1525" s="3" t="str">
        <f t="shared" si="139"/>
        <v>C</v>
      </c>
      <c r="F1525" s="3" t="str">
        <f t="shared" si="140"/>
        <v>005</v>
      </c>
      <c r="G1525" s="3" t="str">
        <f t="shared" si="141"/>
        <v>QI</v>
      </c>
      <c r="H1525" s="3" t="str">
        <f t="shared" si="142"/>
        <v>000</v>
      </c>
      <c r="I1525" s="3" t="str">
        <f t="shared" si="143"/>
        <v>00</v>
      </c>
      <c r="L1525" s="3" t="s">
        <v>3309</v>
      </c>
      <c r="R1525" s="3" t="s">
        <v>7545</v>
      </c>
      <c r="S1525" s="15">
        <v>1</v>
      </c>
    </row>
    <row r="1526" spans="1:19" x14ac:dyDescent="0.25">
      <c r="A1526" s="4" t="s">
        <v>7546</v>
      </c>
      <c r="B1526" s="4" t="s">
        <v>7547</v>
      </c>
      <c r="C1526" s="4" t="s">
        <v>7548</v>
      </c>
      <c r="D1526" s="3" t="str">
        <f t="shared" si="138"/>
        <v>WQA</v>
      </c>
      <c r="E1526" s="3" t="str">
        <f t="shared" si="139"/>
        <v>C</v>
      </c>
      <c r="F1526" s="3" t="str">
        <f t="shared" si="140"/>
        <v>LT0</v>
      </c>
      <c r="G1526" s="3" t="str">
        <f t="shared" si="141"/>
        <v>00</v>
      </c>
      <c r="H1526" s="3" t="str">
        <f t="shared" si="142"/>
        <v>BC0</v>
      </c>
      <c r="I1526" s="3" t="str">
        <f t="shared" si="143"/>
        <v>01</v>
      </c>
      <c r="L1526" s="3" t="s">
        <v>3309</v>
      </c>
      <c r="R1526" s="3" t="s">
        <v>7549</v>
      </c>
      <c r="S1526" s="15" t="s">
        <v>3247</v>
      </c>
    </row>
    <row r="1527" spans="1:19" x14ac:dyDescent="0.25">
      <c r="A1527" s="4" t="s">
        <v>7550</v>
      </c>
      <c r="B1527" s="4" t="s">
        <v>7547</v>
      </c>
      <c r="C1527" s="4" t="s">
        <v>7551</v>
      </c>
      <c r="D1527" s="3" t="str">
        <f t="shared" si="138"/>
        <v>WQA</v>
      </c>
      <c r="E1527" s="3" t="str">
        <f t="shared" si="139"/>
        <v>C</v>
      </c>
      <c r="F1527" s="3" t="str">
        <f t="shared" si="140"/>
        <v>DO0</v>
      </c>
      <c r="G1527" s="3" t="str">
        <f t="shared" si="141"/>
        <v>00</v>
      </c>
      <c r="H1527" s="3" t="str">
        <f t="shared" si="142"/>
        <v>TO0</v>
      </c>
      <c r="I1527" s="3" t="str">
        <f t="shared" si="143"/>
        <v>00</v>
      </c>
      <c r="L1527" s="3" t="s">
        <v>3309</v>
      </c>
      <c r="R1527" s="3" t="s">
        <v>7552</v>
      </c>
      <c r="S1527" s="15" t="s">
        <v>3247</v>
      </c>
    </row>
    <row r="1528" spans="1:19" x14ac:dyDescent="0.25">
      <c r="A1528" s="4" t="s">
        <v>7553</v>
      </c>
      <c r="B1528" s="4" t="s">
        <v>7547</v>
      </c>
      <c r="C1528" s="4" t="s">
        <v>7554</v>
      </c>
      <c r="D1528" s="3" t="str">
        <f t="shared" si="138"/>
        <v>WQA</v>
      </c>
      <c r="E1528" s="3" t="str">
        <f t="shared" si="139"/>
        <v>C</v>
      </c>
      <c r="F1528" s="3" t="str">
        <f t="shared" si="140"/>
        <v>DO0</v>
      </c>
      <c r="G1528" s="3" t="str">
        <f t="shared" si="141"/>
        <v>01</v>
      </c>
      <c r="H1528" s="3" t="str">
        <f t="shared" si="142"/>
        <v>ED0</v>
      </c>
      <c r="I1528" s="3" t="str">
        <f t="shared" si="143"/>
        <v>02</v>
      </c>
      <c r="L1528" s="3" t="s">
        <v>3245</v>
      </c>
      <c r="R1528" s="3" t="s">
        <v>7555</v>
      </c>
      <c r="S1528" s="15">
        <v>2</v>
      </c>
    </row>
    <row r="1529" spans="1:19" x14ac:dyDescent="0.25">
      <c r="A1529" s="4" t="s">
        <v>7556</v>
      </c>
      <c r="B1529" s="4" t="s">
        <v>7547</v>
      </c>
      <c r="C1529" s="4" t="s">
        <v>7557</v>
      </c>
      <c r="D1529" s="3" t="str">
        <f t="shared" si="138"/>
        <v>WQA</v>
      </c>
      <c r="E1529" s="3" t="str">
        <f t="shared" si="139"/>
        <v>C</v>
      </c>
      <c r="F1529" s="3" t="str">
        <f t="shared" si="140"/>
        <v>LT0</v>
      </c>
      <c r="G1529" s="3" t="str">
        <f t="shared" si="141"/>
        <v>01</v>
      </c>
      <c r="H1529" s="3" t="str">
        <f t="shared" si="142"/>
        <v>NN0</v>
      </c>
      <c r="I1529" s="3" t="str">
        <f t="shared" si="143"/>
        <v>03</v>
      </c>
      <c r="L1529" s="3" t="s">
        <v>3309</v>
      </c>
      <c r="R1529" s="3" t="s">
        <v>7558</v>
      </c>
      <c r="S1529" s="15">
        <v>73</v>
      </c>
    </row>
    <row r="1530" spans="1:19" x14ac:dyDescent="0.25">
      <c r="A1530" s="4" t="s">
        <v>7559</v>
      </c>
      <c r="B1530" s="4" t="s">
        <v>7547</v>
      </c>
      <c r="C1530" s="4" t="s">
        <v>7557</v>
      </c>
      <c r="D1530" s="3" t="str">
        <f t="shared" si="138"/>
        <v>WQA</v>
      </c>
      <c r="E1530" s="3" t="str">
        <f t="shared" si="139"/>
        <v>C</v>
      </c>
      <c r="F1530" s="3" t="str">
        <f t="shared" si="140"/>
        <v>LT0</v>
      </c>
      <c r="G1530" s="3" t="str">
        <f t="shared" si="141"/>
        <v>01</v>
      </c>
      <c r="H1530" s="3" t="str">
        <f t="shared" si="142"/>
        <v>SH0</v>
      </c>
      <c r="I1530" s="3" t="str">
        <f t="shared" si="143"/>
        <v>03</v>
      </c>
      <c r="L1530" s="3" t="s">
        <v>3309</v>
      </c>
      <c r="R1530" s="3" t="s">
        <v>7560</v>
      </c>
      <c r="S1530" s="15" t="s">
        <v>3247</v>
      </c>
    </row>
    <row r="1531" spans="1:19" x14ac:dyDescent="0.25">
      <c r="A1531" s="4" t="s">
        <v>7561</v>
      </c>
      <c r="B1531" s="4" t="s">
        <v>7547</v>
      </c>
      <c r="C1531" s="4" t="s">
        <v>7562</v>
      </c>
      <c r="D1531" s="3" t="str">
        <f t="shared" si="138"/>
        <v>WQA</v>
      </c>
      <c r="E1531" s="3" t="str">
        <f t="shared" si="139"/>
        <v>P</v>
      </c>
      <c r="F1531" s="3" t="str">
        <f t="shared" si="140"/>
        <v>HS0</v>
      </c>
      <c r="G1531" s="3" t="str">
        <f t="shared" si="141"/>
        <v>00</v>
      </c>
      <c r="H1531" s="3" t="str">
        <f t="shared" si="142"/>
        <v>NN0</v>
      </c>
      <c r="I1531" s="3" t="str">
        <f t="shared" si="143"/>
        <v>05</v>
      </c>
      <c r="L1531" s="3" t="s">
        <v>3309</v>
      </c>
      <c r="R1531" s="3" t="s">
        <v>7563</v>
      </c>
      <c r="S1531" s="15" t="s">
        <v>3247</v>
      </c>
    </row>
    <row r="1532" spans="1:19" ht="30" x14ac:dyDescent="0.25">
      <c r="A1532" s="4" t="s">
        <v>7564</v>
      </c>
      <c r="B1532" s="4" t="s">
        <v>7547</v>
      </c>
      <c r="C1532" s="4" t="s">
        <v>7565</v>
      </c>
      <c r="D1532" s="3" t="str">
        <f t="shared" si="138"/>
        <v>WQA</v>
      </c>
      <c r="E1532" s="3" t="str">
        <f t="shared" si="139"/>
        <v>C</v>
      </c>
      <c r="F1532" s="3" t="str">
        <f t="shared" si="140"/>
        <v>TA0</v>
      </c>
      <c r="G1532" s="3" t="str">
        <f t="shared" si="141"/>
        <v>01</v>
      </c>
      <c r="H1532" s="3" t="str">
        <f t="shared" si="142"/>
        <v>NN0</v>
      </c>
      <c r="I1532" s="3" t="str">
        <f t="shared" si="143"/>
        <v>00</v>
      </c>
      <c r="L1532" s="3" t="s">
        <v>3309</v>
      </c>
      <c r="R1532" s="3" t="s">
        <v>7566</v>
      </c>
      <c r="S1532" s="15" t="s">
        <v>3247</v>
      </c>
    </row>
    <row r="1533" spans="1:19" x14ac:dyDescent="0.25">
      <c r="A1533" s="4" t="s">
        <v>7567</v>
      </c>
      <c r="B1533" s="4" t="s">
        <v>7547</v>
      </c>
      <c r="C1533" s="4" t="s">
        <v>7568</v>
      </c>
      <c r="D1533" s="3" t="str">
        <f t="shared" si="138"/>
        <v>WQA</v>
      </c>
      <c r="E1533" s="3" t="str">
        <f t="shared" si="139"/>
        <v>F</v>
      </c>
      <c r="F1533" s="3" t="str">
        <f t="shared" si="140"/>
        <v>LC0</v>
      </c>
      <c r="G1533" s="3" t="str">
        <f t="shared" si="141"/>
        <v>00</v>
      </c>
      <c r="H1533" s="3" t="str">
        <f t="shared" si="142"/>
        <v>NA0</v>
      </c>
      <c r="I1533" s="3" t="str">
        <f t="shared" si="143"/>
        <v>00</v>
      </c>
      <c r="L1533" s="3" t="s">
        <v>3309</v>
      </c>
      <c r="R1533" s="3" t="s">
        <v>7569</v>
      </c>
      <c r="S1533" s="15" t="s">
        <v>3247</v>
      </c>
    </row>
    <row r="1534" spans="1:19" x14ac:dyDescent="0.25">
      <c r="A1534" s="4" t="s">
        <v>7570</v>
      </c>
      <c r="B1534" s="4" t="s">
        <v>7547</v>
      </c>
      <c r="C1534" s="4" t="s">
        <v>7571</v>
      </c>
      <c r="D1534" s="3" t="str">
        <f t="shared" si="138"/>
        <v>WQA</v>
      </c>
      <c r="E1534" s="3" t="str">
        <f t="shared" si="139"/>
        <v>C</v>
      </c>
      <c r="F1534" s="3" t="str">
        <f t="shared" si="140"/>
        <v>TK0</v>
      </c>
      <c r="G1534" s="3" t="str">
        <f t="shared" si="141"/>
        <v>00</v>
      </c>
      <c r="H1534" s="3" t="str">
        <f t="shared" si="142"/>
        <v>NA0</v>
      </c>
      <c r="I1534" s="3" t="str">
        <f t="shared" si="143"/>
        <v>00</v>
      </c>
      <c r="L1534" s="3" t="s">
        <v>3309</v>
      </c>
      <c r="R1534" s="3" t="s">
        <v>7572</v>
      </c>
      <c r="S1534" s="15" t="s">
        <v>3247</v>
      </c>
    </row>
    <row r="1535" spans="1:19" x14ac:dyDescent="0.25">
      <c r="A1535" s="4" t="s">
        <v>7573</v>
      </c>
      <c r="B1535" s="4" t="s">
        <v>7547</v>
      </c>
      <c r="C1535" s="4" t="s">
        <v>2142</v>
      </c>
      <c r="D1535" s="3" t="str">
        <f t="shared" si="138"/>
        <v>WQA</v>
      </c>
      <c r="E1535" s="3" t="str">
        <f t="shared" si="139"/>
        <v>C</v>
      </c>
      <c r="F1535" s="3" t="str">
        <f t="shared" si="140"/>
        <v>NT0</v>
      </c>
      <c r="G1535" s="3" t="str">
        <f t="shared" si="141"/>
        <v>00</v>
      </c>
      <c r="H1535" s="3" t="str">
        <f t="shared" si="142"/>
        <v>NN0</v>
      </c>
      <c r="I1535" s="3" t="str">
        <f t="shared" si="143"/>
        <v>00</v>
      </c>
      <c r="L1535" s="3" t="s">
        <v>3309</v>
      </c>
      <c r="R1535" s="3" t="s">
        <v>7574</v>
      </c>
      <c r="S1535" s="15" t="s">
        <v>3247</v>
      </c>
    </row>
    <row r="1536" spans="1:19" x14ac:dyDescent="0.25">
      <c r="A1536" s="4" t="s">
        <v>7575</v>
      </c>
      <c r="B1536" s="4" t="s">
        <v>7547</v>
      </c>
      <c r="C1536" s="4" t="s">
        <v>7576</v>
      </c>
      <c r="D1536" s="3" t="str">
        <f t="shared" si="138"/>
        <v>WQA</v>
      </c>
      <c r="E1536" s="3" t="str">
        <f t="shared" si="139"/>
        <v>C</v>
      </c>
      <c r="F1536" s="3" t="str">
        <f t="shared" si="140"/>
        <v>LS0</v>
      </c>
      <c r="G1536" s="3" t="str">
        <f t="shared" si="141"/>
        <v>01</v>
      </c>
      <c r="H1536" s="3" t="str">
        <f t="shared" si="142"/>
        <v>NN0</v>
      </c>
      <c r="I1536" s="3" t="str">
        <f t="shared" si="143"/>
        <v>00</v>
      </c>
      <c r="L1536" s="3" t="s">
        <v>3309</v>
      </c>
      <c r="R1536" s="3" t="s">
        <v>7577</v>
      </c>
      <c r="S1536" s="15" t="s">
        <v>3247</v>
      </c>
    </row>
    <row r="1537" spans="1:19" x14ac:dyDescent="0.25">
      <c r="A1537" s="4" t="s">
        <v>7578</v>
      </c>
      <c r="B1537" s="4" t="s">
        <v>7547</v>
      </c>
      <c r="C1537" s="4" t="s">
        <v>7579</v>
      </c>
      <c r="D1537" s="3" t="str">
        <f t="shared" si="138"/>
        <v>WQA</v>
      </c>
      <c r="E1537" s="3" t="str">
        <f t="shared" si="139"/>
        <v>T</v>
      </c>
      <c r="F1537" s="3" t="str">
        <f t="shared" si="140"/>
        <v>UT0</v>
      </c>
      <c r="G1537" s="3" t="str">
        <f t="shared" si="141"/>
        <v>01</v>
      </c>
      <c r="H1537" s="3" t="str">
        <f t="shared" si="142"/>
        <v>NN0</v>
      </c>
      <c r="I1537" s="3" t="str">
        <f t="shared" si="143"/>
        <v>04</v>
      </c>
      <c r="L1537" s="3" t="s">
        <v>3309</v>
      </c>
      <c r="R1537" s="3" t="s">
        <v>7580</v>
      </c>
      <c r="S1537" s="15">
        <v>107</v>
      </c>
    </row>
    <row r="1538" spans="1:19" x14ac:dyDescent="0.25">
      <c r="A1538" s="4" t="s">
        <v>7581</v>
      </c>
      <c r="B1538" s="4" t="s">
        <v>7547</v>
      </c>
      <c r="C1538" s="4" t="s">
        <v>7579</v>
      </c>
      <c r="D1538" s="3" t="str">
        <f t="shared" ref="D1538:D1549" si="144">LEFT(A1538,3)</f>
        <v>WQA</v>
      </c>
      <c r="E1538" s="3" t="str">
        <f t="shared" ref="E1538:E1549" si="145">MID(A1538,4,1)</f>
        <v>T</v>
      </c>
      <c r="F1538" s="3" t="str">
        <f t="shared" ref="F1538:F1549" si="146">MID(A1538,5,3)</f>
        <v>UT0</v>
      </c>
      <c r="G1538" s="3" t="str">
        <f t="shared" ref="G1538:G1549" si="147">MID(A1538,8,2)</f>
        <v>01</v>
      </c>
      <c r="H1538" s="3" t="str">
        <f t="shared" ref="H1538:H1549" si="148">MID(A1538,10,3)</f>
        <v>SH0</v>
      </c>
      <c r="I1538" s="3" t="str">
        <f t="shared" ref="I1538:I1549" si="149">MID(A1538,13,2)</f>
        <v>04</v>
      </c>
      <c r="L1538" s="3" t="s">
        <v>3309</v>
      </c>
      <c r="R1538" s="3" t="s">
        <v>7582</v>
      </c>
      <c r="S1538" s="15" t="s">
        <v>3247</v>
      </c>
    </row>
    <row r="1539" spans="1:19" ht="45" x14ac:dyDescent="0.25">
      <c r="A1539" s="4" t="s">
        <v>7583</v>
      </c>
      <c r="B1539" s="4" t="s">
        <v>7547</v>
      </c>
      <c r="C1539" s="4" t="s">
        <v>7584</v>
      </c>
      <c r="D1539" s="3" t="str">
        <f t="shared" si="144"/>
        <v>WQA</v>
      </c>
      <c r="E1539" s="3" t="str">
        <f t="shared" si="145"/>
        <v>O</v>
      </c>
      <c r="F1539" s="3" t="str">
        <f t="shared" si="146"/>
        <v>001</v>
      </c>
      <c r="G1539" s="3" t="str">
        <f t="shared" si="147"/>
        <v>NN</v>
      </c>
      <c r="H1539" s="3" t="str">
        <f t="shared" si="148"/>
        <v>005</v>
      </c>
      <c r="I1539" s="3" t="str">
        <f t="shared" si="149"/>
        <v>01</v>
      </c>
      <c r="L1539" s="3" t="s">
        <v>3309</v>
      </c>
      <c r="R1539" s="3" t="s">
        <v>7585</v>
      </c>
      <c r="S1539" s="15">
        <v>8</v>
      </c>
    </row>
    <row r="1540" spans="1:19" x14ac:dyDescent="0.25">
      <c r="A1540" s="4" t="s">
        <v>7586</v>
      </c>
      <c r="B1540" s="4" t="s">
        <v>7547</v>
      </c>
      <c r="C1540" s="4" t="s">
        <v>7587</v>
      </c>
      <c r="D1540" s="3" t="str">
        <f t="shared" si="144"/>
        <v>WQA</v>
      </c>
      <c r="E1540" s="3" t="str">
        <f t="shared" si="145"/>
        <v>P</v>
      </c>
      <c r="F1540" s="3" t="str">
        <f t="shared" si="146"/>
        <v>000</v>
      </c>
      <c r="G1540" s="3" t="str">
        <f t="shared" si="147"/>
        <v>CI</v>
      </c>
      <c r="H1540" s="3" t="str">
        <f t="shared" si="148"/>
        <v>006</v>
      </c>
      <c r="I1540" s="3" t="str">
        <f t="shared" si="149"/>
        <v>00</v>
      </c>
      <c r="L1540" s="3" t="s">
        <v>3309</v>
      </c>
      <c r="R1540" s="3" t="s">
        <v>7588</v>
      </c>
      <c r="S1540" s="15">
        <v>6</v>
      </c>
    </row>
    <row r="1541" spans="1:19" x14ac:dyDescent="0.25">
      <c r="A1541" s="4" t="s">
        <v>7589</v>
      </c>
      <c r="B1541" s="4" t="s">
        <v>7547</v>
      </c>
      <c r="C1541" s="4" t="s">
        <v>7590</v>
      </c>
      <c r="D1541" s="3" t="str">
        <f t="shared" si="144"/>
        <v>WQA</v>
      </c>
      <c r="E1541" s="3" t="str">
        <f t="shared" si="145"/>
        <v>B</v>
      </c>
      <c r="F1541" s="3" t="str">
        <f t="shared" si="146"/>
        <v>002</v>
      </c>
      <c r="G1541" s="3" t="str">
        <f t="shared" si="147"/>
        <v>NA</v>
      </c>
      <c r="H1541" s="3" t="str">
        <f t="shared" si="148"/>
        <v>004</v>
      </c>
      <c r="I1541" s="3" t="str">
        <f t="shared" si="149"/>
        <v>00</v>
      </c>
      <c r="L1541" s="3" t="s">
        <v>3309</v>
      </c>
      <c r="R1541" s="3" t="s">
        <v>7591</v>
      </c>
      <c r="S1541" s="15" t="s">
        <v>3247</v>
      </c>
    </row>
    <row r="1542" spans="1:19" ht="30" x14ac:dyDescent="0.25">
      <c r="A1542" s="4" t="s">
        <v>7592</v>
      </c>
      <c r="B1542" s="4" t="s">
        <v>7547</v>
      </c>
      <c r="C1542" s="4" t="s">
        <v>7593</v>
      </c>
      <c r="D1542" s="3" t="str">
        <f t="shared" si="144"/>
        <v>WQA</v>
      </c>
      <c r="E1542" s="3" t="str">
        <f t="shared" si="145"/>
        <v>M</v>
      </c>
      <c r="F1542" s="3" t="str">
        <f t="shared" si="146"/>
        <v>PT0</v>
      </c>
      <c r="G1542" s="3" t="str">
        <f t="shared" si="147"/>
        <v>00</v>
      </c>
      <c r="H1542" s="3" t="str">
        <f t="shared" si="148"/>
        <v>NA0</v>
      </c>
      <c r="I1542" s="3" t="str">
        <f t="shared" si="149"/>
        <v>00</v>
      </c>
      <c r="L1542" s="3" t="s">
        <v>3309</v>
      </c>
      <c r="R1542" s="3" t="s">
        <v>7594</v>
      </c>
      <c r="S1542" s="15" t="s">
        <v>3247</v>
      </c>
    </row>
    <row r="1543" spans="1:19" ht="30" x14ac:dyDescent="0.25">
      <c r="A1543" s="4" t="s">
        <v>7595</v>
      </c>
      <c r="B1543" s="4" t="s">
        <v>7547</v>
      </c>
      <c r="C1543" s="4" t="s">
        <v>7596</v>
      </c>
      <c r="D1543" s="3" t="str">
        <f t="shared" si="144"/>
        <v>WQA</v>
      </c>
      <c r="E1543" s="3" t="str">
        <f t="shared" si="145"/>
        <v>M</v>
      </c>
      <c r="F1543" s="3" t="str">
        <f t="shared" si="146"/>
        <v>PT0</v>
      </c>
      <c r="G1543" s="3" t="str">
        <f t="shared" si="147"/>
        <v>01</v>
      </c>
      <c r="H1543" s="3" t="str">
        <f t="shared" si="148"/>
        <v>NA0</v>
      </c>
      <c r="I1543" s="3" t="str">
        <f t="shared" si="149"/>
        <v>00</v>
      </c>
      <c r="L1543" s="3" t="s">
        <v>3309</v>
      </c>
      <c r="R1543" s="3" t="s">
        <v>7597</v>
      </c>
      <c r="S1543" s="15" t="s">
        <v>3247</v>
      </c>
    </row>
    <row r="1544" spans="1:19" ht="30" x14ac:dyDescent="0.25">
      <c r="A1544" s="4" t="s">
        <v>7598</v>
      </c>
      <c r="B1544" s="4" t="s">
        <v>7547</v>
      </c>
      <c r="C1544" s="4" t="s">
        <v>7599</v>
      </c>
      <c r="D1544" s="3" t="str">
        <f t="shared" si="144"/>
        <v>WQA</v>
      </c>
      <c r="E1544" s="3" t="str">
        <f t="shared" si="145"/>
        <v>M</v>
      </c>
      <c r="F1544" s="3" t="str">
        <f t="shared" si="146"/>
        <v>PT0</v>
      </c>
      <c r="G1544" s="3" t="str">
        <f t="shared" si="147"/>
        <v>02</v>
      </c>
      <c r="H1544" s="3" t="str">
        <f t="shared" si="148"/>
        <v>NA0</v>
      </c>
      <c r="I1544" s="3" t="str">
        <f t="shared" si="149"/>
        <v>00</v>
      </c>
      <c r="L1544" s="3" t="s">
        <v>3309</v>
      </c>
      <c r="R1544" s="3" t="s">
        <v>7600</v>
      </c>
      <c r="S1544" s="15" t="s">
        <v>3247</v>
      </c>
    </row>
    <row r="1545" spans="1:19" x14ac:dyDescent="0.25">
      <c r="A1545" s="4" t="s">
        <v>7601</v>
      </c>
      <c r="B1545" s="4" t="s">
        <v>7547</v>
      </c>
      <c r="C1545" s="4" t="s">
        <v>7602</v>
      </c>
      <c r="D1545" s="3" t="str">
        <f t="shared" si="144"/>
        <v>WQA</v>
      </c>
      <c r="E1545" s="3" t="str">
        <f t="shared" si="145"/>
        <v>M</v>
      </c>
      <c r="F1545" s="3" t="str">
        <f t="shared" si="146"/>
        <v>001</v>
      </c>
      <c r="G1545" s="3" t="str">
        <f t="shared" si="147"/>
        <v>NA</v>
      </c>
      <c r="H1545" s="3" t="str">
        <f t="shared" si="148"/>
        <v>000</v>
      </c>
      <c r="I1545" s="3" t="str">
        <f t="shared" si="149"/>
        <v>00</v>
      </c>
      <c r="L1545" s="3" t="s">
        <v>3309</v>
      </c>
      <c r="R1545" s="3" t="s">
        <v>7603</v>
      </c>
      <c r="S1545" s="15" t="s">
        <v>3247</v>
      </c>
    </row>
    <row r="1546" spans="1:19" x14ac:dyDescent="0.25">
      <c r="A1546" s="4" t="s">
        <v>7604</v>
      </c>
      <c r="B1546" s="4" t="s">
        <v>7547</v>
      </c>
      <c r="C1546" s="4" t="s">
        <v>7605</v>
      </c>
      <c r="D1546" s="3" t="str">
        <f t="shared" si="144"/>
        <v>WQA</v>
      </c>
      <c r="E1546" s="3" t="str">
        <f t="shared" si="145"/>
        <v>C</v>
      </c>
      <c r="F1546" s="3" t="str">
        <f t="shared" si="146"/>
        <v>001</v>
      </c>
      <c r="G1546" s="3" t="str">
        <f t="shared" si="147"/>
        <v>NA</v>
      </c>
      <c r="H1546" s="3" t="str">
        <f t="shared" si="148"/>
        <v>000</v>
      </c>
      <c r="I1546" s="3" t="str">
        <f t="shared" si="149"/>
        <v>00</v>
      </c>
      <c r="L1546" s="3" t="s">
        <v>3309</v>
      </c>
      <c r="R1546" s="3" t="s">
        <v>7606</v>
      </c>
      <c r="S1546" s="15" t="s">
        <v>3247</v>
      </c>
    </row>
    <row r="1547" spans="1:19" x14ac:dyDescent="0.25">
      <c r="A1547" s="4" t="s">
        <v>7607</v>
      </c>
      <c r="B1547" s="4" t="s">
        <v>7547</v>
      </c>
      <c r="C1547" s="4" t="s">
        <v>7608</v>
      </c>
      <c r="D1547" s="3" t="str">
        <f t="shared" si="144"/>
        <v>WQA</v>
      </c>
      <c r="E1547" s="3" t="str">
        <f t="shared" si="145"/>
        <v>C</v>
      </c>
      <c r="F1547" s="3" t="str">
        <f t="shared" si="146"/>
        <v>DO0</v>
      </c>
      <c r="G1547" s="3" t="str">
        <f t="shared" si="147"/>
        <v>01</v>
      </c>
      <c r="H1547" s="3" t="str">
        <f t="shared" si="148"/>
        <v>VT0</v>
      </c>
      <c r="I1547" s="3" t="str">
        <f t="shared" si="149"/>
        <v>00</v>
      </c>
      <c r="L1547" s="3" t="s">
        <v>3309</v>
      </c>
      <c r="R1547" s="3" t="s">
        <v>7609</v>
      </c>
      <c r="S1547" s="15">
        <v>2</v>
      </c>
    </row>
    <row r="1548" spans="1:19" x14ac:dyDescent="0.25">
      <c r="A1548" s="4" t="s">
        <v>7610</v>
      </c>
      <c r="B1548" s="4" t="s">
        <v>7547</v>
      </c>
      <c r="C1548" s="4" t="s">
        <v>7611</v>
      </c>
      <c r="D1548" s="3" t="str">
        <f t="shared" si="144"/>
        <v>WQA</v>
      </c>
      <c r="E1548" s="3" t="str">
        <f t="shared" si="145"/>
        <v>C</v>
      </c>
      <c r="F1548" s="3" t="str">
        <f t="shared" si="146"/>
        <v>DO0</v>
      </c>
      <c r="G1548" s="3" t="str">
        <f t="shared" si="147"/>
        <v>01</v>
      </c>
      <c r="H1548" s="3" t="str">
        <f t="shared" si="148"/>
        <v>ED1</v>
      </c>
      <c r="I1548" s="3" t="str">
        <f t="shared" si="149"/>
        <v>01</v>
      </c>
      <c r="L1548" s="3" t="s">
        <v>3309</v>
      </c>
      <c r="R1548" s="3" t="s">
        <v>7612</v>
      </c>
      <c r="S1548" s="15">
        <v>10</v>
      </c>
    </row>
    <row r="1549" spans="1:19" x14ac:dyDescent="0.25">
      <c r="A1549" s="4" t="s">
        <v>7613</v>
      </c>
      <c r="B1549" s="4" t="s">
        <v>7547</v>
      </c>
      <c r="C1549" s="4" t="s">
        <v>7614</v>
      </c>
      <c r="D1549" s="3" t="str">
        <f t="shared" si="144"/>
        <v>WQA</v>
      </c>
      <c r="E1549" s="3" t="str">
        <f t="shared" si="145"/>
        <v>F</v>
      </c>
      <c r="F1549" s="3" t="str">
        <f t="shared" si="146"/>
        <v>001</v>
      </c>
      <c r="G1549" s="3" t="str">
        <f t="shared" si="147"/>
        <v>NN</v>
      </c>
      <c r="H1549" s="3" t="str">
        <f t="shared" si="148"/>
        <v>000</v>
      </c>
      <c r="I1549" s="3" t="str">
        <f t="shared" si="149"/>
        <v>00</v>
      </c>
      <c r="L1549" s="3" t="s">
        <v>3309</v>
      </c>
      <c r="R1549" s="3" t="s">
        <v>7615</v>
      </c>
      <c r="S1549" s="15">
        <v>1</v>
      </c>
    </row>
  </sheetData>
  <autoFilter ref="A1:T1549" xr:uid="{EC7C4B0A-FF6C-4873-97E8-53E3563A0CDB}">
    <filterColumn colId="0">
      <filters>
        <filter val="DPIA001AL00100"/>
        <filter val="DPIB002AL00700"/>
        <filter val="DPIC000AL00801"/>
        <filter val="DPIE000AL00300"/>
        <filter val="DPIF000AL01000"/>
        <filter val="DPIG000AL01100_x000a_"/>
        <filter val="DPIH000WE00000"/>
        <filter val="DPII000RI00000"/>
        <filter val="DPIJ000AL00000"/>
        <filter val="DPIM005AL01200"/>
        <filter val="DPIP000AL01304"/>
        <filter val="DPIP000AL01405"/>
        <filter val="DPIP000AL01506"/>
        <filter val="DPIP000AL01607"/>
        <filter val="DPIP000AL01708"/>
        <filter val="DPIP000AL01809"/>
        <filter val="DPIP000AL01910"/>
        <filter val="DPIP000AL02011"/>
        <filter val="DPIP000AL02112"/>
        <filter val="DPIP000AL02213"/>
        <filter val="DPIP000AL02314"/>
        <filter val="DPIQ006AL02400"/>
      </filters>
    </filterColumn>
    <sortState xmlns:xlrd2="http://schemas.microsoft.com/office/spreadsheetml/2017/richdata2" ref="A2:T1549">
      <sortCondition ref="B1:B1549"/>
    </sortState>
  </autoFilter>
  <conditionalFormatting sqref="A1:A737 A739:A1048576">
    <cfRule type="duplicateValues" dxfId="11" priority="2"/>
  </conditionalFormatting>
  <conditionalFormatting sqref="A1448">
    <cfRule type="duplicateValues" dxfId="10" priority="5"/>
  </conditionalFormatting>
  <conditionalFormatting sqref="A1449:A1048576 A1:A737 A739:A1447">
    <cfRule type="duplicateValues" dxfId="9" priority="20"/>
    <cfRule type="duplicateValues" dxfId="8" priority="21"/>
  </conditionalFormatting>
  <conditionalFormatting sqref="C3:C1549">
    <cfRule type="duplicateValues" dxfId="7" priority="34"/>
  </conditionalFormatting>
  <conditionalFormatting sqref="C1550:C1048576 C1:C2">
    <cfRule type="duplicateValues" dxfId="6" priority="19"/>
  </conditionalFormatting>
  <conditionalFormatting sqref="C1550:C1048576">
    <cfRule type="duplicateValues" dxfId="5" priority="17"/>
  </conditionalFormatting>
  <conditionalFormatting sqref="R2:R1048576">
    <cfRule type="duplicateValues" dxfId="4" priority="18"/>
  </conditionalFormatting>
  <conditionalFormatting sqref="R761">
    <cfRule type="duplicateValues" dxfId="3" priority="14"/>
    <cfRule type="duplicateValues" dxfId="2" priority="15"/>
  </conditionalFormatting>
  <conditionalFormatting sqref="R1448">
    <cfRule type="duplicateValues" dxfId="1" priority="8"/>
    <cfRule type="duplicateValues" dxfId="0" priority="10"/>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MainCategory</vt:lpstr>
      <vt:lpstr>ProductRating</vt:lpstr>
      <vt:lpstr>SubCategory</vt:lpstr>
      <vt:lpstr>Make</vt:lpstr>
      <vt:lpstr>ProductModel</vt:lpstr>
      <vt:lpstr>Remarks</vt:lpstr>
      <vt:lpstr>ItemMaster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Pratyush Pilli</cp:lastModifiedBy>
  <cp:revision/>
  <dcterms:created xsi:type="dcterms:W3CDTF">2025-03-12T11:35:43Z</dcterms:created>
  <dcterms:modified xsi:type="dcterms:W3CDTF">2025-08-06T06:57:54Z</dcterms:modified>
  <cp:category/>
  <cp:contentStatus/>
</cp:coreProperties>
</file>